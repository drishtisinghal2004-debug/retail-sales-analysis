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About" sheetId="2" state="visible" r:id="rId4"/>
    <sheet name="Analysis" sheetId="3" state="visible" r:id="rId5"/>
    <sheet name="Orders" sheetId="4" state="visible" r:id="rId6"/>
    <sheet name="Customers" sheetId="5" state="visible" r:id="rId7"/>
    <sheet name="Products" sheetId="6" state="visible" r:id="rId8"/>
    <sheet name="Data_Dictionary" sheetId="7" state="visible" r:id="rId9"/>
  </sheets>
  <definedNames>
    <definedName function="false" hidden="true" localSheetId="4" name="_xlnm._FilterDatabase" vbProcedure="false">Customers!$A$1:$G$101</definedName>
    <definedName function="false" hidden="true" localSheetId="6" name="_xlnm._FilterDatabase" vbProcedure="false">Data_Dictionary!$A$1:$C$11</definedName>
    <definedName function="false" hidden="true" localSheetId="3" name="_xlnm._FilterDatabase" vbProcedure="false">Orders!$A$1:$T$1201</definedName>
    <definedName function="false" hidden="true" localSheetId="5" name="_xlnm._FilterDatabase" vbProcedure="false">Products!$A$1:$E$16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<sst xmlns="http://schemas.openxmlformats.org/spreadsheetml/2006/main" count="8082" uniqueCount="1615">
  <si>
    <t xml:space="preserve">Retail Sales Performance Dashboard</t>
  </si>
  <si>
    <t xml:space="preserve">FILTERS  ▸</t>
  </si>
  <si>
    <t xml:space="preserve">Year</t>
  </si>
  <si>
    <t xml:space="preserve">All</t>
  </si>
  <si>
    <t xml:space="preserve">Region</t>
  </si>
  <si>
    <t xml:space="preserve">Category</t>
  </si>
  <si>
    <t xml:space="preserve">◂ pick from the dropdowns</t>
  </si>
  <si>
    <t xml:space="preserve">REVENUE</t>
  </si>
  <si>
    <t xml:space="preserve">PROFIT</t>
  </si>
  <si>
    <t xml:space="preserve">PROFIT MARGIN</t>
  </si>
  <si>
    <t xml:space="preserve">ORDERS</t>
  </si>
  <si>
    <t xml:space="preserve">AVG ORDER VALUE</t>
  </si>
  <si>
    <t xml:space="preserve">UNITS SOLD</t>
  </si>
  <si>
    <t xml:space="preserve">RETURN RATE</t>
  </si>
  <si>
    <t xml:space="preserve">CANCEL RATE</t>
  </si>
  <si>
    <t xml:space="preserve">delivered orders</t>
  </si>
  <si>
    <t xml:space="preserve">revenue – cost</t>
  </si>
  <si>
    <t xml:space="preserve">profit ÷ revenue</t>
  </si>
  <si>
    <t xml:space="preserve">delivered order lines</t>
  </si>
  <si>
    <t xml:space="preserve">revenue ÷ orders</t>
  </si>
  <si>
    <t xml:space="preserve">delivered units</t>
  </si>
  <si>
    <t xml:space="preserve">of all orders</t>
  </si>
  <si>
    <t xml:space="preserve">KEY INSIGHTS  (update automatically with the filters)</t>
  </si>
  <si>
    <t xml:space="preserve">TRENDS &amp; BREAKDOWNS</t>
  </si>
  <si>
    <t xml:space="preserve">Note: breakdown charts ignore their own filter (category chart ignores Category, region chart ignores Region) so comparisons stay visible; the monthly trend ignores the Year filter. Built from the Orders, Customers and Products sheets.</t>
  </si>
  <si>
    <t xml:space="preserve">Retail Sales Analysis – Project Overview</t>
  </si>
  <si>
    <t xml:space="preserve">Objective</t>
  </si>
  <si>
    <t xml:space="preserve">Understand revenue, profitability and fulfilment quality across products, customer segments, regions and channels, and surface where to focus.</t>
  </si>
  <si>
    <t xml:space="preserve">Data</t>
  </si>
  <si>
    <t xml:space="preserve">Orders (1,200 order lines, Jan 2024 – Sep 2026), Customers (100), Products (15). Linked by customer_id and product_id. No missing values or duplicate order IDs.</t>
  </si>
  <si>
    <t xml:space="preserve">Tools</t>
  </si>
  <si>
    <t xml:space="preserve">Microsoft Excel: formulas (SUMIFS, COUNTIFS, INDEX/MATCH, LARGE), data validation dropdowns, native charts.</t>
  </si>
  <si>
    <t xml:space="preserve">How to use</t>
  </si>
  <si>
    <t xml:space="preserve">Open the Dashboard tab and use the Year, Region and Category dropdowns. All KPIs, insights and charts recalculate.</t>
  </si>
  <si>
    <t xml:space="preserve">Sheet guide</t>
  </si>
  <si>
    <t xml:space="preserve">Dashboard = presentation layer · Analysis = calculation tables · Orders/Customers/Products/Data_Dictionary = source data.</t>
  </si>
  <si>
    <t xml:space="preserve">Added columns</t>
  </si>
  <si>
    <t xml:space="preserve">Orders columns O–T (teal headers: order_year, order_month, category, region, segment, city) are formulas that look up product and customer attributes. Source columns A–N are unchanged.</t>
  </si>
  <si>
    <t xml:space="preserve">Metric definitions</t>
  </si>
  <si>
    <t xml:space="preserve">Revenue</t>
  </si>
  <si>
    <t xml:space="preserve">Sum of sales_inr for Delivered orders only. Returned and Cancelled orders are excluded because the revenue was not retained.</t>
  </si>
  <si>
    <t xml:space="preserve">Profit / margin</t>
  </si>
  <si>
    <t xml:space="preserve">Profit = sales_inr – cost_inr (profit_inr); margin = profit ÷ revenue.</t>
  </si>
  <si>
    <t xml:space="preserve">Average order value</t>
  </si>
  <si>
    <t xml:space="preserve">Revenue ÷ number of delivered order lines.</t>
  </si>
  <si>
    <t xml:space="preserve">Return / cancel rate</t>
  </si>
  <si>
    <t xml:space="preserve">Returned (or Cancelled) order lines ÷ all order lines in the selected filter.</t>
  </si>
  <si>
    <t xml:space="preserve">Sales not realised</t>
  </si>
  <si>
    <t xml:space="preserve">sales_inr of Returned + Cancelled orders.</t>
  </si>
  <si>
    <t xml:space="preserve">Currency</t>
  </si>
  <si>
    <t xml:space="preserve">Indian rupees. Charts and cards show ₹ lakh (1 lakh = ₹100,000).</t>
  </si>
  <si>
    <t xml:space="preserve">Assumptions &amp; caveats</t>
  </si>
  <si>
    <t xml:space="preserve">Partial year</t>
  </si>
  <si>
    <t xml:space="preserve">2026 data ends 27 Sep 2026, so 2026 totals are not comparable with full years 2024 and 2025.</t>
  </si>
  <si>
    <t xml:space="preserve">Order line</t>
  </si>
  <si>
    <t xml:space="preserve">Each row in Orders is one order line (one product); order_id is unique per line.</t>
  </si>
  <si>
    <t xml:space="preserve">Cost</t>
  </si>
  <si>
    <t xml:space="preserve">cost_inr is an estimate of cost of goods sold, as stated in the Data_Dictionary.</t>
  </si>
  <si>
    <t xml:space="preserve">Analysis – calculation tables behind the Dashboard</t>
  </si>
  <si>
    <t xml:space="preserve">Every figure here is a live formula over the Orders sheet and responds to the Dashboard filters. Blue = input, black = formula.</t>
  </si>
  <si>
    <t xml:space="preserve">Year criteria</t>
  </si>
  <si>
    <t xml:space="preserve">Region criteria</t>
  </si>
  <si>
    <t xml:space="preserve">Category criteria</t>
  </si>
  <si>
    <t xml:space="preserve">Lakh divisor (₹)</t>
  </si>
  <si>
    <t xml:space="preserve">1 lakh = ₹100,000; chart values are shown in ₹ lakh</t>
  </si>
  <si>
    <t xml:space="preserve">Revenue status</t>
  </si>
  <si>
    <t xml:space="preserve">Delivered</t>
  </si>
  <si>
    <t xml:space="preserve">Only Delivered orders count as revenue/profit (Returned &amp; Cancelled are excluded)</t>
  </si>
  <si>
    <t xml:space="preserve">KPI block</t>
  </si>
  <si>
    <t xml:space="preserve">Metric</t>
  </si>
  <si>
    <t xml:space="preserve">Value</t>
  </si>
  <si>
    <t xml:space="preserve">Revenue (₹)</t>
  </si>
  <si>
    <t xml:space="preserve">Profit (₹)</t>
  </si>
  <si>
    <t xml:space="preserve">Profit margin</t>
  </si>
  <si>
    <t xml:space="preserve">Delivered orders</t>
  </si>
  <si>
    <t xml:space="preserve">Avg order value (₹)</t>
  </si>
  <si>
    <t xml:space="preserve">Units sold</t>
  </si>
  <si>
    <t xml:space="preserve">All orders (any status)</t>
  </si>
  <si>
    <t xml:space="preserve">Returned orders</t>
  </si>
  <si>
    <t xml:space="preserve">Cancelled orders</t>
  </si>
  <si>
    <t xml:space="preserve">Return rate</t>
  </si>
  <si>
    <t xml:space="preserve">Cancellation rate</t>
  </si>
  <si>
    <t xml:space="preserve">Sales not realised (₹)</t>
  </si>
  <si>
    <t xml:space="preserve">Monthly trend (ignores Year filter; respects Region &amp; Category)</t>
  </si>
  <si>
    <t xml:space="preserve">Month</t>
  </si>
  <si>
    <t xml:space="preserve">Month start</t>
  </si>
  <si>
    <t xml:space="preserve">Revenue (₹ L)</t>
  </si>
  <si>
    <t xml:space="preserve">Profit (₹ L)</t>
  </si>
  <si>
    <t xml:space="preserve">Revenue by category (ignores Category filter)</t>
  </si>
  <si>
    <t xml:space="preserve">Label</t>
  </si>
  <si>
    <t xml:space="preserve">Margin</t>
  </si>
  <si>
    <t xml:space="preserve">Technology</t>
  </si>
  <si>
    <t xml:space="preserve">Furniture</t>
  </si>
  <si>
    <t xml:space="preserve">Office Supplies</t>
  </si>
  <si>
    <t xml:space="preserve">Revenue by region (ignores Region filter)</t>
  </si>
  <si>
    <t xml:space="preserve">North</t>
  </si>
  <si>
    <t xml:space="preserve">South</t>
  </si>
  <si>
    <t xml:space="preserve">East</t>
  </si>
  <si>
    <t xml:space="preserve">West</t>
  </si>
  <si>
    <t xml:space="preserve">Revenue by sales channel</t>
  </si>
  <si>
    <t xml:space="preserve">Online</t>
  </si>
  <si>
    <t xml:space="preserve">Store</t>
  </si>
  <si>
    <t xml:space="preserve">Phone</t>
  </si>
  <si>
    <t xml:space="preserve">Revenue by customer segment</t>
  </si>
  <si>
    <t xml:space="preserve">Consumer</t>
  </si>
  <si>
    <t xml:space="preserve">Small Business</t>
  </si>
  <si>
    <t xml:space="preserve">Corporate</t>
  </si>
  <si>
    <t xml:space="preserve">Revenue by product (all 15) and Top 10 ranking</t>
  </si>
  <si>
    <t xml:space="preserve">Product ID</t>
  </si>
  <si>
    <t xml:space="preserve">Product</t>
  </si>
  <si>
    <t xml:space="preserve">Rank key</t>
  </si>
  <si>
    <t xml:space="preserve">Rank</t>
  </si>
  <si>
    <t xml:space="preserve">Top product</t>
  </si>
  <si>
    <t xml:space="preserve">P001</t>
  </si>
  <si>
    <t xml:space="preserve">P002</t>
  </si>
  <si>
    <t xml:space="preserve">P003</t>
  </si>
  <si>
    <t xml:space="preserve">P004</t>
  </si>
  <si>
    <t xml:space="preserve">P005</t>
  </si>
  <si>
    <t xml:space="preserve">P006</t>
  </si>
  <si>
    <t xml:space="preserve">P007</t>
  </si>
  <si>
    <t xml:space="preserve">P008</t>
  </si>
  <si>
    <t xml:space="preserve">P009</t>
  </si>
  <si>
    <t xml:space="preserve">P010</t>
  </si>
  <si>
    <t xml:space="preserve">P011</t>
  </si>
  <si>
    <t xml:space="preserve">P012</t>
  </si>
  <si>
    <t xml:space="preserve">P013</t>
  </si>
  <si>
    <t xml:space="preserve">P014</t>
  </si>
  <si>
    <t xml:space="preserve">P015</t>
  </si>
  <si>
    <t xml:space="preserve">Revenue by city (all) and Top 8 ranking</t>
  </si>
  <si>
    <t xml:space="preserve">City</t>
  </si>
  <si>
    <t xml:space="preserve">Top city</t>
  </si>
  <si>
    <t xml:space="preserve">Ahmedabad</t>
  </si>
  <si>
    <t xml:space="preserve">Bengaluru</t>
  </si>
  <si>
    <t xml:space="preserve">Bhubaneswar</t>
  </si>
  <si>
    <t xml:space="preserve">Chennai</t>
  </si>
  <si>
    <t xml:space="preserve">Delhi</t>
  </si>
  <si>
    <t xml:space="preserve">Gurugram</t>
  </si>
  <si>
    <t xml:space="preserve">Hyderabad</t>
  </si>
  <si>
    <t xml:space="preserve">Jaipur</t>
  </si>
  <si>
    <t xml:space="preserve">Kolkata</t>
  </si>
  <si>
    <t xml:space="preserve">Lucknow</t>
  </si>
  <si>
    <t xml:space="preserve">Mumbai</t>
  </si>
  <si>
    <t xml:space="preserve">Pune</t>
  </si>
  <si>
    <t xml:space="preserve">Order status mix (count of orders; respects all filters)</t>
  </si>
  <si>
    <t xml:space="preserve">Status</t>
  </si>
  <si>
    <t xml:space="preserve">Orders</t>
  </si>
  <si>
    <t xml:space="preserve">Returned</t>
  </si>
  <si>
    <t xml:space="preserve">Cancelled</t>
  </si>
  <si>
    <t xml:space="preserve">order_id</t>
  </si>
  <si>
    <t xml:space="preserve">order_date</t>
  </si>
  <si>
    <t xml:space="preserve">ship_date</t>
  </si>
  <si>
    <t xml:space="preserve">customer_id</t>
  </si>
  <si>
    <t xml:space="preserve">product_id</t>
  </si>
  <si>
    <t xml:space="preserve">sales_channel</t>
  </si>
  <si>
    <t xml:space="preserve">payment_method</t>
  </si>
  <si>
    <t xml:space="preserve">quantity</t>
  </si>
  <si>
    <t xml:space="preserve">unit_price_inr</t>
  </si>
  <si>
    <t xml:space="preserve">discount_pct</t>
  </si>
  <si>
    <t xml:space="preserve">sales_inr</t>
  </si>
  <si>
    <t xml:space="preserve">cost_inr</t>
  </si>
  <si>
    <t xml:space="preserve">profit_inr</t>
  </si>
  <si>
    <t xml:space="preserve">order_status</t>
  </si>
  <si>
    <t xml:space="preserve">order_year</t>
  </si>
  <si>
    <t xml:space="preserve">order_month</t>
  </si>
  <si>
    <t xml:space="preserve">category</t>
  </si>
  <si>
    <t xml:space="preserve">region</t>
  </si>
  <si>
    <t xml:space="preserve">segment</t>
  </si>
  <si>
    <t xml:space="preserve">city</t>
  </si>
  <si>
    <t xml:space="preserve">O00001</t>
  </si>
  <si>
    <t xml:space="preserve">C001</t>
  </si>
  <si>
    <t xml:space="preserve">Debit Card</t>
  </si>
  <si>
    <t xml:space="preserve">O00002</t>
  </si>
  <si>
    <t xml:space="preserve">C057</t>
  </si>
  <si>
    <t xml:space="preserve">Credit Card</t>
  </si>
  <si>
    <t xml:space="preserve">O00003</t>
  </si>
  <si>
    <t xml:space="preserve">C037</t>
  </si>
  <si>
    <t xml:space="preserve">O00004</t>
  </si>
  <si>
    <t xml:space="preserve">C026</t>
  </si>
  <si>
    <t xml:space="preserve">UPI</t>
  </si>
  <si>
    <t xml:space="preserve">O00005</t>
  </si>
  <si>
    <t xml:space="preserve">C081</t>
  </si>
  <si>
    <t xml:space="preserve">O00006</t>
  </si>
  <si>
    <t xml:space="preserve">C089</t>
  </si>
  <si>
    <t xml:space="preserve">O00007</t>
  </si>
  <si>
    <t xml:space="preserve">C090</t>
  </si>
  <si>
    <t xml:space="preserve">Cash</t>
  </si>
  <si>
    <t xml:space="preserve">O00008</t>
  </si>
  <si>
    <t xml:space="preserve">C060</t>
  </si>
  <si>
    <t xml:space="preserve">Net Banking</t>
  </si>
  <si>
    <t xml:space="preserve">O00009</t>
  </si>
  <si>
    <t xml:space="preserve">C065</t>
  </si>
  <si>
    <t xml:space="preserve">O00010</t>
  </si>
  <si>
    <t xml:space="preserve">C097</t>
  </si>
  <si>
    <t xml:space="preserve">O00011</t>
  </si>
  <si>
    <t xml:space="preserve">C036</t>
  </si>
  <si>
    <t xml:space="preserve">O00012</t>
  </si>
  <si>
    <t xml:space="preserve">C011</t>
  </si>
  <si>
    <t xml:space="preserve">O00013</t>
  </si>
  <si>
    <t xml:space="preserve">C053</t>
  </si>
  <si>
    <t xml:space="preserve">O00014</t>
  </si>
  <si>
    <t xml:space="preserve">C075</t>
  </si>
  <si>
    <t xml:space="preserve">O00015</t>
  </si>
  <si>
    <t xml:space="preserve">C046</t>
  </si>
  <si>
    <t xml:space="preserve">O00016</t>
  </si>
  <si>
    <t xml:space="preserve">C070</t>
  </si>
  <si>
    <t xml:space="preserve">O00017</t>
  </si>
  <si>
    <t xml:space="preserve">C044</t>
  </si>
  <si>
    <t xml:space="preserve">O00018</t>
  </si>
  <si>
    <t xml:space="preserve">C069</t>
  </si>
  <si>
    <t xml:space="preserve">O00019</t>
  </si>
  <si>
    <t xml:space="preserve">C018</t>
  </si>
  <si>
    <t xml:space="preserve">O00020</t>
  </si>
  <si>
    <t xml:space="preserve">O00021</t>
  </si>
  <si>
    <t xml:space="preserve">C061</t>
  </si>
  <si>
    <t xml:space="preserve">O00022</t>
  </si>
  <si>
    <t xml:space="preserve">C084</t>
  </si>
  <si>
    <t xml:space="preserve">O00023</t>
  </si>
  <si>
    <t xml:space="preserve">C017</t>
  </si>
  <si>
    <t xml:space="preserve">O00024</t>
  </si>
  <si>
    <t xml:space="preserve">C022</t>
  </si>
  <si>
    <t xml:space="preserve">O00025</t>
  </si>
  <si>
    <t xml:space="preserve">C004</t>
  </si>
  <si>
    <t xml:space="preserve">O00026</t>
  </si>
  <si>
    <t xml:space="preserve">O00027</t>
  </si>
  <si>
    <t xml:space="preserve">C073</t>
  </si>
  <si>
    <t xml:space="preserve">O00028</t>
  </si>
  <si>
    <t xml:space="preserve">O00029</t>
  </si>
  <si>
    <t xml:space="preserve">C059</t>
  </si>
  <si>
    <t xml:space="preserve">O00030</t>
  </si>
  <si>
    <t xml:space="preserve">O00031</t>
  </si>
  <si>
    <t xml:space="preserve">C032</t>
  </si>
  <si>
    <t xml:space="preserve">O00032</t>
  </si>
  <si>
    <t xml:space="preserve">C086</t>
  </si>
  <si>
    <t xml:space="preserve">O00033</t>
  </si>
  <si>
    <t xml:space="preserve">C034</t>
  </si>
  <si>
    <t xml:space="preserve">O00034</t>
  </si>
  <si>
    <t xml:space="preserve">C025</t>
  </si>
  <si>
    <t xml:space="preserve">O00035</t>
  </si>
  <si>
    <t xml:space="preserve">C063</t>
  </si>
  <si>
    <t xml:space="preserve">O00036</t>
  </si>
  <si>
    <t xml:space="preserve">O00037</t>
  </si>
  <si>
    <t xml:space="preserve">O00038</t>
  </si>
  <si>
    <t xml:space="preserve">C096</t>
  </si>
  <si>
    <t xml:space="preserve">O00039</t>
  </si>
  <si>
    <t xml:space="preserve">C076</t>
  </si>
  <si>
    <t xml:space="preserve">O00040</t>
  </si>
  <si>
    <t xml:space="preserve">C023</t>
  </si>
  <si>
    <t xml:space="preserve">O00041</t>
  </si>
  <si>
    <t xml:space="preserve">O00042</t>
  </si>
  <si>
    <t xml:space="preserve">C062</t>
  </si>
  <si>
    <t xml:space="preserve">O00043</t>
  </si>
  <si>
    <t xml:space="preserve">C052</t>
  </si>
  <si>
    <t xml:space="preserve">O00044</t>
  </si>
  <si>
    <t xml:space="preserve">C039</t>
  </si>
  <si>
    <t xml:space="preserve">O00045</t>
  </si>
  <si>
    <t xml:space="preserve">C029</t>
  </si>
  <si>
    <t xml:space="preserve">O00046</t>
  </si>
  <si>
    <t xml:space="preserve">C040</t>
  </si>
  <si>
    <t xml:space="preserve">O00047</t>
  </si>
  <si>
    <t xml:space="preserve">O00048</t>
  </si>
  <si>
    <t xml:space="preserve">C058</t>
  </si>
  <si>
    <t xml:space="preserve">O00049</t>
  </si>
  <si>
    <t xml:space="preserve">O00050</t>
  </si>
  <si>
    <t xml:space="preserve">O00051</t>
  </si>
  <si>
    <t xml:space="preserve">O00052</t>
  </si>
  <si>
    <t xml:space="preserve">O00053</t>
  </si>
  <si>
    <t xml:space="preserve">C077</t>
  </si>
  <si>
    <t xml:space="preserve">O00054</t>
  </si>
  <si>
    <t xml:space="preserve">C087</t>
  </si>
  <si>
    <t xml:space="preserve">O00055</t>
  </si>
  <si>
    <t xml:space="preserve">C098</t>
  </si>
  <si>
    <t xml:space="preserve">O00056</t>
  </si>
  <si>
    <t xml:space="preserve">C056</t>
  </si>
  <si>
    <t xml:space="preserve">O00057</t>
  </si>
  <si>
    <t xml:space="preserve">O00058</t>
  </si>
  <si>
    <t xml:space="preserve">O00059</t>
  </si>
  <si>
    <t xml:space="preserve">C099</t>
  </si>
  <si>
    <t xml:space="preserve">O00060</t>
  </si>
  <si>
    <t xml:space="preserve">C007</t>
  </si>
  <si>
    <t xml:space="preserve">O00061</t>
  </si>
  <si>
    <t xml:space="preserve">C027</t>
  </si>
  <si>
    <t xml:space="preserve">O00062</t>
  </si>
  <si>
    <t xml:space="preserve">O00063</t>
  </si>
  <si>
    <t xml:space="preserve">C012</t>
  </si>
  <si>
    <t xml:space="preserve">O00064</t>
  </si>
  <si>
    <t xml:space="preserve">C092</t>
  </si>
  <si>
    <t xml:space="preserve">O00065</t>
  </si>
  <si>
    <t xml:space="preserve">C071</t>
  </si>
  <si>
    <t xml:space="preserve">O00066</t>
  </si>
  <si>
    <t xml:space="preserve">O00067</t>
  </si>
  <si>
    <t xml:space="preserve">O00068</t>
  </si>
  <si>
    <t xml:space="preserve">O00069</t>
  </si>
  <si>
    <t xml:space="preserve">O00070</t>
  </si>
  <si>
    <t xml:space="preserve">O00071</t>
  </si>
  <si>
    <t xml:space="preserve">C005</t>
  </si>
  <si>
    <t xml:space="preserve">O00072</t>
  </si>
  <si>
    <t xml:space="preserve">O00073</t>
  </si>
  <si>
    <t xml:space="preserve">O00074</t>
  </si>
  <si>
    <t xml:space="preserve">C041</t>
  </si>
  <si>
    <t xml:space="preserve">O00075</t>
  </si>
  <si>
    <t xml:space="preserve">O00076</t>
  </si>
  <si>
    <t xml:space="preserve">O00077</t>
  </si>
  <si>
    <t xml:space="preserve">C006</t>
  </si>
  <si>
    <t xml:space="preserve">O00078</t>
  </si>
  <si>
    <t xml:space="preserve">O00079</t>
  </si>
  <si>
    <t xml:space="preserve">C080</t>
  </si>
  <si>
    <t xml:space="preserve">O00080</t>
  </si>
  <si>
    <t xml:space="preserve">O00081</t>
  </si>
  <si>
    <t xml:space="preserve">O00082</t>
  </si>
  <si>
    <t xml:space="preserve">O00083</t>
  </si>
  <si>
    <t xml:space="preserve">C038</t>
  </si>
  <si>
    <t xml:space="preserve">O00084</t>
  </si>
  <si>
    <t xml:space="preserve">C088</t>
  </si>
  <si>
    <t xml:space="preserve">O00085</t>
  </si>
  <si>
    <t xml:space="preserve">C030</t>
  </si>
  <si>
    <t xml:space="preserve">O00086</t>
  </si>
  <si>
    <t xml:space="preserve">C093</t>
  </si>
  <si>
    <t xml:space="preserve">O00087</t>
  </si>
  <si>
    <t xml:space="preserve">O00088</t>
  </si>
  <si>
    <t xml:space="preserve">O00089</t>
  </si>
  <si>
    <t xml:space="preserve">O00090</t>
  </si>
  <si>
    <t xml:space="preserve">O00091</t>
  </si>
  <si>
    <t xml:space="preserve">C072</t>
  </si>
  <si>
    <t xml:space="preserve">O00092</t>
  </si>
  <si>
    <t xml:space="preserve">O00093</t>
  </si>
  <si>
    <t xml:space="preserve">O00094</t>
  </si>
  <si>
    <t xml:space="preserve">C009</t>
  </si>
  <si>
    <t xml:space="preserve">O00095</t>
  </si>
  <si>
    <t xml:space="preserve">O00096</t>
  </si>
  <si>
    <t xml:space="preserve">C048</t>
  </si>
  <si>
    <t xml:space="preserve">O00097</t>
  </si>
  <si>
    <t xml:space="preserve">C020</t>
  </si>
  <si>
    <t xml:space="preserve">O00098</t>
  </si>
  <si>
    <t xml:space="preserve">O00099</t>
  </si>
  <si>
    <t xml:space="preserve">O00100</t>
  </si>
  <si>
    <t xml:space="preserve">O00101</t>
  </si>
  <si>
    <t xml:space="preserve">O00102</t>
  </si>
  <si>
    <t xml:space="preserve">O00103</t>
  </si>
  <si>
    <t xml:space="preserve">C019</t>
  </si>
  <si>
    <t xml:space="preserve">O00104</t>
  </si>
  <si>
    <t xml:space="preserve">O00105</t>
  </si>
  <si>
    <t xml:space="preserve">C095</t>
  </si>
  <si>
    <t xml:space="preserve">O00106</t>
  </si>
  <si>
    <t xml:space="preserve">C014</t>
  </si>
  <si>
    <t xml:space="preserve">O00107</t>
  </si>
  <si>
    <t xml:space="preserve">C083</t>
  </si>
  <si>
    <t xml:space="preserve">O00108</t>
  </si>
  <si>
    <t xml:space="preserve">O00109</t>
  </si>
  <si>
    <t xml:space="preserve">C082</t>
  </si>
  <si>
    <t xml:space="preserve">O00110</t>
  </si>
  <si>
    <t xml:space="preserve">C078</t>
  </si>
  <si>
    <t xml:space="preserve">O00111</t>
  </si>
  <si>
    <t xml:space="preserve">C028</t>
  </si>
  <si>
    <t xml:space="preserve">O00112</t>
  </si>
  <si>
    <t xml:space="preserve">C013</t>
  </si>
  <si>
    <t xml:space="preserve">O00113</t>
  </si>
  <si>
    <t xml:space="preserve">O00114</t>
  </si>
  <si>
    <t xml:space="preserve">O00115</t>
  </si>
  <si>
    <t xml:space="preserve">O00116</t>
  </si>
  <si>
    <t xml:space="preserve">O00117</t>
  </si>
  <si>
    <t xml:space="preserve">O00118</t>
  </si>
  <si>
    <t xml:space="preserve">O00119</t>
  </si>
  <si>
    <t xml:space="preserve">O00120</t>
  </si>
  <si>
    <t xml:space="preserve">O00121</t>
  </si>
  <si>
    <t xml:space="preserve">C054</t>
  </si>
  <si>
    <t xml:space="preserve">O00122</t>
  </si>
  <si>
    <t xml:space="preserve">O00123</t>
  </si>
  <si>
    <t xml:space="preserve">C055</t>
  </si>
  <si>
    <t xml:space="preserve">O00124</t>
  </si>
  <si>
    <t xml:space="preserve">C015</t>
  </si>
  <si>
    <t xml:space="preserve">O00125</t>
  </si>
  <si>
    <t xml:space="preserve">C051</t>
  </si>
  <si>
    <t xml:space="preserve">O00126</t>
  </si>
  <si>
    <t xml:space="preserve">C016</t>
  </si>
  <si>
    <t xml:space="preserve">O00127</t>
  </si>
  <si>
    <t xml:space="preserve">O00128</t>
  </si>
  <si>
    <t xml:space="preserve">O00129</t>
  </si>
  <si>
    <t xml:space="preserve">O00130</t>
  </si>
  <si>
    <t xml:space="preserve">O00131</t>
  </si>
  <si>
    <t xml:space="preserve">C068</t>
  </si>
  <si>
    <t xml:space="preserve">O00132</t>
  </si>
  <si>
    <t xml:space="preserve">C010</t>
  </si>
  <si>
    <t xml:space="preserve">O00133</t>
  </si>
  <si>
    <t xml:space="preserve">O00134</t>
  </si>
  <si>
    <t xml:space="preserve">O00135</t>
  </si>
  <si>
    <t xml:space="preserve">O00136</t>
  </si>
  <si>
    <t xml:space="preserve">O00137</t>
  </si>
  <si>
    <t xml:space="preserve">O00138</t>
  </si>
  <si>
    <t xml:space="preserve">O00139</t>
  </si>
  <si>
    <t xml:space="preserve">O00140</t>
  </si>
  <si>
    <t xml:space="preserve">C042</t>
  </si>
  <si>
    <t xml:space="preserve">O00141</t>
  </si>
  <si>
    <t xml:space="preserve">O00142</t>
  </si>
  <si>
    <t xml:space="preserve">O00143</t>
  </si>
  <si>
    <t xml:space="preserve">O00144</t>
  </si>
  <si>
    <t xml:space="preserve">O00145</t>
  </si>
  <si>
    <t xml:space="preserve">O00146</t>
  </si>
  <si>
    <t xml:space="preserve">C091</t>
  </si>
  <si>
    <t xml:space="preserve">O00147</t>
  </si>
  <si>
    <t xml:space="preserve">O00148</t>
  </si>
  <si>
    <t xml:space="preserve">C047</t>
  </si>
  <si>
    <t xml:space="preserve">O00149</t>
  </si>
  <si>
    <t xml:space="preserve">O00150</t>
  </si>
  <si>
    <t xml:space="preserve">O00151</t>
  </si>
  <si>
    <t xml:space="preserve">C021</t>
  </si>
  <si>
    <t xml:space="preserve">O00152</t>
  </si>
  <si>
    <t xml:space="preserve">O00153</t>
  </si>
  <si>
    <t xml:space="preserve">C031</t>
  </si>
  <si>
    <t xml:space="preserve">O00154</t>
  </si>
  <si>
    <t xml:space="preserve">C074</t>
  </si>
  <si>
    <t xml:space="preserve">O00155</t>
  </si>
  <si>
    <t xml:space="preserve">O00156</t>
  </si>
  <si>
    <t xml:space="preserve">O00157</t>
  </si>
  <si>
    <t xml:space="preserve">O00158</t>
  </si>
  <si>
    <t xml:space="preserve">C045</t>
  </si>
  <si>
    <t xml:space="preserve">O00159</t>
  </si>
  <si>
    <t xml:space="preserve">O00160</t>
  </si>
  <si>
    <t xml:space="preserve">O00161</t>
  </si>
  <si>
    <t xml:space="preserve">O00162</t>
  </si>
  <si>
    <t xml:space="preserve">O00163</t>
  </si>
  <si>
    <t xml:space="preserve">O00164</t>
  </si>
  <si>
    <t xml:space="preserve">O00165</t>
  </si>
  <si>
    <t xml:space="preserve">O00166</t>
  </si>
  <si>
    <t xml:space="preserve">O00167</t>
  </si>
  <si>
    <t xml:space="preserve">O00168</t>
  </si>
  <si>
    <t xml:space="preserve">C094</t>
  </si>
  <si>
    <t xml:space="preserve">O00169</t>
  </si>
  <si>
    <t xml:space="preserve">O00170</t>
  </si>
  <si>
    <t xml:space="preserve">O00171</t>
  </si>
  <si>
    <t xml:space="preserve">O00172</t>
  </si>
  <si>
    <t xml:space="preserve">O00173</t>
  </si>
  <si>
    <t xml:space="preserve">O00174</t>
  </si>
  <si>
    <t xml:space="preserve">O00175</t>
  </si>
  <si>
    <t xml:space="preserve">C067</t>
  </si>
  <si>
    <t xml:space="preserve">O00176</t>
  </si>
  <si>
    <t xml:space="preserve">C024</t>
  </si>
  <si>
    <t xml:space="preserve">O00177</t>
  </si>
  <si>
    <t xml:space="preserve">O00178</t>
  </si>
  <si>
    <t xml:space="preserve">O00179</t>
  </si>
  <si>
    <t xml:space="preserve">O00180</t>
  </si>
  <si>
    <t xml:space="preserve">O00181</t>
  </si>
  <si>
    <t xml:space="preserve">O00182</t>
  </si>
  <si>
    <t xml:space="preserve">O00183</t>
  </si>
  <si>
    <t xml:space="preserve">O00184</t>
  </si>
  <si>
    <t xml:space="preserve">O00185</t>
  </si>
  <si>
    <t xml:space="preserve">O00186</t>
  </si>
  <si>
    <t xml:space="preserve">O00187</t>
  </si>
  <si>
    <t xml:space="preserve">C066</t>
  </si>
  <si>
    <t xml:space="preserve">O00188</t>
  </si>
  <si>
    <t xml:space="preserve">O00189</t>
  </si>
  <si>
    <t xml:space="preserve">O00190</t>
  </si>
  <si>
    <t xml:space="preserve">O00191</t>
  </si>
  <si>
    <t xml:space="preserve">C100</t>
  </si>
  <si>
    <t xml:space="preserve">O00192</t>
  </si>
  <si>
    <t xml:space="preserve">C008</t>
  </si>
  <si>
    <t xml:space="preserve">O00193</t>
  </si>
  <si>
    <t xml:space="preserve">O00194</t>
  </si>
  <si>
    <t xml:space="preserve">O00195</t>
  </si>
  <si>
    <t xml:space="preserve">O00196</t>
  </si>
  <si>
    <t xml:space="preserve">O00197</t>
  </si>
  <si>
    <t xml:space="preserve">O00198</t>
  </si>
  <si>
    <t xml:space="preserve">O00199</t>
  </si>
  <si>
    <t xml:space="preserve">O00200</t>
  </si>
  <si>
    <t xml:space="preserve">O00201</t>
  </si>
  <si>
    <t xml:space="preserve">O00202</t>
  </si>
  <si>
    <t xml:space="preserve">O00203</t>
  </si>
  <si>
    <t xml:space="preserve">O00204</t>
  </si>
  <si>
    <t xml:space="preserve">C064</t>
  </si>
  <si>
    <t xml:space="preserve">O00205</t>
  </si>
  <si>
    <t xml:space="preserve">O00206</t>
  </si>
  <si>
    <t xml:space="preserve">C002</t>
  </si>
  <si>
    <t xml:space="preserve">O00207</t>
  </si>
  <si>
    <t xml:space="preserve">O00208</t>
  </si>
  <si>
    <t xml:space="preserve">C050</t>
  </si>
  <si>
    <t xml:space="preserve">O00209</t>
  </si>
  <si>
    <t xml:space="preserve">O00210</t>
  </si>
  <si>
    <t xml:space="preserve">O00211</t>
  </si>
  <si>
    <t xml:space="preserve">O00212</t>
  </si>
  <si>
    <t xml:space="preserve">O00213</t>
  </si>
  <si>
    <t xml:space="preserve">O00214</t>
  </si>
  <si>
    <t xml:space="preserve">O00215</t>
  </si>
  <si>
    <t xml:space="preserve">O00216</t>
  </si>
  <si>
    <t xml:space="preserve">O00217</t>
  </si>
  <si>
    <t xml:space="preserve">O00218</t>
  </si>
  <si>
    <t xml:space="preserve">O00219</t>
  </si>
  <si>
    <t xml:space="preserve">O00220</t>
  </si>
  <si>
    <t xml:space="preserve">O00221</t>
  </si>
  <si>
    <t xml:space="preserve">O00222</t>
  </si>
  <si>
    <t xml:space="preserve">O00223</t>
  </si>
  <si>
    <t xml:space="preserve">O00224</t>
  </si>
  <si>
    <t xml:space="preserve">O00225</t>
  </si>
  <si>
    <t xml:space="preserve">O00226</t>
  </si>
  <si>
    <t xml:space="preserve">O00227</t>
  </si>
  <si>
    <t xml:space="preserve">O00228</t>
  </si>
  <si>
    <t xml:space="preserve">O00229</t>
  </si>
  <si>
    <t xml:space="preserve">O00230</t>
  </si>
  <si>
    <t xml:space="preserve">O00231</t>
  </si>
  <si>
    <t xml:space="preserve">O00232</t>
  </si>
  <si>
    <t xml:space="preserve">C043</t>
  </si>
  <si>
    <t xml:space="preserve">O00233</t>
  </si>
  <si>
    <t xml:space="preserve">O00234</t>
  </si>
  <si>
    <t xml:space="preserve">O00235</t>
  </si>
  <si>
    <t xml:space="preserve">O00236</t>
  </si>
  <si>
    <t xml:space="preserve">O00237</t>
  </si>
  <si>
    <t xml:space="preserve">O00238</t>
  </si>
  <si>
    <t xml:space="preserve">O00239</t>
  </si>
  <si>
    <t xml:space="preserve">O00240</t>
  </si>
  <si>
    <t xml:space="preserve">O00241</t>
  </si>
  <si>
    <t xml:space="preserve">O00242</t>
  </si>
  <si>
    <t xml:space="preserve">O00243</t>
  </si>
  <si>
    <t xml:space="preserve">O00244</t>
  </si>
  <si>
    <t xml:space="preserve">O00245</t>
  </si>
  <si>
    <t xml:space="preserve">O00246</t>
  </si>
  <si>
    <t xml:space="preserve">O00247</t>
  </si>
  <si>
    <t xml:space="preserve">O00248</t>
  </si>
  <si>
    <t xml:space="preserve">O00249</t>
  </si>
  <si>
    <t xml:space="preserve">O00250</t>
  </si>
  <si>
    <t xml:space="preserve">C049</t>
  </si>
  <si>
    <t xml:space="preserve">O00251</t>
  </si>
  <si>
    <t xml:space="preserve">O00252</t>
  </si>
  <si>
    <t xml:space="preserve">O00253</t>
  </si>
  <si>
    <t xml:space="preserve">O00254</t>
  </si>
  <si>
    <t xml:space="preserve">C085</t>
  </si>
  <si>
    <t xml:space="preserve">O00255</t>
  </si>
  <si>
    <t xml:space="preserve">O00256</t>
  </si>
  <si>
    <t xml:space="preserve">O00257</t>
  </si>
  <si>
    <t xml:space="preserve">O00258</t>
  </si>
  <si>
    <t xml:space="preserve">O00259</t>
  </si>
  <si>
    <t xml:space="preserve">O00260</t>
  </si>
  <si>
    <t xml:space="preserve">O00261</t>
  </si>
  <si>
    <t xml:space="preserve">O00262</t>
  </si>
  <si>
    <t xml:space="preserve">O00263</t>
  </si>
  <si>
    <t xml:space="preserve">O00264</t>
  </si>
  <si>
    <t xml:space="preserve">O00265</t>
  </si>
  <si>
    <t xml:space="preserve">O00266</t>
  </si>
  <si>
    <t xml:space="preserve">O00267</t>
  </si>
  <si>
    <t xml:space="preserve">O00268</t>
  </si>
  <si>
    <t xml:space="preserve">O00269</t>
  </si>
  <si>
    <t xml:space="preserve">O00270</t>
  </si>
  <si>
    <t xml:space="preserve">O00271</t>
  </si>
  <si>
    <t xml:space="preserve">O00272</t>
  </si>
  <si>
    <t xml:space="preserve">O00273</t>
  </si>
  <si>
    <t xml:space="preserve">O00274</t>
  </si>
  <si>
    <t xml:space="preserve">O00275</t>
  </si>
  <si>
    <t xml:space="preserve">O00276</t>
  </si>
  <si>
    <t xml:space="preserve">O00277</t>
  </si>
  <si>
    <t xml:space="preserve">O00278</t>
  </si>
  <si>
    <t xml:space="preserve">O00279</t>
  </si>
  <si>
    <t xml:space="preserve">O00280</t>
  </si>
  <si>
    <t xml:space="preserve">O00281</t>
  </si>
  <si>
    <t xml:space="preserve">O00282</t>
  </si>
  <si>
    <t xml:space="preserve">O00283</t>
  </si>
  <si>
    <t xml:space="preserve">O00284</t>
  </si>
  <si>
    <t xml:space="preserve">O00285</t>
  </si>
  <si>
    <t xml:space="preserve">O00286</t>
  </si>
  <si>
    <t xml:space="preserve">O00287</t>
  </si>
  <si>
    <t xml:space="preserve">O00288</t>
  </si>
  <si>
    <t xml:space="preserve">O00289</t>
  </si>
  <si>
    <t xml:space="preserve">O00290</t>
  </si>
  <si>
    <t xml:space="preserve">O00291</t>
  </si>
  <si>
    <t xml:space="preserve">O00292</t>
  </si>
  <si>
    <t xml:space="preserve">O00293</t>
  </si>
  <si>
    <t xml:space="preserve">O00294</t>
  </si>
  <si>
    <t xml:space="preserve">O00295</t>
  </si>
  <si>
    <t xml:space="preserve">O00296</t>
  </si>
  <si>
    <t xml:space="preserve">O00297</t>
  </si>
  <si>
    <t xml:space="preserve">O00298</t>
  </si>
  <si>
    <t xml:space="preserve">O00299</t>
  </si>
  <si>
    <t xml:space="preserve">O00300</t>
  </si>
  <si>
    <t xml:space="preserve">O00301</t>
  </si>
  <si>
    <t xml:space="preserve">O00302</t>
  </si>
  <si>
    <t xml:space="preserve">O00303</t>
  </si>
  <si>
    <t xml:space="preserve">O00304</t>
  </si>
  <si>
    <t xml:space="preserve">O00305</t>
  </si>
  <si>
    <t xml:space="preserve">O00306</t>
  </si>
  <si>
    <t xml:space="preserve">O00307</t>
  </si>
  <si>
    <t xml:space="preserve">O00308</t>
  </si>
  <si>
    <t xml:space="preserve">O00309</t>
  </si>
  <si>
    <t xml:space="preserve">O00310</t>
  </si>
  <si>
    <t xml:space="preserve">O00311</t>
  </si>
  <si>
    <t xml:space="preserve">O00312</t>
  </si>
  <si>
    <t xml:space="preserve">O00313</t>
  </si>
  <si>
    <t xml:space="preserve">O00314</t>
  </si>
  <si>
    <t xml:space="preserve">O00315</t>
  </si>
  <si>
    <t xml:space="preserve">O00316</t>
  </si>
  <si>
    <t xml:space="preserve">O00317</t>
  </si>
  <si>
    <t xml:space="preserve">O00318</t>
  </si>
  <si>
    <t xml:space="preserve">O00319</t>
  </si>
  <si>
    <t xml:space="preserve">O00320</t>
  </si>
  <si>
    <t xml:space="preserve">O00321</t>
  </si>
  <si>
    <t xml:space="preserve">O00322</t>
  </si>
  <si>
    <t xml:space="preserve">O00323</t>
  </si>
  <si>
    <t xml:space="preserve">O00324</t>
  </si>
  <si>
    <t xml:space="preserve">O00325</t>
  </si>
  <si>
    <t xml:space="preserve">O00326</t>
  </si>
  <si>
    <t xml:space="preserve">O00327</t>
  </si>
  <si>
    <t xml:space="preserve">O00328</t>
  </si>
  <si>
    <t xml:space="preserve">O00329</t>
  </si>
  <si>
    <t xml:space="preserve">O00330</t>
  </si>
  <si>
    <t xml:space="preserve">O00331</t>
  </si>
  <si>
    <t xml:space="preserve">O00332</t>
  </si>
  <si>
    <t xml:space="preserve">O00333</t>
  </si>
  <si>
    <t xml:space="preserve">O00334</t>
  </si>
  <si>
    <t xml:space="preserve">O00335</t>
  </si>
  <si>
    <t xml:space="preserve">O00336</t>
  </si>
  <si>
    <t xml:space="preserve">O00337</t>
  </si>
  <si>
    <t xml:space="preserve">O00338</t>
  </si>
  <si>
    <t xml:space="preserve">O00339</t>
  </si>
  <si>
    <t xml:space="preserve">O00340</t>
  </si>
  <si>
    <t xml:space="preserve">O00341</t>
  </si>
  <si>
    <t xml:space="preserve">O00342</t>
  </si>
  <si>
    <t xml:space="preserve">O00343</t>
  </si>
  <si>
    <t xml:space="preserve">O00344</t>
  </si>
  <si>
    <t xml:space="preserve">O00345</t>
  </si>
  <si>
    <t xml:space="preserve">O00346</t>
  </si>
  <si>
    <t xml:space="preserve">O00347</t>
  </si>
  <si>
    <t xml:space="preserve">O00348</t>
  </si>
  <si>
    <t xml:space="preserve">O00349</t>
  </si>
  <si>
    <t xml:space="preserve">O00350</t>
  </si>
  <si>
    <t xml:space="preserve">O00351</t>
  </si>
  <si>
    <t xml:space="preserve">O00352</t>
  </si>
  <si>
    <t xml:space="preserve">C079</t>
  </si>
  <si>
    <t xml:space="preserve">O00353</t>
  </si>
  <si>
    <t xml:space="preserve">O00354</t>
  </si>
  <si>
    <t xml:space="preserve">O00355</t>
  </si>
  <si>
    <t xml:space="preserve">O00356</t>
  </si>
  <si>
    <t xml:space="preserve">O00357</t>
  </si>
  <si>
    <t xml:space="preserve">O00358</t>
  </si>
  <si>
    <t xml:space="preserve">O00359</t>
  </si>
  <si>
    <t xml:space="preserve">O00360</t>
  </si>
  <si>
    <t xml:space="preserve">O00361</t>
  </si>
  <si>
    <t xml:space="preserve">O00362</t>
  </si>
  <si>
    <t xml:space="preserve">O00363</t>
  </si>
  <si>
    <t xml:space="preserve">O00364</t>
  </si>
  <si>
    <t xml:space="preserve">O00365</t>
  </si>
  <si>
    <t xml:space="preserve">O00366</t>
  </si>
  <si>
    <t xml:space="preserve">O00367</t>
  </si>
  <si>
    <t xml:space="preserve">O00368</t>
  </si>
  <si>
    <t xml:space="preserve">C035</t>
  </si>
  <si>
    <t xml:space="preserve">O00369</t>
  </si>
  <si>
    <t xml:space="preserve">O00370</t>
  </si>
  <si>
    <t xml:space="preserve">O00371</t>
  </si>
  <si>
    <t xml:space="preserve">O00372</t>
  </si>
  <si>
    <t xml:space="preserve">O00373</t>
  </si>
  <si>
    <t xml:space="preserve">O00374</t>
  </si>
  <si>
    <t xml:space="preserve">O00375</t>
  </si>
  <si>
    <t xml:space="preserve">O00376</t>
  </si>
  <si>
    <t xml:space="preserve">O00377</t>
  </si>
  <si>
    <t xml:space="preserve">O00378</t>
  </si>
  <si>
    <t xml:space="preserve">O00379</t>
  </si>
  <si>
    <t xml:space="preserve">O00380</t>
  </si>
  <si>
    <t xml:space="preserve">O00381</t>
  </si>
  <si>
    <t xml:space="preserve">O00382</t>
  </si>
  <si>
    <t xml:space="preserve">O00383</t>
  </si>
  <si>
    <t xml:space="preserve">O00384</t>
  </si>
  <si>
    <t xml:space="preserve">O00385</t>
  </si>
  <si>
    <t xml:space="preserve">O00386</t>
  </si>
  <si>
    <t xml:space="preserve">O00387</t>
  </si>
  <si>
    <t xml:space="preserve">O00388</t>
  </si>
  <si>
    <t xml:space="preserve">O00389</t>
  </si>
  <si>
    <t xml:space="preserve">O00390</t>
  </si>
  <si>
    <t xml:space="preserve">O00391</t>
  </si>
  <si>
    <t xml:space="preserve">O00392</t>
  </si>
  <si>
    <t xml:space="preserve">O00393</t>
  </si>
  <si>
    <t xml:space="preserve">O00394</t>
  </si>
  <si>
    <t xml:space="preserve">O00395</t>
  </si>
  <si>
    <t xml:space="preserve">O00396</t>
  </si>
  <si>
    <t xml:space="preserve">O00397</t>
  </si>
  <si>
    <t xml:space="preserve">O00398</t>
  </si>
  <si>
    <t xml:space="preserve">O00399</t>
  </si>
  <si>
    <t xml:space="preserve">O00400</t>
  </si>
  <si>
    <t xml:space="preserve">O00401</t>
  </si>
  <si>
    <t xml:space="preserve">O00402</t>
  </si>
  <si>
    <t xml:space="preserve">O00403</t>
  </si>
  <si>
    <t xml:space="preserve">O00404</t>
  </si>
  <si>
    <t xml:space="preserve">C003</t>
  </si>
  <si>
    <t xml:space="preserve">O00405</t>
  </si>
  <si>
    <t xml:space="preserve">O00406</t>
  </si>
  <si>
    <t xml:space="preserve">O00407</t>
  </si>
  <si>
    <t xml:space="preserve">O00408</t>
  </si>
  <si>
    <t xml:space="preserve">O00409</t>
  </si>
  <si>
    <t xml:space="preserve">O00410</t>
  </si>
  <si>
    <t xml:space="preserve">O00411</t>
  </si>
  <si>
    <t xml:space="preserve">O00412</t>
  </si>
  <si>
    <t xml:space="preserve">O00413</t>
  </si>
  <si>
    <t xml:space="preserve">O00414</t>
  </si>
  <si>
    <t xml:space="preserve">O00415</t>
  </si>
  <si>
    <t xml:space="preserve">O00416</t>
  </si>
  <si>
    <t xml:space="preserve">O00417</t>
  </si>
  <si>
    <t xml:space="preserve">O00418</t>
  </si>
  <si>
    <t xml:space="preserve">O00419</t>
  </si>
  <si>
    <t xml:space="preserve">O00420</t>
  </si>
  <si>
    <t xml:space="preserve">O00421</t>
  </si>
  <si>
    <t xml:space="preserve">O00422</t>
  </si>
  <si>
    <t xml:space="preserve">O00423</t>
  </si>
  <si>
    <t xml:space="preserve">O00424</t>
  </si>
  <si>
    <t xml:space="preserve">O00425</t>
  </si>
  <si>
    <t xml:space="preserve">O00426</t>
  </si>
  <si>
    <t xml:space="preserve">O00427</t>
  </si>
  <si>
    <t xml:space="preserve">O00428</t>
  </si>
  <si>
    <t xml:space="preserve">O00429</t>
  </si>
  <si>
    <t xml:space="preserve">O00430</t>
  </si>
  <si>
    <t xml:space="preserve">O00431</t>
  </si>
  <si>
    <t xml:space="preserve">O00432</t>
  </si>
  <si>
    <t xml:space="preserve">O00433</t>
  </si>
  <si>
    <t xml:space="preserve">O00434</t>
  </si>
  <si>
    <t xml:space="preserve">O00435</t>
  </si>
  <si>
    <t xml:space="preserve">O00436</t>
  </si>
  <si>
    <t xml:space="preserve">O00437</t>
  </si>
  <si>
    <t xml:space="preserve">O00438</t>
  </si>
  <si>
    <t xml:space="preserve">O00439</t>
  </si>
  <si>
    <t xml:space="preserve">O00440</t>
  </si>
  <si>
    <t xml:space="preserve">O00441</t>
  </si>
  <si>
    <t xml:space="preserve">O00442</t>
  </si>
  <si>
    <t xml:space="preserve">O00443</t>
  </si>
  <si>
    <t xml:space="preserve">O00444</t>
  </si>
  <si>
    <t xml:space="preserve">O00445</t>
  </si>
  <si>
    <t xml:space="preserve">O00446</t>
  </si>
  <si>
    <t xml:space="preserve">O00447</t>
  </si>
  <si>
    <t xml:space="preserve">O00448</t>
  </si>
  <si>
    <t xml:space="preserve">O00449</t>
  </si>
  <si>
    <t xml:space="preserve">O00450</t>
  </si>
  <si>
    <t xml:space="preserve">O00451</t>
  </si>
  <si>
    <t xml:space="preserve">O00452</t>
  </si>
  <si>
    <t xml:space="preserve">O00453</t>
  </si>
  <si>
    <t xml:space="preserve">O00454</t>
  </si>
  <si>
    <t xml:space="preserve">O00455</t>
  </si>
  <si>
    <t xml:space="preserve">O00456</t>
  </si>
  <si>
    <t xml:space="preserve">O00457</t>
  </si>
  <si>
    <t xml:space="preserve">O00458</t>
  </si>
  <si>
    <t xml:space="preserve">O00459</t>
  </si>
  <si>
    <t xml:space="preserve">O00460</t>
  </si>
  <si>
    <t xml:space="preserve">O00461</t>
  </si>
  <si>
    <t xml:space="preserve">O00462</t>
  </si>
  <si>
    <t xml:space="preserve">O00463</t>
  </si>
  <si>
    <t xml:space="preserve">O00464</t>
  </si>
  <si>
    <t xml:space="preserve">O00465</t>
  </si>
  <si>
    <t xml:space="preserve">O00466</t>
  </si>
  <si>
    <t xml:space="preserve">O00467</t>
  </si>
  <si>
    <t xml:space="preserve">O00468</t>
  </si>
  <si>
    <t xml:space="preserve">O00469</t>
  </si>
  <si>
    <t xml:space="preserve">O00470</t>
  </si>
  <si>
    <t xml:space="preserve">O00471</t>
  </si>
  <si>
    <t xml:space="preserve">O00472</t>
  </si>
  <si>
    <t xml:space="preserve">O00473</t>
  </si>
  <si>
    <t xml:space="preserve">O00474</t>
  </si>
  <si>
    <t xml:space="preserve">O00475</t>
  </si>
  <si>
    <t xml:space="preserve">O00476</t>
  </si>
  <si>
    <t xml:space="preserve">O00477</t>
  </si>
  <si>
    <t xml:space="preserve">O00478</t>
  </si>
  <si>
    <t xml:space="preserve">O00479</t>
  </si>
  <si>
    <t xml:space="preserve">O00480</t>
  </si>
  <si>
    <t xml:space="preserve">O00481</t>
  </si>
  <si>
    <t xml:space="preserve">O00482</t>
  </si>
  <si>
    <t xml:space="preserve">O00483</t>
  </si>
  <si>
    <t xml:space="preserve">O00484</t>
  </si>
  <si>
    <t xml:space="preserve">O00485</t>
  </si>
  <si>
    <t xml:space="preserve">O00486</t>
  </si>
  <si>
    <t xml:space="preserve">O00487</t>
  </si>
  <si>
    <t xml:space="preserve">O00488</t>
  </si>
  <si>
    <t xml:space="preserve">O00489</t>
  </si>
  <si>
    <t xml:space="preserve">O00490</t>
  </si>
  <si>
    <t xml:space="preserve">O00491</t>
  </si>
  <si>
    <t xml:space="preserve">O00492</t>
  </si>
  <si>
    <t xml:space="preserve">O00493</t>
  </si>
  <si>
    <t xml:space="preserve">O00494</t>
  </si>
  <si>
    <t xml:space="preserve">O00495</t>
  </si>
  <si>
    <t xml:space="preserve">O00496</t>
  </si>
  <si>
    <t xml:space="preserve">O00497</t>
  </si>
  <si>
    <t xml:space="preserve">O00498</t>
  </si>
  <si>
    <t xml:space="preserve">O00499</t>
  </si>
  <si>
    <t xml:space="preserve">O00500</t>
  </si>
  <si>
    <t xml:space="preserve">O00501</t>
  </si>
  <si>
    <t xml:space="preserve">O00502</t>
  </si>
  <si>
    <t xml:space="preserve">O00503</t>
  </si>
  <si>
    <t xml:space="preserve">O00504</t>
  </si>
  <si>
    <t xml:space="preserve">O00505</t>
  </si>
  <si>
    <t xml:space="preserve">O00506</t>
  </si>
  <si>
    <t xml:space="preserve">O00507</t>
  </si>
  <si>
    <t xml:space="preserve">O00508</t>
  </si>
  <si>
    <t xml:space="preserve">O00509</t>
  </si>
  <si>
    <t xml:space="preserve">O00510</t>
  </si>
  <si>
    <t xml:space="preserve">O00511</t>
  </si>
  <si>
    <t xml:space="preserve">O00512</t>
  </si>
  <si>
    <t xml:space="preserve">O00513</t>
  </si>
  <si>
    <t xml:space="preserve">O00514</t>
  </si>
  <si>
    <t xml:space="preserve">O00515</t>
  </si>
  <si>
    <t xml:space="preserve">O00516</t>
  </si>
  <si>
    <t xml:space="preserve">O00517</t>
  </si>
  <si>
    <t xml:space="preserve">O00518</t>
  </si>
  <si>
    <t xml:space="preserve">O00519</t>
  </si>
  <si>
    <t xml:space="preserve">O00520</t>
  </si>
  <si>
    <t xml:space="preserve">O00521</t>
  </si>
  <si>
    <t xml:space="preserve">C033</t>
  </si>
  <si>
    <t xml:space="preserve">O00522</t>
  </si>
  <si>
    <t xml:space="preserve">O00523</t>
  </si>
  <si>
    <t xml:space="preserve">O00524</t>
  </si>
  <si>
    <t xml:space="preserve">O00525</t>
  </si>
  <si>
    <t xml:space="preserve">O00526</t>
  </si>
  <si>
    <t xml:space="preserve">O00527</t>
  </si>
  <si>
    <t xml:space="preserve">O00528</t>
  </si>
  <si>
    <t xml:space="preserve">O00529</t>
  </si>
  <si>
    <t xml:space="preserve">O00530</t>
  </si>
  <si>
    <t xml:space="preserve">O00531</t>
  </si>
  <si>
    <t xml:space="preserve">O00532</t>
  </si>
  <si>
    <t xml:space="preserve">O00533</t>
  </si>
  <si>
    <t xml:space="preserve">O00534</t>
  </si>
  <si>
    <t xml:space="preserve">O00535</t>
  </si>
  <si>
    <t xml:space="preserve">O00536</t>
  </si>
  <si>
    <t xml:space="preserve">O00537</t>
  </si>
  <si>
    <t xml:space="preserve">O00538</t>
  </si>
  <si>
    <t xml:space="preserve">O00539</t>
  </si>
  <si>
    <t xml:space="preserve">O00540</t>
  </si>
  <si>
    <t xml:space="preserve">O00541</t>
  </si>
  <si>
    <t xml:space="preserve">O00542</t>
  </si>
  <si>
    <t xml:space="preserve">O00543</t>
  </si>
  <si>
    <t xml:space="preserve">O00544</t>
  </si>
  <si>
    <t xml:space="preserve">O00545</t>
  </si>
  <si>
    <t xml:space="preserve">O00546</t>
  </si>
  <si>
    <t xml:space="preserve">O00547</t>
  </si>
  <si>
    <t xml:space="preserve">O00548</t>
  </si>
  <si>
    <t xml:space="preserve">O00549</t>
  </si>
  <si>
    <t xml:space="preserve">O00550</t>
  </si>
  <si>
    <t xml:space="preserve">O00551</t>
  </si>
  <si>
    <t xml:space="preserve">O00552</t>
  </si>
  <si>
    <t xml:space="preserve">O00553</t>
  </si>
  <si>
    <t xml:space="preserve">O00554</t>
  </si>
  <si>
    <t xml:space="preserve">O00555</t>
  </si>
  <si>
    <t xml:space="preserve">O00556</t>
  </si>
  <si>
    <t xml:space="preserve">O00557</t>
  </si>
  <si>
    <t xml:space="preserve">O00558</t>
  </si>
  <si>
    <t xml:space="preserve">O00559</t>
  </si>
  <si>
    <t xml:space="preserve">O00560</t>
  </si>
  <si>
    <t xml:space="preserve">O00561</t>
  </si>
  <si>
    <t xml:space="preserve">O00562</t>
  </si>
  <si>
    <t xml:space="preserve">O00563</t>
  </si>
  <si>
    <t xml:space="preserve">O00564</t>
  </si>
  <si>
    <t xml:space="preserve">O00565</t>
  </si>
  <si>
    <t xml:space="preserve">O00566</t>
  </si>
  <si>
    <t xml:space="preserve">O00567</t>
  </si>
  <si>
    <t xml:space="preserve">O00568</t>
  </si>
  <si>
    <t xml:space="preserve">O00569</t>
  </si>
  <si>
    <t xml:space="preserve">O00570</t>
  </si>
  <si>
    <t xml:space="preserve">O00571</t>
  </si>
  <si>
    <t xml:space="preserve">O00572</t>
  </si>
  <si>
    <t xml:space="preserve">O00573</t>
  </si>
  <si>
    <t xml:space="preserve">O00574</t>
  </si>
  <si>
    <t xml:space="preserve">O00575</t>
  </si>
  <si>
    <t xml:space="preserve">O00576</t>
  </si>
  <si>
    <t xml:space="preserve">O00577</t>
  </si>
  <si>
    <t xml:space="preserve">O00578</t>
  </si>
  <si>
    <t xml:space="preserve">O00579</t>
  </si>
  <si>
    <t xml:space="preserve">O00580</t>
  </si>
  <si>
    <t xml:space="preserve">O00581</t>
  </si>
  <si>
    <t xml:space="preserve">O00582</t>
  </si>
  <si>
    <t xml:space="preserve">O00583</t>
  </si>
  <si>
    <t xml:space="preserve">O00584</t>
  </si>
  <si>
    <t xml:space="preserve">O00585</t>
  </si>
  <si>
    <t xml:space="preserve">O00586</t>
  </si>
  <si>
    <t xml:space="preserve">O00587</t>
  </si>
  <si>
    <t xml:space="preserve">O00588</t>
  </si>
  <si>
    <t xml:space="preserve">O00589</t>
  </si>
  <si>
    <t xml:space="preserve">O00590</t>
  </si>
  <si>
    <t xml:space="preserve">O00591</t>
  </si>
  <si>
    <t xml:space="preserve">O00592</t>
  </si>
  <si>
    <t xml:space="preserve">O00593</t>
  </si>
  <si>
    <t xml:space="preserve">O00594</t>
  </si>
  <si>
    <t xml:space="preserve">O00595</t>
  </si>
  <si>
    <t xml:space="preserve">O00596</t>
  </si>
  <si>
    <t xml:space="preserve">O00597</t>
  </si>
  <si>
    <t xml:space="preserve">O00598</t>
  </si>
  <si>
    <t xml:space="preserve">O00599</t>
  </si>
  <si>
    <t xml:space="preserve">O00600</t>
  </si>
  <si>
    <t xml:space="preserve">O00601</t>
  </si>
  <si>
    <t xml:space="preserve">O00602</t>
  </si>
  <si>
    <t xml:space="preserve">O00603</t>
  </si>
  <si>
    <t xml:space="preserve">O00604</t>
  </si>
  <si>
    <t xml:space="preserve">O00605</t>
  </si>
  <si>
    <t xml:space="preserve">O00606</t>
  </si>
  <si>
    <t xml:space="preserve">O00607</t>
  </si>
  <si>
    <t xml:space="preserve">O00608</t>
  </si>
  <si>
    <t xml:space="preserve">O00609</t>
  </si>
  <si>
    <t xml:space="preserve">O00610</t>
  </si>
  <si>
    <t xml:space="preserve">O00611</t>
  </si>
  <si>
    <t xml:space="preserve">O00612</t>
  </si>
  <si>
    <t xml:space="preserve">O00613</t>
  </si>
  <si>
    <t xml:space="preserve">O00614</t>
  </si>
  <si>
    <t xml:space="preserve">O00615</t>
  </si>
  <si>
    <t xml:space="preserve">O00616</t>
  </si>
  <si>
    <t xml:space="preserve">O00617</t>
  </si>
  <si>
    <t xml:space="preserve">O00618</t>
  </si>
  <si>
    <t xml:space="preserve">O00619</t>
  </si>
  <si>
    <t xml:space="preserve">O00620</t>
  </si>
  <si>
    <t xml:space="preserve">O00621</t>
  </si>
  <si>
    <t xml:space="preserve">O00622</t>
  </si>
  <si>
    <t xml:space="preserve">O00623</t>
  </si>
  <si>
    <t xml:space="preserve">O00624</t>
  </si>
  <si>
    <t xml:space="preserve">O00625</t>
  </si>
  <si>
    <t xml:space="preserve">O00626</t>
  </si>
  <si>
    <t xml:space="preserve">O00627</t>
  </si>
  <si>
    <t xml:space="preserve">O00628</t>
  </si>
  <si>
    <t xml:space="preserve">O00629</t>
  </si>
  <si>
    <t xml:space="preserve">O00630</t>
  </si>
  <si>
    <t xml:space="preserve">O00631</t>
  </si>
  <si>
    <t xml:space="preserve">O00632</t>
  </si>
  <si>
    <t xml:space="preserve">O00633</t>
  </si>
  <si>
    <t xml:space="preserve">O00634</t>
  </si>
  <si>
    <t xml:space="preserve">O00635</t>
  </si>
  <si>
    <t xml:space="preserve">O00636</t>
  </si>
  <si>
    <t xml:space="preserve">O00637</t>
  </si>
  <si>
    <t xml:space="preserve">O00638</t>
  </si>
  <si>
    <t xml:space="preserve">O00639</t>
  </si>
  <si>
    <t xml:space="preserve">O00640</t>
  </si>
  <si>
    <t xml:space="preserve">O00641</t>
  </si>
  <si>
    <t xml:space="preserve">O00642</t>
  </si>
  <si>
    <t xml:space="preserve">O00643</t>
  </si>
  <si>
    <t xml:space="preserve">O00644</t>
  </si>
  <si>
    <t xml:space="preserve">O00645</t>
  </si>
  <si>
    <t xml:space="preserve">O00646</t>
  </si>
  <si>
    <t xml:space="preserve">O00647</t>
  </si>
  <si>
    <t xml:space="preserve">O00648</t>
  </si>
  <si>
    <t xml:space="preserve">O00649</t>
  </si>
  <si>
    <t xml:space="preserve">O00650</t>
  </si>
  <si>
    <t xml:space="preserve">O00651</t>
  </si>
  <si>
    <t xml:space="preserve">O00652</t>
  </si>
  <si>
    <t xml:space="preserve">O00653</t>
  </si>
  <si>
    <t xml:space="preserve">O00654</t>
  </si>
  <si>
    <t xml:space="preserve">O00655</t>
  </si>
  <si>
    <t xml:space="preserve">O00656</t>
  </si>
  <si>
    <t xml:space="preserve">O00657</t>
  </si>
  <si>
    <t xml:space="preserve">O00658</t>
  </si>
  <si>
    <t xml:space="preserve">O00659</t>
  </si>
  <si>
    <t xml:space="preserve">O00660</t>
  </si>
  <si>
    <t xml:space="preserve">O00661</t>
  </si>
  <si>
    <t xml:space="preserve">O00662</t>
  </si>
  <si>
    <t xml:space="preserve">O00663</t>
  </si>
  <si>
    <t xml:space="preserve">O00664</t>
  </si>
  <si>
    <t xml:space="preserve">O00665</t>
  </si>
  <si>
    <t xml:space="preserve">O00666</t>
  </si>
  <si>
    <t xml:space="preserve">O00667</t>
  </si>
  <si>
    <t xml:space="preserve">O00668</t>
  </si>
  <si>
    <t xml:space="preserve">O00669</t>
  </si>
  <si>
    <t xml:space="preserve">O00670</t>
  </si>
  <si>
    <t xml:space="preserve">O00671</t>
  </si>
  <si>
    <t xml:space="preserve">O00672</t>
  </si>
  <si>
    <t xml:space="preserve">O00673</t>
  </si>
  <si>
    <t xml:space="preserve">O00674</t>
  </si>
  <si>
    <t xml:space="preserve">O00675</t>
  </si>
  <si>
    <t xml:space="preserve">O00676</t>
  </si>
  <si>
    <t xml:space="preserve">O00677</t>
  </si>
  <si>
    <t xml:space="preserve">O00678</t>
  </si>
  <si>
    <t xml:space="preserve">O00679</t>
  </si>
  <si>
    <t xml:space="preserve">O00680</t>
  </si>
  <si>
    <t xml:space="preserve">O00681</t>
  </si>
  <si>
    <t xml:space="preserve">O00682</t>
  </si>
  <si>
    <t xml:space="preserve">O00683</t>
  </si>
  <si>
    <t xml:space="preserve">O00684</t>
  </si>
  <si>
    <t xml:space="preserve">O00685</t>
  </si>
  <si>
    <t xml:space="preserve">O00686</t>
  </si>
  <si>
    <t xml:space="preserve">O00687</t>
  </si>
  <si>
    <t xml:space="preserve">O00688</t>
  </si>
  <si>
    <t xml:space="preserve">O00689</t>
  </si>
  <si>
    <t xml:space="preserve">O00690</t>
  </si>
  <si>
    <t xml:space="preserve">O00691</t>
  </si>
  <si>
    <t xml:space="preserve">O00692</t>
  </si>
  <si>
    <t xml:space="preserve">O00693</t>
  </si>
  <si>
    <t xml:space="preserve">O00694</t>
  </si>
  <si>
    <t xml:space="preserve">O00695</t>
  </si>
  <si>
    <t xml:space="preserve">O00696</t>
  </si>
  <si>
    <t xml:space="preserve">O00697</t>
  </si>
  <si>
    <t xml:space="preserve">O00698</t>
  </si>
  <si>
    <t xml:space="preserve">O00699</t>
  </si>
  <si>
    <t xml:space="preserve">O00700</t>
  </si>
  <si>
    <t xml:space="preserve">O00701</t>
  </si>
  <si>
    <t xml:space="preserve">O00702</t>
  </si>
  <si>
    <t xml:space="preserve">O00703</t>
  </si>
  <si>
    <t xml:space="preserve">O00704</t>
  </si>
  <si>
    <t xml:space="preserve">O00705</t>
  </si>
  <si>
    <t xml:space="preserve">O00706</t>
  </si>
  <si>
    <t xml:space="preserve">O00707</t>
  </si>
  <si>
    <t xml:space="preserve">O00708</t>
  </si>
  <si>
    <t xml:space="preserve">O00709</t>
  </si>
  <si>
    <t xml:space="preserve">O00710</t>
  </si>
  <si>
    <t xml:space="preserve">O00711</t>
  </si>
  <si>
    <t xml:space="preserve">O00712</t>
  </si>
  <si>
    <t xml:space="preserve">O00713</t>
  </si>
  <si>
    <t xml:space="preserve">O00714</t>
  </si>
  <si>
    <t xml:space="preserve">O00715</t>
  </si>
  <si>
    <t xml:space="preserve">O00716</t>
  </si>
  <si>
    <t xml:space="preserve">O00717</t>
  </si>
  <si>
    <t xml:space="preserve">O00718</t>
  </si>
  <si>
    <t xml:space="preserve">O00719</t>
  </si>
  <si>
    <t xml:space="preserve">O00720</t>
  </si>
  <si>
    <t xml:space="preserve">O00721</t>
  </si>
  <si>
    <t xml:space="preserve">O00722</t>
  </si>
  <si>
    <t xml:space="preserve">O00723</t>
  </si>
  <si>
    <t xml:space="preserve">O00724</t>
  </si>
  <si>
    <t xml:space="preserve">O00725</t>
  </si>
  <si>
    <t xml:space="preserve">O00726</t>
  </si>
  <si>
    <t xml:space="preserve">O00727</t>
  </si>
  <si>
    <t xml:space="preserve">O00728</t>
  </si>
  <si>
    <t xml:space="preserve">O00729</t>
  </si>
  <si>
    <t xml:space="preserve">O00730</t>
  </si>
  <si>
    <t xml:space="preserve">O00731</t>
  </si>
  <si>
    <t xml:space="preserve">O00732</t>
  </si>
  <si>
    <t xml:space="preserve">O00733</t>
  </si>
  <si>
    <t xml:space="preserve">O00734</t>
  </si>
  <si>
    <t xml:space="preserve">O00735</t>
  </si>
  <si>
    <t xml:space="preserve">O00736</t>
  </si>
  <si>
    <t xml:space="preserve">O00737</t>
  </si>
  <si>
    <t xml:space="preserve">O00738</t>
  </si>
  <si>
    <t xml:space="preserve">O00739</t>
  </si>
  <si>
    <t xml:space="preserve">O00740</t>
  </si>
  <si>
    <t xml:space="preserve">O00741</t>
  </si>
  <si>
    <t xml:space="preserve">O00742</t>
  </si>
  <si>
    <t xml:space="preserve">O00743</t>
  </si>
  <si>
    <t xml:space="preserve">O00744</t>
  </si>
  <si>
    <t xml:space="preserve">O00745</t>
  </si>
  <si>
    <t xml:space="preserve">O00746</t>
  </si>
  <si>
    <t xml:space="preserve">O00747</t>
  </si>
  <si>
    <t xml:space="preserve">O00748</t>
  </si>
  <si>
    <t xml:space="preserve">O00749</t>
  </si>
  <si>
    <t xml:space="preserve">O00750</t>
  </si>
  <si>
    <t xml:space="preserve">O00751</t>
  </si>
  <si>
    <t xml:space="preserve">O00752</t>
  </si>
  <si>
    <t xml:space="preserve">O00753</t>
  </si>
  <si>
    <t xml:space="preserve">O00754</t>
  </si>
  <si>
    <t xml:space="preserve">O00755</t>
  </si>
  <si>
    <t xml:space="preserve">O00756</t>
  </si>
  <si>
    <t xml:space="preserve">O00757</t>
  </si>
  <si>
    <t xml:space="preserve">O00758</t>
  </si>
  <si>
    <t xml:space="preserve">O00759</t>
  </si>
  <si>
    <t xml:space="preserve">O00760</t>
  </si>
  <si>
    <t xml:space="preserve">O00761</t>
  </si>
  <si>
    <t xml:space="preserve">O00762</t>
  </si>
  <si>
    <t xml:space="preserve">O00763</t>
  </si>
  <si>
    <t xml:space="preserve">O00764</t>
  </si>
  <si>
    <t xml:space="preserve">O00765</t>
  </si>
  <si>
    <t xml:space="preserve">O00766</t>
  </si>
  <si>
    <t xml:space="preserve">O00767</t>
  </si>
  <si>
    <t xml:space="preserve">O00768</t>
  </si>
  <si>
    <t xml:space="preserve">O00769</t>
  </si>
  <si>
    <t xml:space="preserve">O00770</t>
  </si>
  <si>
    <t xml:space="preserve">O00771</t>
  </si>
  <si>
    <t xml:space="preserve">O00772</t>
  </si>
  <si>
    <t xml:space="preserve">O00773</t>
  </si>
  <si>
    <t xml:space="preserve">O00774</t>
  </si>
  <si>
    <t xml:space="preserve">O00775</t>
  </si>
  <si>
    <t xml:space="preserve">O00776</t>
  </si>
  <si>
    <t xml:space="preserve">O00777</t>
  </si>
  <si>
    <t xml:space="preserve">O00778</t>
  </si>
  <si>
    <t xml:space="preserve">O00779</t>
  </si>
  <si>
    <t xml:space="preserve">O00780</t>
  </si>
  <si>
    <t xml:space="preserve">O00781</t>
  </si>
  <si>
    <t xml:space="preserve">O00782</t>
  </si>
  <si>
    <t xml:space="preserve">O00783</t>
  </si>
  <si>
    <t xml:space="preserve">O00784</t>
  </si>
  <si>
    <t xml:space="preserve">O00785</t>
  </si>
  <si>
    <t xml:space="preserve">O00786</t>
  </si>
  <si>
    <t xml:space="preserve">O00787</t>
  </si>
  <si>
    <t xml:space="preserve">O00788</t>
  </si>
  <si>
    <t xml:space="preserve">O00789</t>
  </si>
  <si>
    <t xml:space="preserve">O00790</t>
  </si>
  <si>
    <t xml:space="preserve">O00791</t>
  </si>
  <si>
    <t xml:space="preserve">O00792</t>
  </si>
  <si>
    <t xml:space="preserve">O00793</t>
  </si>
  <si>
    <t xml:space="preserve">O00794</t>
  </si>
  <si>
    <t xml:space="preserve">O00795</t>
  </si>
  <si>
    <t xml:space="preserve">O00796</t>
  </si>
  <si>
    <t xml:space="preserve">O00797</t>
  </si>
  <si>
    <t xml:space="preserve">O00798</t>
  </si>
  <si>
    <t xml:space="preserve">O00799</t>
  </si>
  <si>
    <t xml:space="preserve">O00800</t>
  </si>
  <si>
    <t xml:space="preserve">O00801</t>
  </si>
  <si>
    <t xml:space="preserve">O00802</t>
  </si>
  <si>
    <t xml:space="preserve">O00803</t>
  </si>
  <si>
    <t xml:space="preserve">O00804</t>
  </si>
  <si>
    <t xml:space="preserve">O00805</t>
  </si>
  <si>
    <t xml:space="preserve">O00806</t>
  </si>
  <si>
    <t xml:space="preserve">O00807</t>
  </si>
  <si>
    <t xml:space="preserve">O00808</t>
  </si>
  <si>
    <t xml:space="preserve">O00809</t>
  </si>
  <si>
    <t xml:space="preserve">O00810</t>
  </si>
  <si>
    <t xml:space="preserve">O00811</t>
  </si>
  <si>
    <t xml:space="preserve">O00812</t>
  </si>
  <si>
    <t xml:space="preserve">O00813</t>
  </si>
  <si>
    <t xml:space="preserve">O00814</t>
  </si>
  <si>
    <t xml:space="preserve">O00815</t>
  </si>
  <si>
    <t xml:space="preserve">O00816</t>
  </si>
  <si>
    <t xml:space="preserve">O00817</t>
  </si>
  <si>
    <t xml:space="preserve">O00818</t>
  </si>
  <si>
    <t xml:space="preserve">O00819</t>
  </si>
  <si>
    <t xml:space="preserve">O00820</t>
  </si>
  <si>
    <t xml:space="preserve">O00821</t>
  </si>
  <si>
    <t xml:space="preserve">O00822</t>
  </si>
  <si>
    <t xml:space="preserve">O00823</t>
  </si>
  <si>
    <t xml:space="preserve">O00824</t>
  </si>
  <si>
    <t xml:space="preserve">O00825</t>
  </si>
  <si>
    <t xml:space="preserve">O00826</t>
  </si>
  <si>
    <t xml:space="preserve">O00827</t>
  </si>
  <si>
    <t xml:space="preserve">O00828</t>
  </si>
  <si>
    <t xml:space="preserve">O00829</t>
  </si>
  <si>
    <t xml:space="preserve">O00830</t>
  </si>
  <si>
    <t xml:space="preserve">O00831</t>
  </si>
  <si>
    <t xml:space="preserve">O00832</t>
  </si>
  <si>
    <t xml:space="preserve">O00833</t>
  </si>
  <si>
    <t xml:space="preserve">O00834</t>
  </si>
  <si>
    <t xml:space="preserve">O00835</t>
  </si>
  <si>
    <t xml:space="preserve">O00836</t>
  </si>
  <si>
    <t xml:space="preserve">O00837</t>
  </si>
  <si>
    <t xml:space="preserve">O00838</t>
  </si>
  <si>
    <t xml:space="preserve">O00839</t>
  </si>
  <si>
    <t xml:space="preserve">O00840</t>
  </si>
  <si>
    <t xml:space="preserve">O00841</t>
  </si>
  <si>
    <t xml:space="preserve">O00842</t>
  </si>
  <si>
    <t xml:space="preserve">O00843</t>
  </si>
  <si>
    <t xml:space="preserve">O00844</t>
  </si>
  <si>
    <t xml:space="preserve">O00845</t>
  </si>
  <si>
    <t xml:space="preserve">O00846</t>
  </si>
  <si>
    <t xml:space="preserve">O00847</t>
  </si>
  <si>
    <t xml:space="preserve">O00848</t>
  </si>
  <si>
    <t xml:space="preserve">O00849</t>
  </si>
  <si>
    <t xml:space="preserve">O00850</t>
  </si>
  <si>
    <t xml:space="preserve">O00851</t>
  </si>
  <si>
    <t xml:space="preserve">O00852</t>
  </si>
  <si>
    <t xml:space="preserve">O00853</t>
  </si>
  <si>
    <t xml:space="preserve">O00854</t>
  </si>
  <si>
    <t xml:space="preserve">O00855</t>
  </si>
  <si>
    <t xml:space="preserve">O00856</t>
  </si>
  <si>
    <t xml:space="preserve">O00857</t>
  </si>
  <si>
    <t xml:space="preserve">O00858</t>
  </si>
  <si>
    <t xml:space="preserve">O00859</t>
  </si>
  <si>
    <t xml:space="preserve">O00860</t>
  </si>
  <si>
    <t xml:space="preserve">O00861</t>
  </si>
  <si>
    <t xml:space="preserve">O00862</t>
  </si>
  <si>
    <t xml:space="preserve">O00863</t>
  </si>
  <si>
    <t xml:space="preserve">O00864</t>
  </si>
  <si>
    <t xml:space="preserve">O00865</t>
  </si>
  <si>
    <t xml:space="preserve">O00866</t>
  </si>
  <si>
    <t xml:space="preserve">O00867</t>
  </si>
  <si>
    <t xml:space="preserve">O00868</t>
  </si>
  <si>
    <t xml:space="preserve">O00869</t>
  </si>
  <si>
    <t xml:space="preserve">O00870</t>
  </si>
  <si>
    <t xml:space="preserve">O00871</t>
  </si>
  <si>
    <t xml:space="preserve">O00872</t>
  </si>
  <si>
    <t xml:space="preserve">O00873</t>
  </si>
  <si>
    <t xml:space="preserve">O00874</t>
  </si>
  <si>
    <t xml:space="preserve">O00875</t>
  </si>
  <si>
    <t xml:space="preserve">O00876</t>
  </si>
  <si>
    <t xml:space="preserve">O00877</t>
  </si>
  <si>
    <t xml:space="preserve">O00878</t>
  </si>
  <si>
    <t xml:space="preserve">O00879</t>
  </si>
  <si>
    <t xml:space="preserve">O00880</t>
  </si>
  <si>
    <t xml:space="preserve">O00881</t>
  </si>
  <si>
    <t xml:space="preserve">O00882</t>
  </si>
  <si>
    <t xml:space="preserve">O00883</t>
  </si>
  <si>
    <t xml:space="preserve">O00884</t>
  </si>
  <si>
    <t xml:space="preserve">O00885</t>
  </si>
  <si>
    <t xml:space="preserve">O00886</t>
  </si>
  <si>
    <t xml:space="preserve">O00887</t>
  </si>
  <si>
    <t xml:space="preserve">O00888</t>
  </si>
  <si>
    <t xml:space="preserve">O00889</t>
  </si>
  <si>
    <t xml:space="preserve">O00890</t>
  </si>
  <si>
    <t xml:space="preserve">O00891</t>
  </si>
  <si>
    <t xml:space="preserve">O00892</t>
  </si>
  <si>
    <t xml:space="preserve">O00893</t>
  </si>
  <si>
    <t xml:space="preserve">O00894</t>
  </si>
  <si>
    <t xml:space="preserve">O00895</t>
  </si>
  <si>
    <t xml:space="preserve">O00896</t>
  </si>
  <si>
    <t xml:space="preserve">O00897</t>
  </si>
  <si>
    <t xml:space="preserve">O00898</t>
  </si>
  <si>
    <t xml:space="preserve">O00899</t>
  </si>
  <si>
    <t xml:space="preserve">O00900</t>
  </si>
  <si>
    <t xml:space="preserve">O00901</t>
  </si>
  <si>
    <t xml:space="preserve">O00902</t>
  </si>
  <si>
    <t xml:space="preserve">O00903</t>
  </si>
  <si>
    <t xml:space="preserve">O00904</t>
  </si>
  <si>
    <t xml:space="preserve">O00905</t>
  </si>
  <si>
    <t xml:space="preserve">O00906</t>
  </si>
  <si>
    <t xml:space="preserve">O00907</t>
  </si>
  <si>
    <t xml:space="preserve">O00908</t>
  </si>
  <si>
    <t xml:space="preserve">O00909</t>
  </si>
  <si>
    <t xml:space="preserve">O00910</t>
  </si>
  <si>
    <t xml:space="preserve">O00911</t>
  </si>
  <si>
    <t xml:space="preserve">O00912</t>
  </si>
  <si>
    <t xml:space="preserve">O00913</t>
  </si>
  <si>
    <t xml:space="preserve">O00914</t>
  </si>
  <si>
    <t xml:space="preserve">O00915</t>
  </si>
  <si>
    <t xml:space="preserve">O00916</t>
  </si>
  <si>
    <t xml:space="preserve">O00917</t>
  </si>
  <si>
    <t xml:space="preserve">O00918</t>
  </si>
  <si>
    <t xml:space="preserve">O00919</t>
  </si>
  <si>
    <t xml:space="preserve">O00920</t>
  </si>
  <si>
    <t xml:space="preserve">O00921</t>
  </si>
  <si>
    <t xml:space="preserve">O00922</t>
  </si>
  <si>
    <t xml:space="preserve">O00923</t>
  </si>
  <si>
    <t xml:space="preserve">O00924</t>
  </si>
  <si>
    <t xml:space="preserve">O00925</t>
  </si>
  <si>
    <t xml:space="preserve">O00926</t>
  </si>
  <si>
    <t xml:space="preserve">O00927</t>
  </si>
  <si>
    <t xml:space="preserve">O00928</t>
  </si>
  <si>
    <t xml:space="preserve">O00929</t>
  </si>
  <si>
    <t xml:space="preserve">O00930</t>
  </si>
  <si>
    <t xml:space="preserve">O00931</t>
  </si>
  <si>
    <t xml:space="preserve">O00932</t>
  </si>
  <si>
    <t xml:space="preserve">O00933</t>
  </si>
  <si>
    <t xml:space="preserve">O00934</t>
  </si>
  <si>
    <t xml:space="preserve">O00935</t>
  </si>
  <si>
    <t xml:space="preserve">O00936</t>
  </si>
  <si>
    <t xml:space="preserve">O00937</t>
  </si>
  <si>
    <t xml:space="preserve">O00938</t>
  </si>
  <si>
    <t xml:space="preserve">O00939</t>
  </si>
  <si>
    <t xml:space="preserve">O00940</t>
  </si>
  <si>
    <t xml:space="preserve">O00941</t>
  </si>
  <si>
    <t xml:space="preserve">O00942</t>
  </si>
  <si>
    <t xml:space="preserve">O00943</t>
  </si>
  <si>
    <t xml:space="preserve">O00944</t>
  </si>
  <si>
    <t xml:space="preserve">O00945</t>
  </si>
  <si>
    <t xml:space="preserve">O00946</t>
  </si>
  <si>
    <t xml:space="preserve">O00947</t>
  </si>
  <si>
    <t xml:space="preserve">O00948</t>
  </si>
  <si>
    <t xml:space="preserve">O00949</t>
  </si>
  <si>
    <t xml:space="preserve">O00950</t>
  </si>
  <si>
    <t xml:space="preserve">O00951</t>
  </si>
  <si>
    <t xml:space="preserve">O00952</t>
  </si>
  <si>
    <t xml:space="preserve">O00953</t>
  </si>
  <si>
    <t xml:space="preserve">O00954</t>
  </si>
  <si>
    <t xml:space="preserve">O00955</t>
  </si>
  <si>
    <t xml:space="preserve">O00956</t>
  </si>
  <si>
    <t xml:space="preserve">O00957</t>
  </si>
  <si>
    <t xml:space="preserve">O00958</t>
  </si>
  <si>
    <t xml:space="preserve">O00959</t>
  </si>
  <si>
    <t xml:space="preserve">O00960</t>
  </si>
  <si>
    <t xml:space="preserve">O00961</t>
  </si>
  <si>
    <t xml:space="preserve">O00962</t>
  </si>
  <si>
    <t xml:space="preserve">O00963</t>
  </si>
  <si>
    <t xml:space="preserve">O00964</t>
  </si>
  <si>
    <t xml:space="preserve">O00965</t>
  </si>
  <si>
    <t xml:space="preserve">O00966</t>
  </si>
  <si>
    <t xml:space="preserve">O00967</t>
  </si>
  <si>
    <t xml:space="preserve">O00968</t>
  </si>
  <si>
    <t xml:space="preserve">O00969</t>
  </si>
  <si>
    <t xml:space="preserve">O00970</t>
  </si>
  <si>
    <t xml:space="preserve">O00971</t>
  </si>
  <si>
    <t xml:space="preserve">O00972</t>
  </si>
  <si>
    <t xml:space="preserve">O00973</t>
  </si>
  <si>
    <t xml:space="preserve">O00974</t>
  </si>
  <si>
    <t xml:space="preserve">O00975</t>
  </si>
  <si>
    <t xml:space="preserve">O00976</t>
  </si>
  <si>
    <t xml:space="preserve">O00977</t>
  </si>
  <si>
    <t xml:space="preserve">O00978</t>
  </si>
  <si>
    <t xml:space="preserve">O00979</t>
  </si>
  <si>
    <t xml:space="preserve">O00980</t>
  </si>
  <si>
    <t xml:space="preserve">O00981</t>
  </si>
  <si>
    <t xml:space="preserve">O00982</t>
  </si>
  <si>
    <t xml:space="preserve">O00983</t>
  </si>
  <si>
    <t xml:space="preserve">O00984</t>
  </si>
  <si>
    <t xml:space="preserve">O00985</t>
  </si>
  <si>
    <t xml:space="preserve">O00986</t>
  </si>
  <si>
    <t xml:space="preserve">O00987</t>
  </si>
  <si>
    <t xml:space="preserve">O00988</t>
  </si>
  <si>
    <t xml:space="preserve">O00989</t>
  </si>
  <si>
    <t xml:space="preserve">O00990</t>
  </si>
  <si>
    <t xml:space="preserve">O00991</t>
  </si>
  <si>
    <t xml:space="preserve">O00992</t>
  </si>
  <si>
    <t xml:space="preserve">O00993</t>
  </si>
  <si>
    <t xml:space="preserve">O00994</t>
  </si>
  <si>
    <t xml:space="preserve">O00995</t>
  </si>
  <si>
    <t xml:space="preserve">O00996</t>
  </si>
  <si>
    <t xml:space="preserve">O00997</t>
  </si>
  <si>
    <t xml:space="preserve">O00998</t>
  </si>
  <si>
    <t xml:space="preserve">O00999</t>
  </si>
  <si>
    <t xml:space="preserve">O01000</t>
  </si>
  <si>
    <t xml:space="preserve">O01001</t>
  </si>
  <si>
    <t xml:space="preserve">O01002</t>
  </si>
  <si>
    <t xml:space="preserve">O01003</t>
  </si>
  <si>
    <t xml:space="preserve">O01004</t>
  </si>
  <si>
    <t xml:space="preserve">O01005</t>
  </si>
  <si>
    <t xml:space="preserve">O01006</t>
  </si>
  <si>
    <t xml:space="preserve">O01007</t>
  </si>
  <si>
    <t xml:space="preserve">O01008</t>
  </si>
  <si>
    <t xml:space="preserve">O01009</t>
  </si>
  <si>
    <t xml:space="preserve">O01010</t>
  </si>
  <si>
    <t xml:space="preserve">O01011</t>
  </si>
  <si>
    <t xml:space="preserve">O01012</t>
  </si>
  <si>
    <t xml:space="preserve">O01013</t>
  </si>
  <si>
    <t xml:space="preserve">O01014</t>
  </si>
  <si>
    <t xml:space="preserve">O01015</t>
  </si>
  <si>
    <t xml:space="preserve">O01016</t>
  </si>
  <si>
    <t xml:space="preserve">O01017</t>
  </si>
  <si>
    <t xml:space="preserve">O01018</t>
  </si>
  <si>
    <t xml:space="preserve">O01019</t>
  </si>
  <si>
    <t xml:space="preserve">O01020</t>
  </si>
  <si>
    <t xml:space="preserve">O01021</t>
  </si>
  <si>
    <t xml:space="preserve">O01022</t>
  </si>
  <si>
    <t xml:space="preserve">O01023</t>
  </si>
  <si>
    <t xml:space="preserve">O01024</t>
  </si>
  <si>
    <t xml:space="preserve">O01025</t>
  </si>
  <si>
    <t xml:space="preserve">O01026</t>
  </si>
  <si>
    <t xml:space="preserve">O01027</t>
  </si>
  <si>
    <t xml:space="preserve">O01028</t>
  </si>
  <si>
    <t xml:space="preserve">O01029</t>
  </si>
  <si>
    <t xml:space="preserve">O01030</t>
  </si>
  <si>
    <t xml:space="preserve">O01031</t>
  </si>
  <si>
    <t xml:space="preserve">O01032</t>
  </si>
  <si>
    <t xml:space="preserve">O01033</t>
  </si>
  <si>
    <t xml:space="preserve">O01034</t>
  </si>
  <si>
    <t xml:space="preserve">O01035</t>
  </si>
  <si>
    <t xml:space="preserve">O01036</t>
  </si>
  <si>
    <t xml:space="preserve">O01037</t>
  </si>
  <si>
    <t xml:space="preserve">O01038</t>
  </si>
  <si>
    <t xml:space="preserve">O01039</t>
  </si>
  <si>
    <t xml:space="preserve">O01040</t>
  </si>
  <si>
    <t xml:space="preserve">O01041</t>
  </si>
  <si>
    <t xml:space="preserve">O01042</t>
  </si>
  <si>
    <t xml:space="preserve">O01043</t>
  </si>
  <si>
    <t xml:space="preserve">O01044</t>
  </si>
  <si>
    <t xml:space="preserve">O01045</t>
  </si>
  <si>
    <t xml:space="preserve">O01046</t>
  </si>
  <si>
    <t xml:space="preserve">O01047</t>
  </si>
  <si>
    <t xml:space="preserve">O01048</t>
  </si>
  <si>
    <t xml:space="preserve">O01049</t>
  </si>
  <si>
    <t xml:space="preserve">O01050</t>
  </si>
  <si>
    <t xml:space="preserve">O01051</t>
  </si>
  <si>
    <t xml:space="preserve">O01052</t>
  </si>
  <si>
    <t xml:space="preserve">O01053</t>
  </si>
  <si>
    <t xml:space="preserve">O01054</t>
  </si>
  <si>
    <t xml:space="preserve">O01055</t>
  </si>
  <si>
    <t xml:space="preserve">O01056</t>
  </si>
  <si>
    <t xml:space="preserve">O01057</t>
  </si>
  <si>
    <t xml:space="preserve">O01058</t>
  </si>
  <si>
    <t xml:space="preserve">O01059</t>
  </si>
  <si>
    <t xml:space="preserve">O01060</t>
  </si>
  <si>
    <t xml:space="preserve">O01061</t>
  </si>
  <si>
    <t xml:space="preserve">O01062</t>
  </si>
  <si>
    <t xml:space="preserve">O01063</t>
  </si>
  <si>
    <t xml:space="preserve">O01064</t>
  </si>
  <si>
    <t xml:space="preserve">O01065</t>
  </si>
  <si>
    <t xml:space="preserve">O01066</t>
  </si>
  <si>
    <t xml:space="preserve">O01067</t>
  </si>
  <si>
    <t xml:space="preserve">O01068</t>
  </si>
  <si>
    <t xml:space="preserve">O01069</t>
  </si>
  <si>
    <t xml:space="preserve">O01070</t>
  </si>
  <si>
    <t xml:space="preserve">O01071</t>
  </si>
  <si>
    <t xml:space="preserve">O01072</t>
  </si>
  <si>
    <t xml:space="preserve">O01073</t>
  </si>
  <si>
    <t xml:space="preserve">O01074</t>
  </si>
  <si>
    <t xml:space="preserve">O01075</t>
  </si>
  <si>
    <t xml:space="preserve">O01076</t>
  </si>
  <si>
    <t xml:space="preserve">O01077</t>
  </si>
  <si>
    <t xml:space="preserve">O01078</t>
  </si>
  <si>
    <t xml:space="preserve">O01079</t>
  </si>
  <si>
    <t xml:space="preserve">O01080</t>
  </si>
  <si>
    <t xml:space="preserve">O01081</t>
  </si>
  <si>
    <t xml:space="preserve">O01082</t>
  </si>
  <si>
    <t xml:space="preserve">O01083</t>
  </si>
  <si>
    <t xml:space="preserve">O01084</t>
  </si>
  <si>
    <t xml:space="preserve">O01085</t>
  </si>
  <si>
    <t xml:space="preserve">O01086</t>
  </si>
  <si>
    <t xml:space="preserve">O01087</t>
  </si>
  <si>
    <t xml:space="preserve">O01088</t>
  </si>
  <si>
    <t xml:space="preserve">O01089</t>
  </si>
  <si>
    <t xml:space="preserve">O01090</t>
  </si>
  <si>
    <t xml:space="preserve">O01091</t>
  </si>
  <si>
    <t xml:space="preserve">O01092</t>
  </si>
  <si>
    <t xml:space="preserve">O01093</t>
  </si>
  <si>
    <t xml:space="preserve">O01094</t>
  </si>
  <si>
    <t xml:space="preserve">O01095</t>
  </si>
  <si>
    <t xml:space="preserve">O01096</t>
  </si>
  <si>
    <t xml:space="preserve">O01097</t>
  </si>
  <si>
    <t xml:space="preserve">O01098</t>
  </si>
  <si>
    <t xml:space="preserve">O01099</t>
  </si>
  <si>
    <t xml:space="preserve">O01100</t>
  </si>
  <si>
    <t xml:space="preserve">O01101</t>
  </si>
  <si>
    <t xml:space="preserve">O01102</t>
  </si>
  <si>
    <t xml:space="preserve">O01103</t>
  </si>
  <si>
    <t xml:space="preserve">O01104</t>
  </si>
  <si>
    <t xml:space="preserve">O01105</t>
  </si>
  <si>
    <t xml:space="preserve">O01106</t>
  </si>
  <si>
    <t xml:space="preserve">O01107</t>
  </si>
  <si>
    <t xml:space="preserve">O01108</t>
  </si>
  <si>
    <t xml:space="preserve">O01109</t>
  </si>
  <si>
    <t xml:space="preserve">O01110</t>
  </si>
  <si>
    <t xml:space="preserve">O01111</t>
  </si>
  <si>
    <t xml:space="preserve">O01112</t>
  </si>
  <si>
    <t xml:space="preserve">O01113</t>
  </si>
  <si>
    <t xml:space="preserve">O01114</t>
  </si>
  <si>
    <t xml:space="preserve">O01115</t>
  </si>
  <si>
    <t xml:space="preserve">O01116</t>
  </si>
  <si>
    <t xml:space="preserve">O01117</t>
  </si>
  <si>
    <t xml:space="preserve">O01118</t>
  </si>
  <si>
    <t xml:space="preserve">O01119</t>
  </si>
  <si>
    <t xml:space="preserve">O01120</t>
  </si>
  <si>
    <t xml:space="preserve">O01121</t>
  </si>
  <si>
    <t xml:space="preserve">O01122</t>
  </si>
  <si>
    <t xml:space="preserve">O01123</t>
  </si>
  <si>
    <t xml:space="preserve">O01124</t>
  </si>
  <si>
    <t xml:space="preserve">O01125</t>
  </si>
  <si>
    <t xml:space="preserve">O01126</t>
  </si>
  <si>
    <t xml:space="preserve">O01127</t>
  </si>
  <si>
    <t xml:space="preserve">O01128</t>
  </si>
  <si>
    <t xml:space="preserve">O01129</t>
  </si>
  <si>
    <t xml:space="preserve">O01130</t>
  </si>
  <si>
    <t xml:space="preserve">O01131</t>
  </si>
  <si>
    <t xml:space="preserve">O01132</t>
  </si>
  <si>
    <t xml:space="preserve">O01133</t>
  </si>
  <si>
    <t xml:space="preserve">O01134</t>
  </si>
  <si>
    <t xml:space="preserve">O01135</t>
  </si>
  <si>
    <t xml:space="preserve">O01136</t>
  </si>
  <si>
    <t xml:space="preserve">O01137</t>
  </si>
  <si>
    <t xml:space="preserve">O01138</t>
  </si>
  <si>
    <t xml:space="preserve">O01139</t>
  </si>
  <si>
    <t xml:space="preserve">O01140</t>
  </si>
  <si>
    <t xml:space="preserve">O01141</t>
  </si>
  <si>
    <t xml:space="preserve">O01142</t>
  </si>
  <si>
    <t xml:space="preserve">O01143</t>
  </si>
  <si>
    <t xml:space="preserve">O01144</t>
  </si>
  <si>
    <t xml:space="preserve">O01145</t>
  </si>
  <si>
    <t xml:space="preserve">O01146</t>
  </si>
  <si>
    <t xml:space="preserve">O01147</t>
  </si>
  <si>
    <t xml:space="preserve">O01148</t>
  </si>
  <si>
    <t xml:space="preserve">O01149</t>
  </si>
  <si>
    <t xml:space="preserve">O01150</t>
  </si>
  <si>
    <t xml:space="preserve">O01151</t>
  </si>
  <si>
    <t xml:space="preserve">O01152</t>
  </si>
  <si>
    <t xml:space="preserve">O01153</t>
  </si>
  <si>
    <t xml:space="preserve">O01154</t>
  </si>
  <si>
    <t xml:space="preserve">O01155</t>
  </si>
  <si>
    <t xml:space="preserve">O01156</t>
  </si>
  <si>
    <t xml:space="preserve">O01157</t>
  </si>
  <si>
    <t xml:space="preserve">O01158</t>
  </si>
  <si>
    <t xml:space="preserve">O01159</t>
  </si>
  <si>
    <t xml:space="preserve">O01160</t>
  </si>
  <si>
    <t xml:space="preserve">O01161</t>
  </si>
  <si>
    <t xml:space="preserve">O01162</t>
  </si>
  <si>
    <t xml:space="preserve">O01163</t>
  </si>
  <si>
    <t xml:space="preserve">O01164</t>
  </si>
  <si>
    <t xml:space="preserve">O01165</t>
  </si>
  <si>
    <t xml:space="preserve">O01166</t>
  </si>
  <si>
    <t xml:space="preserve">O01167</t>
  </si>
  <si>
    <t xml:space="preserve">O01168</t>
  </si>
  <si>
    <t xml:space="preserve">O01169</t>
  </si>
  <si>
    <t xml:space="preserve">O01170</t>
  </si>
  <si>
    <t xml:space="preserve">O01171</t>
  </si>
  <si>
    <t xml:space="preserve">O01172</t>
  </si>
  <si>
    <t xml:space="preserve">O01173</t>
  </si>
  <si>
    <t xml:space="preserve">O01174</t>
  </si>
  <si>
    <t xml:space="preserve">O01175</t>
  </si>
  <si>
    <t xml:space="preserve">O01176</t>
  </si>
  <si>
    <t xml:space="preserve">O01177</t>
  </si>
  <si>
    <t xml:space="preserve">O01178</t>
  </si>
  <si>
    <t xml:space="preserve">O01179</t>
  </si>
  <si>
    <t xml:space="preserve">O01180</t>
  </si>
  <si>
    <t xml:space="preserve">O01181</t>
  </si>
  <si>
    <t xml:space="preserve">O01182</t>
  </si>
  <si>
    <t xml:space="preserve">O01183</t>
  </si>
  <si>
    <t xml:space="preserve">O01184</t>
  </si>
  <si>
    <t xml:space="preserve">O01185</t>
  </si>
  <si>
    <t xml:space="preserve">O01186</t>
  </si>
  <si>
    <t xml:space="preserve">O01187</t>
  </si>
  <si>
    <t xml:space="preserve">O01188</t>
  </si>
  <si>
    <t xml:space="preserve">O01189</t>
  </si>
  <si>
    <t xml:space="preserve">O01190</t>
  </si>
  <si>
    <t xml:space="preserve">O01191</t>
  </si>
  <si>
    <t xml:space="preserve">O01192</t>
  </si>
  <si>
    <t xml:space="preserve">O01193</t>
  </si>
  <si>
    <t xml:space="preserve">O01194</t>
  </si>
  <si>
    <t xml:space="preserve">O01195</t>
  </si>
  <si>
    <t xml:space="preserve">O01196</t>
  </si>
  <si>
    <t xml:space="preserve">O01197</t>
  </si>
  <si>
    <t xml:space="preserve">O01198</t>
  </si>
  <si>
    <t xml:space="preserve">O01199</t>
  </si>
  <si>
    <t xml:space="preserve">O01200</t>
  </si>
  <si>
    <t xml:space="preserve">customer_name</t>
  </si>
  <si>
    <t xml:space="preserve">state</t>
  </si>
  <si>
    <t xml:space="preserve">signup_date</t>
  </si>
  <si>
    <t xml:space="preserve">Arjun Sharma</t>
  </si>
  <si>
    <t xml:space="preserve">West Bengal</t>
  </si>
  <si>
    <t xml:space="preserve">Aanya Mehta</t>
  </si>
  <si>
    <t xml:space="preserve">Uttar Pradesh</t>
  </si>
  <si>
    <t xml:space="preserve">Nisha Gupta</t>
  </si>
  <si>
    <t xml:space="preserve">Aarav Gupta</t>
  </si>
  <si>
    <t xml:space="preserve">Priya Sharma</t>
  </si>
  <si>
    <t xml:space="preserve">Tamil Nadu</t>
  </si>
  <si>
    <t xml:space="preserve">Nisha Joshi</t>
  </si>
  <si>
    <t xml:space="preserve">Odisha</t>
  </si>
  <si>
    <t xml:space="preserve">Diya Sharma</t>
  </si>
  <si>
    <t xml:space="preserve">Telangana</t>
  </si>
  <si>
    <t xml:space="preserve">Diya Mehta</t>
  </si>
  <si>
    <t xml:space="preserve">Maharashtra</t>
  </si>
  <si>
    <t xml:space="preserve">Aditya Iyer</t>
  </si>
  <si>
    <t xml:space="preserve">Haryana</t>
  </si>
  <si>
    <t xml:space="preserve">Priya Patel</t>
  </si>
  <si>
    <t xml:space="preserve">Arjun Iyer</t>
  </si>
  <si>
    <t xml:space="preserve">Priya Jain</t>
  </si>
  <si>
    <t xml:space="preserve">Aditya Singh</t>
  </si>
  <si>
    <t xml:space="preserve">Aditya Reddy</t>
  </si>
  <si>
    <t xml:space="preserve">Ira Jain</t>
  </si>
  <si>
    <t xml:space="preserve">Ananya Patel</t>
  </si>
  <si>
    <t xml:space="preserve">Aditya Kapoor</t>
  </si>
  <si>
    <t xml:space="preserve">Ira Iyer</t>
  </si>
  <si>
    <t xml:space="preserve">Rajasthan</t>
  </si>
  <si>
    <t xml:space="preserve">Nisha Reddy</t>
  </si>
  <si>
    <t xml:space="preserve">Aanya Singh</t>
  </si>
  <si>
    <t xml:space="preserve">Aditya Das</t>
  </si>
  <si>
    <t xml:space="preserve">Dev Iyer</t>
  </si>
  <si>
    <t xml:space="preserve">Diya Joshi</t>
  </si>
  <si>
    <t xml:space="preserve">Vivaan Verma</t>
  </si>
  <si>
    <t xml:space="preserve">Meera Gupta</t>
  </si>
  <si>
    <t xml:space="preserve">Ira Patel</t>
  </si>
  <si>
    <t xml:space="preserve">Arjun Patel</t>
  </si>
  <si>
    <t xml:space="preserve">Myra Joshi</t>
  </si>
  <si>
    <t xml:space="preserve">Diya Kapoor</t>
  </si>
  <si>
    <t xml:space="preserve">Myra Das</t>
  </si>
  <si>
    <t xml:space="preserve">Nisha Sharma</t>
  </si>
  <si>
    <t xml:space="preserve">Aarav Verma</t>
  </si>
  <si>
    <t xml:space="preserve">Karnataka</t>
  </si>
  <si>
    <t xml:space="preserve">Vivaan Reddy</t>
  </si>
  <si>
    <t xml:space="preserve">Dev Gupta</t>
  </si>
  <si>
    <t xml:space="preserve">Dev Kapoor</t>
  </si>
  <si>
    <t xml:space="preserve">Meera Das</t>
  </si>
  <si>
    <t xml:space="preserve">Myra Iyer</t>
  </si>
  <si>
    <t xml:space="preserve">Ira Roy</t>
  </si>
  <si>
    <t xml:space="preserve">Aditya Malhotra</t>
  </si>
  <si>
    <t xml:space="preserve">Aanya Reddy</t>
  </si>
  <si>
    <t xml:space="preserve">Ananya Mehta</t>
  </si>
  <si>
    <t xml:space="preserve">Dev Reddy</t>
  </si>
  <si>
    <t xml:space="preserve">Arjun Verma</t>
  </si>
  <si>
    <t xml:space="preserve">Meera Joshi</t>
  </si>
  <si>
    <t xml:space="preserve">Arjun Singh</t>
  </si>
  <si>
    <t xml:space="preserve">Aanya Das</t>
  </si>
  <si>
    <t xml:space="preserve">Ishaan Joshi</t>
  </si>
  <si>
    <t xml:space="preserve">Aanya Gupta</t>
  </si>
  <si>
    <t xml:space="preserve">Vivaan Sharma</t>
  </si>
  <si>
    <t xml:space="preserve">Meera Bansal</t>
  </si>
  <si>
    <t xml:space="preserve">Vivaan Kapoor</t>
  </si>
  <si>
    <t xml:space="preserve">Gujarat</t>
  </si>
  <si>
    <t xml:space="preserve">Diya Roy</t>
  </si>
  <si>
    <t xml:space="preserve">Nisha Bansal</t>
  </si>
  <si>
    <t xml:space="preserve">Ananya Singh</t>
  </si>
  <si>
    <t xml:space="preserve">Kabir Singh</t>
  </si>
  <si>
    <t xml:space="preserve">Kiara Kapoor</t>
  </si>
  <si>
    <t xml:space="preserve">Riya Gupta</t>
  </si>
  <si>
    <t xml:space="preserve">Aanya Iyer</t>
  </si>
  <si>
    <t xml:space="preserve">Rahul Singh</t>
  </si>
  <si>
    <t xml:space="preserve">Rahul Malhotra</t>
  </si>
  <si>
    <t xml:space="preserve">Kabir Reddy</t>
  </si>
  <si>
    <t xml:space="preserve">Myra Roy</t>
  </si>
  <si>
    <t xml:space="preserve">Ira Verma</t>
  </si>
  <si>
    <t xml:space="preserve">Kiara Patel</t>
  </si>
  <si>
    <t xml:space="preserve">Aanya Jain</t>
  </si>
  <si>
    <t xml:space="preserve">Nisha Khan</t>
  </si>
  <si>
    <t xml:space="preserve">Aarav Khan</t>
  </si>
  <si>
    <t xml:space="preserve">Diya Verma</t>
  </si>
  <si>
    <t xml:space="preserve">Diya Khan</t>
  </si>
  <si>
    <t xml:space="preserve">Kabir Das</t>
  </si>
  <si>
    <t xml:space="preserve">Kiara Bansal</t>
  </si>
  <si>
    <t xml:space="preserve">Meera Patel</t>
  </si>
  <si>
    <t xml:space="preserve">Ishaan Patel</t>
  </si>
  <si>
    <t xml:space="preserve">Meera Sharma</t>
  </si>
  <si>
    <t xml:space="preserve">Ishaan Singh</t>
  </si>
  <si>
    <t xml:space="preserve">Reyansh Singh</t>
  </si>
  <si>
    <t xml:space="preserve">Aanya Verma</t>
  </si>
  <si>
    <t xml:space="preserve">Priya Mehta</t>
  </si>
  <si>
    <t xml:space="preserve">Aanya Patel</t>
  </si>
  <si>
    <t xml:space="preserve">Vivaan Bansal</t>
  </si>
  <si>
    <t xml:space="preserve">Reyansh Khan</t>
  </si>
  <si>
    <t xml:space="preserve">Ananya Iyer</t>
  </si>
  <si>
    <t xml:space="preserve">Diya Jain</t>
  </si>
  <si>
    <t xml:space="preserve">Nisha Malhotra</t>
  </si>
  <si>
    <t xml:space="preserve">Riya Patel</t>
  </si>
  <si>
    <t xml:space="preserve">Meera Jain</t>
  </si>
  <si>
    <t xml:space="preserve">Priya Verma</t>
  </si>
  <si>
    <t xml:space="preserve">Diya Singh</t>
  </si>
  <si>
    <t xml:space="preserve">Kiara Das</t>
  </si>
  <si>
    <t xml:space="preserve">Kabir Malhotra</t>
  </si>
  <si>
    <t xml:space="preserve">Myra Khan</t>
  </si>
  <si>
    <t xml:space="preserve">Sara Khan</t>
  </si>
  <si>
    <t xml:space="preserve">Meera Iyer</t>
  </si>
  <si>
    <t xml:space="preserve">Rahul Khan</t>
  </si>
  <si>
    <t xml:space="preserve">product_name</t>
  </si>
  <si>
    <t xml:space="preserve">list_price_inr</t>
  </si>
  <si>
    <t xml:space="preserve">unit_cost_inr</t>
  </si>
  <si>
    <t xml:space="preserve">Laptop</t>
  </si>
  <si>
    <t xml:space="preserve">Wireless Mouse</t>
  </si>
  <si>
    <t xml:space="preserve">Keyboard</t>
  </si>
  <si>
    <t xml:space="preserve">Monitor</t>
  </si>
  <si>
    <t xml:space="preserve">Office Chair</t>
  </si>
  <si>
    <t xml:space="preserve">Office Desk</t>
  </si>
  <si>
    <t xml:space="preserve">Notebook Pack</t>
  </si>
  <si>
    <t xml:space="preserve">Printer Paper</t>
  </si>
  <si>
    <t xml:space="preserve">Pen Set</t>
  </si>
  <si>
    <t xml:space="preserve">Bookshelf</t>
  </si>
  <si>
    <t xml:space="preserve">Headphones</t>
  </si>
  <si>
    <t xml:space="preserve">Webcam</t>
  </si>
  <si>
    <t xml:space="preserve">Storage Box</t>
  </si>
  <si>
    <t xml:space="preserve">Desk Lamp</t>
  </si>
  <si>
    <t xml:space="preserve">Tablet</t>
  </si>
  <si>
    <t xml:space="preserve">column_name</t>
  </si>
  <si>
    <t xml:space="preserve">meaning</t>
  </si>
  <si>
    <t xml:space="preserve">sheet</t>
  </si>
  <si>
    <t xml:space="preserve">Unique identifier for each order line</t>
  </si>
  <si>
    <t xml:space="preserve">Links an order to a customer</t>
  </si>
  <si>
    <t xml:space="preserve">Orders and Customers</t>
  </si>
  <si>
    <t xml:space="preserve">Links an order to a product</t>
  </si>
  <si>
    <t xml:space="preserve">Orders and Products</t>
  </si>
  <si>
    <t xml:space="preserve">Revenue after discount, in Indian rupees</t>
  </si>
  <si>
    <t xml:space="preserve">Estimated cost of goods sold, in Indian rupees</t>
  </si>
  <si>
    <t xml:space="preserve">Sales minus cost, in Indian rupees</t>
  </si>
  <si>
    <t xml:space="preserve">Discount rate stored as a decimal (0.10 = 10%)</t>
  </si>
  <si>
    <t xml:space="preserve">Customer group</t>
  </si>
  <si>
    <t xml:space="preserve">Customers</t>
  </si>
  <si>
    <t xml:space="preserve">Broad geographic region</t>
  </si>
  <si>
    <t xml:space="preserve">Product category</t>
  </si>
  <si>
    <t xml:space="preserve">Products</t>
  </si>
</sst>
</file>

<file path=xl/styles.xml><?xml version="1.0" encoding="utf-8"?>
<styleSheet xmlns="http://schemas.openxmlformats.org/spreadsheetml/2006/main">
  <numFmts count="12">
    <numFmt numFmtId="164" formatCode="General"/>
    <numFmt numFmtId="165" formatCode="\₹#,##0.0&quot; L&quot;"/>
    <numFmt numFmtId="166" formatCode="0.0%"/>
    <numFmt numFmtId="167" formatCode="#,##0"/>
    <numFmt numFmtId="168" formatCode="\₹#,##0"/>
    <numFmt numFmtId="169" formatCode="0"/>
    <numFmt numFmtId="170" formatCode="0%"/>
    <numFmt numFmtId="171" formatCode="mmm\-yy"/>
    <numFmt numFmtId="172" formatCode="0.0"/>
    <numFmt numFmtId="173" formatCode="0.000000"/>
    <numFmt numFmtId="174" formatCode="dd/mm/yyyy"/>
    <numFmt numFmtId="175" formatCode="\₹#,##0.00"/>
  </numFmts>
  <fonts count="2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2"/>
      <color rgb="FFFFFFFF"/>
      <name val="Arial"/>
      <family val="0"/>
      <charset val="1"/>
    </font>
    <font>
      <sz val="10"/>
      <color rgb="FFD6DCE8"/>
      <name val="Arial"/>
      <family val="0"/>
      <charset val="1"/>
    </font>
    <font>
      <b val="true"/>
      <sz val="10"/>
      <color rgb="FF0E7C86"/>
      <name val="Arial"/>
      <family val="0"/>
      <charset val="1"/>
    </font>
    <font>
      <b val="true"/>
      <sz val="10"/>
      <color rgb="FF1F2A44"/>
      <name val="Arial"/>
      <family val="0"/>
      <charset val="1"/>
    </font>
    <font>
      <b val="true"/>
      <sz val="11"/>
      <color rgb="FF0000FF"/>
      <name val="Arial"/>
      <family val="0"/>
      <charset val="1"/>
    </font>
    <font>
      <i val="true"/>
      <sz val="9"/>
      <color rgb="FF6B7280"/>
      <name val="Arial"/>
      <family val="0"/>
      <charset val="1"/>
    </font>
    <font>
      <b val="true"/>
      <sz val="8"/>
      <color rgb="FF6B7280"/>
      <name val="Arial"/>
      <family val="0"/>
      <charset val="1"/>
    </font>
    <font>
      <b val="true"/>
      <sz val="18"/>
      <color rgb="FF1F2A44"/>
      <name val="Arial"/>
      <family val="0"/>
      <charset val="1"/>
    </font>
    <font>
      <sz val="8"/>
      <color rgb="FF6B7280"/>
      <name val="Arial"/>
      <family val="0"/>
      <charset val="1"/>
    </font>
    <font>
      <b val="true"/>
      <sz val="11"/>
      <color rgb="FF1F2A44"/>
      <name val="Arial"/>
      <family val="0"/>
      <charset val="1"/>
    </font>
    <font>
      <sz val="10"/>
      <color rgb="FF1F2A44"/>
      <name val="Arial"/>
      <family val="0"/>
      <charset val="1"/>
    </font>
    <font>
      <i val="true"/>
      <sz val="8"/>
      <color rgb="FF6B7280"/>
      <name val="Arial"/>
      <family val="0"/>
      <charset val="1"/>
    </font>
    <font>
      <b val="true"/>
      <sz val="12"/>
      <color rgb="FF1F2A44"/>
      <name val="Arial"/>
      <family val="2"/>
    </font>
    <font>
      <sz val="9"/>
      <color rgb="FF4B5563"/>
      <name val="Arial"/>
      <family val="2"/>
    </font>
    <font>
      <sz val="10"/>
      <color rgb="FF000000"/>
      <name val="Calibri"/>
      <family val="2"/>
    </font>
    <font>
      <b val="true"/>
      <sz val="10"/>
      <color rgb="FFFFFFFF"/>
      <name val="Arial"/>
      <family val="2"/>
    </font>
    <font>
      <sz val="9"/>
      <color rgb="FF1F2A44"/>
      <name val="Arial"/>
      <family val="2"/>
    </font>
    <font>
      <b val="true"/>
      <sz val="16"/>
      <color rgb="FF1F2A44"/>
      <name val="Arial"/>
      <family val="0"/>
      <charset val="1"/>
    </font>
    <font>
      <sz val="10"/>
      <name val="Arial"/>
      <family val="0"/>
      <charset val="1"/>
    </font>
    <font>
      <b val="true"/>
      <sz val="12"/>
      <color rgb="FF0E7C86"/>
      <name val="Arial"/>
      <family val="0"/>
      <charset val="1"/>
    </font>
    <font>
      <b val="true"/>
      <sz val="14"/>
      <color rgb="FF1F2A44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1"/>
      <color rgb="FF0E7C86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1"/>
      <color rgb="FFFFFFFF"/>
      <name val="Cambria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F2F4F8"/>
        <bgColor rgb="FFFFFFFF"/>
      </patternFill>
    </fill>
    <fill>
      <patternFill patternType="solid">
        <fgColor rgb="FF1F2A44"/>
        <bgColor rgb="FF003366"/>
      </patternFill>
    </fill>
    <fill>
      <patternFill patternType="solid">
        <fgColor rgb="FFFFFFFF"/>
        <bgColor rgb="FFF2F4F8"/>
      </patternFill>
    </fill>
    <fill>
      <patternFill patternType="solid">
        <fgColor rgb="FF1F4E78"/>
        <bgColor rgb="FF4B5563"/>
      </patternFill>
    </fill>
    <fill>
      <patternFill patternType="solid">
        <fgColor rgb="FF0E7C86"/>
        <bgColor rgb="FF008080"/>
      </patternFill>
    </fill>
  </fills>
  <borders count="7">
    <border diagonalUp="false" diagonalDown="false">
      <left/>
      <right/>
      <top/>
      <bottom/>
      <diagonal/>
    </border>
    <border diagonalUp="false" diagonalDown="false">
      <left style="thin">
        <color rgb="FF9AA5B8"/>
      </left>
      <right style="thin">
        <color rgb="FF9AA5B8"/>
      </right>
      <top style="thin">
        <color rgb="FF9AA5B8"/>
      </top>
      <bottom style="thin">
        <color rgb="FF9AA5B8"/>
      </bottom>
      <diagonal/>
    </border>
    <border diagonalUp="false" diagonalDown="false">
      <left/>
      <right/>
      <top style="thick">
        <color rgb="FF0E7C86"/>
      </top>
      <bottom/>
      <diagonal/>
    </border>
    <border diagonalUp="false" diagonalDown="false">
      <left/>
      <right/>
      <top style="thick">
        <color rgb="FF1F2A44"/>
      </top>
      <bottom/>
      <diagonal/>
    </border>
    <border diagonalUp="false" diagonalDown="false">
      <left/>
      <right/>
      <top style="thick">
        <color rgb="FFF28C28"/>
      </top>
      <bottom/>
      <diagonal/>
    </border>
    <border diagonalUp="false" diagonalDown="false">
      <left/>
      <right/>
      <top/>
      <bottom style="medium">
        <color rgb="FF0E7C86"/>
      </bottom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3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6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7" fillId="2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0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4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4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1" fillId="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1" fillId="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1" fillId="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1" fillId="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2" borderId="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4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5" fillId="2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22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23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2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2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7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8" fillId="5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8" fillId="6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E7C86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E7C86"/>
      <rgbColor rgb="FFD6DCE8"/>
      <rgbColor rgb="FF4F81BD"/>
      <rgbColor rgb="FF9999FF"/>
      <rgbColor rgb="FFD1495B"/>
      <rgbColor rgb="FFF2F4F8"/>
      <rgbColor rgb="FFE3E7EE"/>
      <rgbColor rgb="FF660066"/>
      <rgbColor rgb="FFFF8080"/>
      <rgbColor rgb="FF0066CC"/>
      <rgbColor rgb="FFC9CED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28C28"/>
      <rgbColor rgb="FFFF6600"/>
      <rgbColor rgb="FF6B7280"/>
      <rgbColor rgb="FF9AA5B8"/>
      <rgbColor rgb="FF003366"/>
      <rgbColor rgb="FF339966"/>
      <rgbColor rgb="FF003300"/>
      <rgbColor rgb="FF4B5563"/>
      <rgbColor rgb="FF993300"/>
      <rgbColor rgb="FF993366"/>
      <rgbColor rgb="FF1F4E78"/>
      <rgbColor rgb="FF1F2A4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200" spc="-1" strike="noStrike">
                <a:solidFill>
                  <a:srgbClr val="1f2a44"/>
                </a:solidFill>
                <a:latin typeface="Arial"/>
              </a:defRPr>
            </a:pPr>
            <a:r>
              <a:rPr b="1" sz="1200" spc="-1" strike="noStrike">
                <a:solidFill>
                  <a:srgbClr val="1f2a44"/>
                </a:solidFill>
                <a:latin typeface="Arial"/>
              </a:rPr>
              <a:t>Monthly Revenue &amp; Profit (₹ lakh)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Analysis!C25</c:f>
              <c:strCache>
                <c:ptCount val="1"/>
                <c:pt idx="0">
                  <c:v>Revenue (₹ L)</c:v>
                </c:pt>
              </c:strCache>
            </c:strRef>
          </c:tx>
          <c:spPr>
            <a:solidFill>
              <a:srgbClr val="0e7c86"/>
            </a:solidFill>
            <a:ln w="28440">
              <a:solidFill>
                <a:srgbClr val="0e7c86"/>
              </a:solidFill>
              <a:round/>
            </a:ln>
          </c:spPr>
          <c:marker>
            <c:symbol val="circle"/>
            <c:size val="5"/>
            <c:spPr>
              <a:solidFill>
                <a:srgbClr val="0e7c86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Analysis!$A$26:$A$58</c:f>
              <c:strCache>
                <c:ptCount val="33"/>
                <c:pt idx="0">
                  <c:v>Jan-24</c:v>
                </c:pt>
                <c:pt idx="1">
                  <c:v>Feb-24</c:v>
                </c:pt>
                <c:pt idx="2">
                  <c:v>Mar-24</c:v>
                </c:pt>
                <c:pt idx="3">
                  <c:v>Apr-24</c:v>
                </c:pt>
                <c:pt idx="4">
                  <c:v>May-24</c:v>
                </c:pt>
                <c:pt idx="5">
                  <c:v>Jun-24</c:v>
                </c:pt>
                <c:pt idx="6">
                  <c:v>Jul-24</c:v>
                </c:pt>
                <c:pt idx="7">
                  <c:v>Aug-24</c:v>
                </c:pt>
                <c:pt idx="8">
                  <c:v>Sep-24</c:v>
                </c:pt>
                <c:pt idx="9">
                  <c:v>Oct-24</c:v>
                </c:pt>
                <c:pt idx="10">
                  <c:v>Nov-24</c:v>
                </c:pt>
                <c:pt idx="11">
                  <c:v>Dec-24</c:v>
                </c:pt>
                <c:pt idx="12">
                  <c:v>Jan-25</c:v>
                </c:pt>
                <c:pt idx="13">
                  <c:v>Feb-25</c:v>
                </c:pt>
                <c:pt idx="14">
                  <c:v>Mar-25</c:v>
                </c:pt>
                <c:pt idx="15">
                  <c:v>Apr-25</c:v>
                </c:pt>
                <c:pt idx="16">
                  <c:v>May-25</c:v>
                </c:pt>
                <c:pt idx="17">
                  <c:v>Jun-25</c:v>
                </c:pt>
                <c:pt idx="18">
                  <c:v>Jul-25</c:v>
                </c:pt>
                <c:pt idx="19">
                  <c:v>Aug-25</c:v>
                </c:pt>
                <c:pt idx="20">
                  <c:v>Sep-25</c:v>
                </c:pt>
                <c:pt idx="21">
                  <c:v>Oct-25</c:v>
                </c:pt>
                <c:pt idx="22">
                  <c:v>Nov-25</c:v>
                </c:pt>
                <c:pt idx="23">
                  <c:v>Dec-25</c:v>
                </c:pt>
                <c:pt idx="24">
                  <c:v>Jan-26</c:v>
                </c:pt>
                <c:pt idx="25">
                  <c:v>Feb-26</c:v>
                </c:pt>
                <c:pt idx="26">
                  <c:v>Mar-26</c:v>
                </c:pt>
                <c:pt idx="27">
                  <c:v>Apr-26</c:v>
                </c:pt>
                <c:pt idx="28">
                  <c:v>May-26</c:v>
                </c:pt>
                <c:pt idx="29">
                  <c:v>Jun-26</c:v>
                </c:pt>
                <c:pt idx="30">
                  <c:v>Jul-26</c:v>
                </c:pt>
                <c:pt idx="31">
                  <c:v>Aug-26</c:v>
                </c:pt>
                <c:pt idx="32">
                  <c:v>Sep-26</c:v>
                </c:pt>
              </c:strCache>
            </c:strRef>
          </c:cat>
          <c:val>
            <c:numRef>
              <c:f>Analysis!$C$26:$C$58</c:f>
              <c:numCache>
                <c:formatCode>0.0</c:formatCode>
                <c:ptCount val="33"/>
                <c:pt idx="0">
                  <c:v>5.191045</c:v>
                </c:pt>
                <c:pt idx="1">
                  <c:v>5.07922</c:v>
                </c:pt>
                <c:pt idx="2">
                  <c:v>5.77089</c:v>
                </c:pt>
                <c:pt idx="3">
                  <c:v>6.294465</c:v>
                </c:pt>
                <c:pt idx="4">
                  <c:v>5.98314</c:v>
                </c:pt>
                <c:pt idx="5">
                  <c:v>7.82287</c:v>
                </c:pt>
                <c:pt idx="6">
                  <c:v>6.51812</c:v>
                </c:pt>
                <c:pt idx="7">
                  <c:v>3.706295</c:v>
                </c:pt>
                <c:pt idx="8">
                  <c:v>4.64395</c:v>
                </c:pt>
                <c:pt idx="9">
                  <c:v>8.69628</c:v>
                </c:pt>
                <c:pt idx="10">
                  <c:v>6.74443</c:v>
                </c:pt>
                <c:pt idx="11">
                  <c:v>2.833175</c:v>
                </c:pt>
                <c:pt idx="12">
                  <c:v>9.124415</c:v>
                </c:pt>
                <c:pt idx="13">
                  <c:v>5.42386</c:v>
                </c:pt>
                <c:pt idx="14">
                  <c:v>9.1773</c:v>
                </c:pt>
                <c:pt idx="15">
                  <c:v>4.738715</c:v>
                </c:pt>
                <c:pt idx="16">
                  <c:v>7.95236</c:v>
                </c:pt>
                <c:pt idx="17">
                  <c:v>3.9589</c:v>
                </c:pt>
                <c:pt idx="18">
                  <c:v>9.8049</c:v>
                </c:pt>
                <c:pt idx="19">
                  <c:v>4.96208</c:v>
                </c:pt>
                <c:pt idx="20">
                  <c:v>9.09981</c:v>
                </c:pt>
                <c:pt idx="21">
                  <c:v>6.4837</c:v>
                </c:pt>
                <c:pt idx="22">
                  <c:v>5.08965</c:v>
                </c:pt>
                <c:pt idx="23">
                  <c:v>6.58893</c:v>
                </c:pt>
                <c:pt idx="24">
                  <c:v>4.7838</c:v>
                </c:pt>
                <c:pt idx="25">
                  <c:v>6.75893</c:v>
                </c:pt>
                <c:pt idx="26">
                  <c:v>3.885825</c:v>
                </c:pt>
                <c:pt idx="27">
                  <c:v>8.95192</c:v>
                </c:pt>
                <c:pt idx="28">
                  <c:v>4.908975</c:v>
                </c:pt>
                <c:pt idx="29">
                  <c:v>4.51865</c:v>
                </c:pt>
                <c:pt idx="30">
                  <c:v>10.31874</c:v>
                </c:pt>
                <c:pt idx="31">
                  <c:v>5.799075</c:v>
                </c:pt>
                <c:pt idx="32">
                  <c:v>3.95573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Analysis!D25</c:f>
              <c:strCache>
                <c:ptCount val="1"/>
                <c:pt idx="0">
                  <c:v>Profit (₹ L)</c:v>
                </c:pt>
              </c:strCache>
            </c:strRef>
          </c:tx>
          <c:spPr>
            <a:solidFill>
              <a:srgbClr val="f28c28"/>
            </a:solidFill>
            <a:ln w="28440">
              <a:solidFill>
                <a:srgbClr val="f28c28"/>
              </a:solidFill>
              <a:round/>
            </a:ln>
          </c:spPr>
          <c:marker>
            <c:symbol val="circle"/>
            <c:size val="5"/>
            <c:spPr>
              <a:solidFill>
                <a:srgbClr val="f28c28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Analysis!$A$26:$A$58</c:f>
              <c:strCache>
                <c:ptCount val="33"/>
                <c:pt idx="0">
                  <c:v>Jan-24</c:v>
                </c:pt>
                <c:pt idx="1">
                  <c:v>Feb-24</c:v>
                </c:pt>
                <c:pt idx="2">
                  <c:v>Mar-24</c:v>
                </c:pt>
                <c:pt idx="3">
                  <c:v>Apr-24</c:v>
                </c:pt>
                <c:pt idx="4">
                  <c:v>May-24</c:v>
                </c:pt>
                <c:pt idx="5">
                  <c:v>Jun-24</c:v>
                </c:pt>
                <c:pt idx="6">
                  <c:v>Jul-24</c:v>
                </c:pt>
                <c:pt idx="7">
                  <c:v>Aug-24</c:v>
                </c:pt>
                <c:pt idx="8">
                  <c:v>Sep-24</c:v>
                </c:pt>
                <c:pt idx="9">
                  <c:v>Oct-24</c:v>
                </c:pt>
                <c:pt idx="10">
                  <c:v>Nov-24</c:v>
                </c:pt>
                <c:pt idx="11">
                  <c:v>Dec-24</c:v>
                </c:pt>
                <c:pt idx="12">
                  <c:v>Jan-25</c:v>
                </c:pt>
                <c:pt idx="13">
                  <c:v>Feb-25</c:v>
                </c:pt>
                <c:pt idx="14">
                  <c:v>Mar-25</c:v>
                </c:pt>
                <c:pt idx="15">
                  <c:v>Apr-25</c:v>
                </c:pt>
                <c:pt idx="16">
                  <c:v>May-25</c:v>
                </c:pt>
                <c:pt idx="17">
                  <c:v>Jun-25</c:v>
                </c:pt>
                <c:pt idx="18">
                  <c:v>Jul-25</c:v>
                </c:pt>
                <c:pt idx="19">
                  <c:v>Aug-25</c:v>
                </c:pt>
                <c:pt idx="20">
                  <c:v>Sep-25</c:v>
                </c:pt>
                <c:pt idx="21">
                  <c:v>Oct-25</c:v>
                </c:pt>
                <c:pt idx="22">
                  <c:v>Nov-25</c:v>
                </c:pt>
                <c:pt idx="23">
                  <c:v>Dec-25</c:v>
                </c:pt>
                <c:pt idx="24">
                  <c:v>Jan-26</c:v>
                </c:pt>
                <c:pt idx="25">
                  <c:v>Feb-26</c:v>
                </c:pt>
                <c:pt idx="26">
                  <c:v>Mar-26</c:v>
                </c:pt>
                <c:pt idx="27">
                  <c:v>Apr-26</c:v>
                </c:pt>
                <c:pt idx="28">
                  <c:v>May-26</c:v>
                </c:pt>
                <c:pt idx="29">
                  <c:v>Jun-26</c:v>
                </c:pt>
                <c:pt idx="30">
                  <c:v>Jul-26</c:v>
                </c:pt>
                <c:pt idx="31">
                  <c:v>Aug-26</c:v>
                </c:pt>
                <c:pt idx="32">
                  <c:v>Sep-26</c:v>
                </c:pt>
              </c:strCache>
            </c:strRef>
          </c:cat>
          <c:val>
            <c:numRef>
              <c:f>Analysis!$D$26:$D$58</c:f>
              <c:numCache>
                <c:formatCode>0.0</c:formatCode>
                <c:ptCount val="33"/>
                <c:pt idx="0">
                  <c:v>0.901545</c:v>
                </c:pt>
                <c:pt idx="1">
                  <c:v>1.01802</c:v>
                </c:pt>
                <c:pt idx="2">
                  <c:v>1.06469</c:v>
                </c:pt>
                <c:pt idx="3">
                  <c:v>1.074865</c:v>
                </c:pt>
                <c:pt idx="4">
                  <c:v>0.85124</c:v>
                </c:pt>
                <c:pt idx="5">
                  <c:v>0.95577</c:v>
                </c:pt>
                <c:pt idx="6">
                  <c:v>1.16762</c:v>
                </c:pt>
                <c:pt idx="7">
                  <c:v>0.630695</c:v>
                </c:pt>
                <c:pt idx="8">
                  <c:v>0.93925</c:v>
                </c:pt>
                <c:pt idx="9">
                  <c:v>1.22688</c:v>
                </c:pt>
                <c:pt idx="10">
                  <c:v>1.13163</c:v>
                </c:pt>
                <c:pt idx="11">
                  <c:v>0.454575</c:v>
                </c:pt>
                <c:pt idx="12">
                  <c:v>1.149715</c:v>
                </c:pt>
                <c:pt idx="13">
                  <c:v>0.96356</c:v>
                </c:pt>
                <c:pt idx="14">
                  <c:v>1.2434</c:v>
                </c:pt>
                <c:pt idx="15">
                  <c:v>0.783915</c:v>
                </c:pt>
                <c:pt idx="16">
                  <c:v>1.21146</c:v>
                </c:pt>
                <c:pt idx="17">
                  <c:v>0.7908</c:v>
                </c:pt>
                <c:pt idx="18">
                  <c:v>1.7021</c:v>
                </c:pt>
                <c:pt idx="19">
                  <c:v>0.95918</c:v>
                </c:pt>
                <c:pt idx="20">
                  <c:v>1.53841</c:v>
                </c:pt>
                <c:pt idx="21">
                  <c:v>1.3987</c:v>
                </c:pt>
                <c:pt idx="22">
                  <c:v>0.85545</c:v>
                </c:pt>
                <c:pt idx="23">
                  <c:v>1.11583</c:v>
                </c:pt>
                <c:pt idx="24">
                  <c:v>0.9155</c:v>
                </c:pt>
                <c:pt idx="25">
                  <c:v>1.47613</c:v>
                </c:pt>
                <c:pt idx="26">
                  <c:v>0.878825</c:v>
                </c:pt>
                <c:pt idx="27">
                  <c:v>1.63242</c:v>
                </c:pt>
                <c:pt idx="28">
                  <c:v>0.996475</c:v>
                </c:pt>
                <c:pt idx="29">
                  <c:v>0.75895</c:v>
                </c:pt>
                <c:pt idx="30">
                  <c:v>1.49704</c:v>
                </c:pt>
                <c:pt idx="31">
                  <c:v>1.201375</c:v>
                </c:pt>
                <c:pt idx="32">
                  <c:v>0.64323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37381347"/>
        <c:axId val="39776789"/>
      </c:lineChart>
      <c:catAx>
        <c:axId val="373813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c9ced6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4b5563"/>
                </a:solidFill>
                <a:latin typeface="Arial"/>
              </a:defRPr>
            </a:pPr>
          </a:p>
        </c:txPr>
        <c:crossAx val="39776789"/>
        <c:crosses val="autoZero"/>
        <c:auto val="1"/>
        <c:lblAlgn val="ctr"/>
        <c:lblOffset val="100"/>
        <c:noMultiLvlLbl val="0"/>
      </c:catAx>
      <c:valAx>
        <c:axId val="39776789"/>
        <c:scaling>
          <c:orientation val="minMax"/>
        </c:scaling>
        <c:delete val="0"/>
        <c:axPos val="l"/>
        <c:majorGridlines>
          <c:spPr>
            <a:ln w="9360">
              <a:solidFill>
                <a:srgbClr val="e3e7ee"/>
              </a:solidFill>
              <a:round/>
            </a:ln>
          </c:spPr>
        </c:majorGridlines>
        <c:numFmt formatCode="0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4b5563"/>
                </a:solidFill>
                <a:latin typeface="Arial"/>
              </a:defRPr>
            </a:pPr>
          </a:p>
        </c:txPr>
        <c:crossAx val="37381347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noFill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200" spc="-1" strike="noStrike">
                <a:solidFill>
                  <a:srgbClr val="1f2a44"/>
                </a:solidFill>
                <a:latin typeface="Arial"/>
              </a:defRPr>
            </a:pPr>
            <a:r>
              <a:rPr b="1" sz="1200" spc="-1" strike="noStrike">
                <a:solidFill>
                  <a:srgbClr val="1f2a44"/>
                </a:solidFill>
                <a:latin typeface="Arial"/>
              </a:rPr>
              <a:t>Revenue by Category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doughnutChart>
        <c:varyColors val="1"/>
        <c:ser>
          <c:idx val="0"/>
          <c:order val="0"/>
          <c:tx>
            <c:strRef>
              <c:f>Analysis!B61</c:f>
              <c:strCache>
                <c:ptCount val="1"/>
                <c:pt idx="0">
                  <c:v>Revenue (₹ L)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0e7c86"/>
              </a:solidFill>
              <a:ln w="0">
                <a:solidFill>
                  <a:srgbClr val="ffffff"/>
                </a:solidFill>
              </a:ln>
            </c:spPr>
          </c:dPt>
          <c:dPt>
            <c:idx val="1"/>
            <c:spPr>
              <a:solidFill>
                <a:srgbClr val="1f2a44"/>
              </a:solidFill>
              <a:ln w="0">
                <a:solidFill>
                  <a:srgbClr val="ffffff"/>
                </a:solidFill>
              </a:ln>
            </c:spPr>
          </c:dPt>
          <c:dPt>
            <c:idx val="2"/>
            <c:spPr>
              <a:solidFill>
                <a:srgbClr val="f28c28"/>
              </a:solidFill>
              <a:ln w="0">
                <a:solidFill>
                  <a:srgbClr val="ffffff"/>
                </a:solidFill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1" sz="1000" spc="-1" strike="noStrike">
                      <a:solidFill>
                        <a:srgbClr val="ffffff"/>
                      </a:solidFill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1"/>
              <c:txPr>
                <a:bodyPr wrap="square"/>
                <a:lstStyle/>
                <a:p>
                  <a:pPr>
                    <a:defRPr b="1" sz="1000" spc="-1" strike="noStrike">
                      <a:solidFill>
                        <a:srgbClr val="ffffff"/>
                      </a:solidFill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2"/>
              <c:txPr>
                <a:bodyPr wrap="square"/>
                <a:lstStyle/>
                <a:p>
                  <a:pPr>
                    <a:defRPr b="1" sz="1000" spc="-1" strike="noStrike">
                      <a:solidFill>
                        <a:srgbClr val="ffffff"/>
                      </a:solidFill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eparator>
</c:separator>
            </c:dLbl>
            <c:txPr>
              <a:bodyPr wrap="square"/>
              <a:lstStyle/>
              <a:p>
                <a:pPr>
                  <a:defRPr b="1" sz="1000" spc="-1" strike="noStrike">
                    <a:solidFill>
                      <a:srgbClr val="ffffff"/>
                    </a:solidFill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1"/>
            <c:separator>
</c:separator>
            <c:showLeaderLines val="0"/>
          </c:dLbls>
          <c:cat>
            <c:strRef>
              <c:f>Analysis!$A$62:$A$64</c:f>
              <c:strCache>
                <c:ptCount val="3"/>
                <c:pt idx="0">
                  <c:v>Technology</c:v>
                </c:pt>
                <c:pt idx="1">
                  <c:v>Furniture</c:v>
                </c:pt>
                <c:pt idx="2">
                  <c:v>Office Supplies</c:v>
                </c:pt>
              </c:strCache>
            </c:strRef>
          </c:cat>
          <c:val>
            <c:numRef>
              <c:f>Analysis!$B$62:$B$64</c:f>
              <c:numCache>
                <c:formatCode>0.0</c:formatCode>
                <c:ptCount val="3"/>
                <c:pt idx="0">
                  <c:v>162.8168</c:v>
                </c:pt>
                <c:pt idx="1">
                  <c:v>39.89765</c:v>
                </c:pt>
                <c:pt idx="2">
                  <c:v>2.855695</c:v>
                </c:pt>
              </c:numCache>
            </c:numRef>
          </c:val>
        </c:ser>
        <c:firstSliceAng val="0"/>
        <c:holeSize val="50"/>
      </c:doughnutChart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noFill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200" spc="-1" strike="noStrike">
                <a:solidFill>
                  <a:srgbClr val="1f2a44"/>
                </a:solidFill>
                <a:latin typeface="Arial"/>
              </a:defRPr>
            </a:pPr>
            <a:r>
              <a:rPr b="1" sz="1200" spc="-1" strike="noStrike">
                <a:solidFill>
                  <a:srgbClr val="1f2a44"/>
                </a:solidFill>
                <a:latin typeface="Arial"/>
              </a:rPr>
              <a:t>Revenue by Region (₹ lakh)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Analysis!B67</c:f>
              <c:strCache>
                <c:ptCount val="1"/>
                <c:pt idx="0">
                  <c:v>Revenue (₹ L)</c:v>
                </c:pt>
              </c:strCache>
            </c:strRef>
          </c:tx>
          <c:spPr>
            <a:solidFill>
              <a:srgbClr val="0e7c86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900" spc="-1" strike="noStrike">
                    <a:solidFill>
                      <a:srgbClr val="1f2a44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Analysis!$A$68:$A$71</c:f>
              <c:strCache>
                <c:ptCount val="4"/>
                <c:pt idx="0">
                  <c:v>North</c:v>
                </c:pt>
                <c:pt idx="1">
                  <c:v>South</c:v>
                </c:pt>
                <c:pt idx="2">
                  <c:v>East</c:v>
                </c:pt>
                <c:pt idx="3">
                  <c:v>West</c:v>
                </c:pt>
              </c:strCache>
            </c:strRef>
          </c:cat>
          <c:val>
            <c:numRef>
              <c:f>Analysis!$B$68:$B$71</c:f>
              <c:numCache>
                <c:formatCode>0.0</c:formatCode>
                <c:ptCount val="4"/>
                <c:pt idx="0">
                  <c:v>86.62462</c:v>
                </c:pt>
                <c:pt idx="1">
                  <c:v>23.054795</c:v>
                </c:pt>
                <c:pt idx="2">
                  <c:v>36.95137</c:v>
                </c:pt>
                <c:pt idx="3">
                  <c:v>58.93936</c:v>
                </c:pt>
              </c:numCache>
            </c:numRef>
          </c:val>
        </c:ser>
        <c:gapWidth val="60"/>
        <c:overlap val="0"/>
        <c:axId val="94237780"/>
        <c:axId val="62450224"/>
      </c:barChart>
      <c:catAx>
        <c:axId val="942377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c9ced6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4b5563"/>
                </a:solidFill>
                <a:latin typeface="Arial"/>
              </a:defRPr>
            </a:pPr>
          </a:p>
        </c:txPr>
        <c:crossAx val="62450224"/>
        <c:crosses val="autoZero"/>
        <c:auto val="1"/>
        <c:lblAlgn val="ctr"/>
        <c:lblOffset val="100"/>
        <c:noMultiLvlLbl val="0"/>
      </c:catAx>
      <c:valAx>
        <c:axId val="62450224"/>
        <c:scaling>
          <c:orientation val="minMax"/>
        </c:scaling>
        <c:delete val="0"/>
        <c:axPos val="l"/>
        <c:majorGridlines>
          <c:spPr>
            <a:ln w="9360">
              <a:solidFill>
                <a:srgbClr val="e3e7ee"/>
              </a:solidFill>
              <a:round/>
            </a:ln>
          </c:spPr>
        </c:majorGridlines>
        <c:numFmt formatCode="0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4b5563"/>
                </a:solidFill>
                <a:latin typeface="Arial"/>
              </a:defRPr>
            </a:pPr>
          </a:p>
        </c:txPr>
        <c:crossAx val="94237780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noFill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200" spc="-1" strike="noStrike">
                <a:solidFill>
                  <a:srgbClr val="1f2a44"/>
                </a:solidFill>
                <a:latin typeface="Arial"/>
              </a:defRPr>
            </a:pPr>
            <a:r>
              <a:rPr b="1" sz="1200" spc="-1" strike="noStrike">
                <a:solidFill>
                  <a:srgbClr val="1f2a44"/>
                </a:solidFill>
                <a:latin typeface="Arial"/>
              </a:rPr>
              <a:t>Top 10 Products by Revenue (₹ lakh)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Analysis!H86</c:f>
              <c:strCache>
                <c:ptCount val="1"/>
                <c:pt idx="0">
                  <c:v>Revenue (₹ L)</c:v>
                </c:pt>
              </c:strCache>
            </c:strRef>
          </c:tx>
          <c:spPr>
            <a:solidFill>
              <a:srgbClr val="1f2a44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900" spc="-1" strike="noStrike">
                    <a:solidFill>
                      <a:srgbClr val="1f2a44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Analysis!$G$87:$G$96</c:f>
              <c:strCache>
                <c:ptCount val="10"/>
                <c:pt idx="0">
                  <c:v>Laptop</c:v>
                </c:pt>
                <c:pt idx="1">
                  <c:v>Tablet</c:v>
                </c:pt>
                <c:pt idx="2">
                  <c:v>Monitor</c:v>
                </c:pt>
                <c:pt idx="3">
                  <c:v>Office Desk</c:v>
                </c:pt>
                <c:pt idx="4">
                  <c:v>Office Chair</c:v>
                </c:pt>
                <c:pt idx="5">
                  <c:v>Bookshelf</c:v>
                </c:pt>
                <c:pt idx="6">
                  <c:v>Webcam</c:v>
                </c:pt>
                <c:pt idx="7">
                  <c:v>Headphones</c:v>
                </c:pt>
                <c:pt idx="8">
                  <c:v>Keyboard</c:v>
                </c:pt>
                <c:pt idx="9">
                  <c:v>Desk Lamp</c:v>
                </c:pt>
              </c:strCache>
            </c:strRef>
          </c:cat>
          <c:val>
            <c:numRef>
              <c:f>Analysis!$H$87:$H$96</c:f>
              <c:numCache>
                <c:formatCode>0.0</c:formatCode>
                <c:ptCount val="10"/>
                <c:pt idx="0">
                  <c:v>94.68</c:v>
                </c:pt>
                <c:pt idx="1">
                  <c:v>30.411</c:v>
                </c:pt>
                <c:pt idx="2">
                  <c:v>21.414</c:v>
                </c:pt>
                <c:pt idx="3">
                  <c:v>16.875</c:v>
                </c:pt>
                <c:pt idx="4">
                  <c:v>11.4075</c:v>
                </c:pt>
                <c:pt idx="5">
                  <c:v>9.63875</c:v>
                </c:pt>
                <c:pt idx="6">
                  <c:v>6.8685</c:v>
                </c:pt>
                <c:pt idx="7">
                  <c:v>5.5704</c:v>
                </c:pt>
                <c:pt idx="8">
                  <c:v>2.7465</c:v>
                </c:pt>
                <c:pt idx="9">
                  <c:v>1.9764</c:v>
                </c:pt>
              </c:numCache>
            </c:numRef>
          </c:val>
        </c:ser>
        <c:gapWidth val="40"/>
        <c:overlap val="0"/>
        <c:axId val="37345532"/>
        <c:axId val="80036772"/>
      </c:barChart>
      <c:catAx>
        <c:axId val="37345532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c9ced6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4b5563"/>
                </a:solidFill>
                <a:latin typeface="Arial"/>
              </a:defRPr>
            </a:pPr>
          </a:p>
        </c:txPr>
        <c:crossAx val="80036772"/>
        <c:crosses val="autoZero"/>
        <c:auto val="1"/>
        <c:lblAlgn val="ctr"/>
        <c:lblOffset val="100"/>
        <c:noMultiLvlLbl val="0"/>
      </c:catAx>
      <c:valAx>
        <c:axId val="80036772"/>
        <c:scaling>
          <c:orientation val="minMax"/>
        </c:scaling>
        <c:delete val="0"/>
        <c:axPos val="l"/>
        <c:majorGridlines>
          <c:spPr>
            <a:ln w="9360">
              <a:solidFill>
                <a:srgbClr val="e3e7ee"/>
              </a:solidFill>
              <a:round/>
            </a:ln>
          </c:spPr>
        </c:majorGridlines>
        <c:numFmt formatCode="0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4b5563"/>
                </a:solidFill>
                <a:latin typeface="Arial"/>
              </a:defRPr>
            </a:pPr>
          </a:p>
        </c:txPr>
        <c:crossAx val="37345532"/>
        <c:crosses val="max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noFill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200" spc="-1" strike="noStrike">
                <a:solidFill>
                  <a:srgbClr val="1f2a44"/>
                </a:solidFill>
                <a:latin typeface="Arial"/>
              </a:defRPr>
            </a:pPr>
            <a:r>
              <a:rPr b="1" sz="1200" spc="-1" strike="noStrike">
                <a:solidFill>
                  <a:srgbClr val="1f2a44"/>
                </a:solidFill>
                <a:latin typeface="Arial"/>
              </a:rPr>
              <a:t>Top 8 Cities by Revenue (₹ lakh)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Analysis!H104</c:f>
              <c:strCache>
                <c:ptCount val="1"/>
                <c:pt idx="0">
                  <c:v>Revenue (₹ L)</c:v>
                </c:pt>
              </c:strCache>
            </c:strRef>
          </c:tx>
          <c:spPr>
            <a:solidFill>
              <a:srgbClr val="0e7c86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900" spc="-1" strike="noStrike">
                    <a:solidFill>
                      <a:srgbClr val="1f2a44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Analysis!$G$105:$G$112</c:f>
              <c:strCache>
                <c:ptCount val="8"/>
                <c:pt idx="0">
                  <c:v>Jaipur</c:v>
                </c:pt>
                <c:pt idx="1">
                  <c:v>Gurugram</c:v>
                </c:pt>
                <c:pt idx="2">
                  <c:v>Ahmedabad</c:v>
                </c:pt>
                <c:pt idx="3">
                  <c:v>Pune</c:v>
                </c:pt>
                <c:pt idx="4">
                  <c:v>Bhubaneswar</c:v>
                </c:pt>
                <c:pt idx="5">
                  <c:v>Kolkata</c:v>
                </c:pt>
                <c:pt idx="6">
                  <c:v>Lucknow</c:v>
                </c:pt>
                <c:pt idx="7">
                  <c:v>Delhi</c:v>
                </c:pt>
              </c:strCache>
            </c:strRef>
          </c:cat>
          <c:val>
            <c:numRef>
              <c:f>Analysis!$H$105:$H$112</c:f>
              <c:numCache>
                <c:formatCode>0.0</c:formatCode>
                <c:ptCount val="8"/>
                <c:pt idx="0">
                  <c:v>30.57814</c:v>
                </c:pt>
                <c:pt idx="1">
                  <c:v>24.911685</c:v>
                </c:pt>
                <c:pt idx="2">
                  <c:v>22.37099</c:v>
                </c:pt>
                <c:pt idx="3">
                  <c:v>22.24909</c:v>
                </c:pt>
                <c:pt idx="4">
                  <c:v>19.941025</c:v>
                </c:pt>
                <c:pt idx="5">
                  <c:v>17.010345</c:v>
                </c:pt>
                <c:pt idx="6">
                  <c:v>15.711115</c:v>
                </c:pt>
                <c:pt idx="7">
                  <c:v>15.42368</c:v>
                </c:pt>
              </c:numCache>
            </c:numRef>
          </c:val>
        </c:ser>
        <c:gapWidth val="40"/>
        <c:overlap val="0"/>
        <c:axId val="4978183"/>
        <c:axId val="96319873"/>
      </c:barChart>
      <c:catAx>
        <c:axId val="4978183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c9ced6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4b5563"/>
                </a:solidFill>
                <a:latin typeface="Arial"/>
              </a:defRPr>
            </a:pPr>
          </a:p>
        </c:txPr>
        <c:crossAx val="96319873"/>
        <c:crosses val="autoZero"/>
        <c:auto val="1"/>
        <c:lblAlgn val="ctr"/>
        <c:lblOffset val="100"/>
        <c:noMultiLvlLbl val="0"/>
      </c:catAx>
      <c:valAx>
        <c:axId val="96319873"/>
        <c:scaling>
          <c:orientation val="minMax"/>
        </c:scaling>
        <c:delete val="0"/>
        <c:axPos val="l"/>
        <c:majorGridlines>
          <c:spPr>
            <a:ln w="9360">
              <a:solidFill>
                <a:srgbClr val="e3e7ee"/>
              </a:solidFill>
              <a:round/>
            </a:ln>
          </c:spPr>
        </c:majorGridlines>
        <c:numFmt formatCode="0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4b5563"/>
                </a:solidFill>
                <a:latin typeface="Arial"/>
              </a:defRPr>
            </a:pPr>
          </a:p>
        </c:txPr>
        <c:crossAx val="4978183"/>
        <c:crosses val="max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noFill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200" spc="-1" strike="noStrike">
                <a:solidFill>
                  <a:srgbClr val="1f2a44"/>
                </a:solidFill>
                <a:latin typeface="Arial"/>
              </a:defRPr>
            </a:pPr>
            <a:r>
              <a:rPr b="1" sz="1200" spc="-1" strike="noStrike">
                <a:solidFill>
                  <a:srgbClr val="1f2a44"/>
                </a:solidFill>
                <a:latin typeface="Arial"/>
              </a:rPr>
              <a:t>Revenue by Sales Channel (₹ lakh)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Analysis!B74</c:f>
              <c:strCache>
                <c:ptCount val="1"/>
                <c:pt idx="0">
                  <c:v>Revenue (₹ L)</c:v>
                </c:pt>
              </c:strCache>
            </c:strRef>
          </c:tx>
          <c:spPr>
            <a:solidFill>
              <a:srgbClr val="f28c28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900" spc="-1" strike="noStrike">
                    <a:solidFill>
                      <a:srgbClr val="1f2a44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Analysis!$A$75:$A$77</c:f>
              <c:strCache>
                <c:ptCount val="3"/>
                <c:pt idx="0">
                  <c:v>Online</c:v>
                </c:pt>
                <c:pt idx="1">
                  <c:v>Store</c:v>
                </c:pt>
                <c:pt idx="2">
                  <c:v>Phone</c:v>
                </c:pt>
              </c:strCache>
            </c:strRef>
          </c:cat>
          <c:val>
            <c:numRef>
              <c:f>Analysis!$B$75:$B$77</c:f>
              <c:numCache>
                <c:formatCode>0.0</c:formatCode>
                <c:ptCount val="3"/>
                <c:pt idx="0">
                  <c:v>80.395235</c:v>
                </c:pt>
                <c:pt idx="1">
                  <c:v>68.177755</c:v>
                </c:pt>
                <c:pt idx="2">
                  <c:v>56.997155</c:v>
                </c:pt>
              </c:numCache>
            </c:numRef>
          </c:val>
        </c:ser>
        <c:gapWidth val="60"/>
        <c:overlap val="0"/>
        <c:axId val="29503943"/>
        <c:axId val="40536605"/>
      </c:barChart>
      <c:catAx>
        <c:axId val="295039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c9ced6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4b5563"/>
                </a:solidFill>
                <a:latin typeface="Arial"/>
              </a:defRPr>
            </a:pPr>
          </a:p>
        </c:txPr>
        <c:crossAx val="40536605"/>
        <c:crosses val="autoZero"/>
        <c:auto val="1"/>
        <c:lblAlgn val="ctr"/>
        <c:lblOffset val="100"/>
        <c:noMultiLvlLbl val="0"/>
      </c:catAx>
      <c:valAx>
        <c:axId val="40536605"/>
        <c:scaling>
          <c:orientation val="minMax"/>
        </c:scaling>
        <c:delete val="0"/>
        <c:axPos val="l"/>
        <c:majorGridlines>
          <c:spPr>
            <a:ln w="9360">
              <a:solidFill>
                <a:srgbClr val="e3e7ee"/>
              </a:solidFill>
              <a:round/>
            </a:ln>
          </c:spPr>
        </c:majorGridlines>
        <c:numFmt formatCode="0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4b5563"/>
                </a:solidFill>
                <a:latin typeface="Arial"/>
              </a:defRPr>
            </a:pPr>
          </a:p>
        </c:txPr>
        <c:crossAx val="29503943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noFill/>
    </a:ln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200" spc="-1" strike="noStrike">
                <a:solidFill>
                  <a:srgbClr val="1f2a44"/>
                </a:solidFill>
                <a:latin typeface="Arial"/>
              </a:defRPr>
            </a:pPr>
            <a:r>
              <a:rPr b="1" sz="1200" spc="-1" strike="noStrike">
                <a:solidFill>
                  <a:srgbClr val="1f2a44"/>
                </a:solidFill>
                <a:latin typeface="Arial"/>
              </a:rPr>
              <a:t>Revenue by Customer Segment (₹ lakh)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Analysis!B80</c:f>
              <c:strCache>
                <c:ptCount val="1"/>
                <c:pt idx="0">
                  <c:v>Revenue (₹ L)</c:v>
                </c:pt>
              </c:strCache>
            </c:strRef>
          </c:tx>
          <c:spPr>
            <a:solidFill>
              <a:srgbClr val="1f2a44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900" spc="-1" strike="noStrike">
                    <a:solidFill>
                      <a:srgbClr val="1f2a44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Analysis!$A$81:$A$83</c:f>
              <c:strCache>
                <c:ptCount val="3"/>
                <c:pt idx="0">
                  <c:v>Consumer</c:v>
                </c:pt>
                <c:pt idx="1">
                  <c:v>Small Business</c:v>
                </c:pt>
                <c:pt idx="2">
                  <c:v>Corporate</c:v>
                </c:pt>
              </c:strCache>
            </c:strRef>
          </c:cat>
          <c:val>
            <c:numRef>
              <c:f>Analysis!$B$81:$B$83</c:f>
              <c:numCache>
                <c:formatCode>0.0</c:formatCode>
                <c:ptCount val="3"/>
                <c:pt idx="0">
                  <c:v>90.025355</c:v>
                </c:pt>
                <c:pt idx="1">
                  <c:v>66.126565</c:v>
                </c:pt>
                <c:pt idx="2">
                  <c:v>49.418225</c:v>
                </c:pt>
              </c:numCache>
            </c:numRef>
          </c:val>
        </c:ser>
        <c:gapWidth val="60"/>
        <c:overlap val="0"/>
        <c:axId val="3091602"/>
        <c:axId val="22695197"/>
      </c:barChart>
      <c:catAx>
        <c:axId val="309160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c9ced6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4b5563"/>
                </a:solidFill>
                <a:latin typeface="Arial"/>
              </a:defRPr>
            </a:pPr>
          </a:p>
        </c:txPr>
        <c:crossAx val="22695197"/>
        <c:crosses val="autoZero"/>
        <c:auto val="1"/>
        <c:lblAlgn val="ctr"/>
        <c:lblOffset val="100"/>
        <c:noMultiLvlLbl val="0"/>
      </c:catAx>
      <c:valAx>
        <c:axId val="22695197"/>
        <c:scaling>
          <c:orientation val="minMax"/>
        </c:scaling>
        <c:delete val="0"/>
        <c:axPos val="l"/>
        <c:majorGridlines>
          <c:spPr>
            <a:ln w="9360">
              <a:solidFill>
                <a:srgbClr val="e3e7ee"/>
              </a:solidFill>
              <a:round/>
            </a:ln>
          </c:spPr>
        </c:majorGridlines>
        <c:numFmt formatCode="0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4b5563"/>
                </a:solidFill>
                <a:latin typeface="Arial"/>
              </a:defRPr>
            </a:pPr>
          </a:p>
        </c:txPr>
        <c:crossAx val="3091602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noFill/>
    </a:ln>
  </c:sp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200" spc="-1" strike="noStrike">
                <a:solidFill>
                  <a:srgbClr val="1f2a44"/>
                </a:solidFill>
                <a:latin typeface="Arial"/>
              </a:defRPr>
            </a:pPr>
            <a:r>
              <a:rPr b="1" sz="1200" spc="-1" strike="noStrike">
                <a:solidFill>
                  <a:srgbClr val="1f2a44"/>
                </a:solidFill>
                <a:latin typeface="Arial"/>
              </a:rPr>
              <a:t>Profit Margin by Category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Analysis!D61</c:f>
              <c:strCache>
                <c:ptCount val="1"/>
                <c:pt idx="0">
                  <c:v>Margin</c:v>
                </c:pt>
              </c:strCache>
            </c:strRef>
          </c:tx>
          <c:spPr>
            <a:solidFill>
              <a:srgbClr val="0e7c86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900" spc="-1" strike="noStrike">
                    <a:solidFill>
                      <a:srgbClr val="1f2a44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Analysis!$A$62:$A$64</c:f>
              <c:strCache>
                <c:ptCount val="3"/>
                <c:pt idx="0">
                  <c:v>Technology</c:v>
                </c:pt>
                <c:pt idx="1">
                  <c:v>Furniture</c:v>
                </c:pt>
                <c:pt idx="2">
                  <c:v>Office Supplies</c:v>
                </c:pt>
              </c:strCache>
            </c:strRef>
          </c:cat>
          <c:val>
            <c:numRef>
              <c:f>Analysis!$D$62:$D$64</c:f>
              <c:numCache>
                <c:formatCode>0.0%</c:formatCode>
                <c:ptCount val="3"/>
                <c:pt idx="0">
                  <c:v>0.152339316335906</c:v>
                </c:pt>
                <c:pt idx="1">
                  <c:v>0.23273676519795</c:v>
                </c:pt>
                <c:pt idx="2">
                  <c:v>0.364252835124199</c:v>
                </c:pt>
              </c:numCache>
            </c:numRef>
          </c:val>
        </c:ser>
        <c:gapWidth val="60"/>
        <c:overlap val="0"/>
        <c:axId val="3860955"/>
        <c:axId val="12010445"/>
      </c:barChart>
      <c:catAx>
        <c:axId val="38609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c9ced6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4b5563"/>
                </a:solidFill>
                <a:latin typeface="Arial"/>
              </a:defRPr>
            </a:pPr>
          </a:p>
        </c:txPr>
        <c:crossAx val="12010445"/>
        <c:crosses val="autoZero"/>
        <c:auto val="1"/>
        <c:lblAlgn val="ctr"/>
        <c:lblOffset val="100"/>
        <c:noMultiLvlLbl val="0"/>
      </c:catAx>
      <c:valAx>
        <c:axId val="12010445"/>
        <c:scaling>
          <c:orientation val="minMax"/>
        </c:scaling>
        <c:delete val="0"/>
        <c:axPos val="l"/>
        <c:majorGridlines>
          <c:spPr>
            <a:ln w="9360">
              <a:solidFill>
                <a:srgbClr val="e3e7ee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4b5563"/>
                </a:solidFill>
                <a:latin typeface="Arial"/>
              </a:defRPr>
            </a:pPr>
          </a:p>
        </c:txPr>
        <c:crossAx val="3860955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noFill/>
    </a:ln>
  </c:spPr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200" spc="-1" strike="noStrike">
                <a:solidFill>
                  <a:srgbClr val="1f2a44"/>
                </a:solidFill>
                <a:latin typeface="Arial"/>
              </a:defRPr>
            </a:pPr>
            <a:r>
              <a:rPr b="1" sz="1200" spc="-1" strike="noStrike">
                <a:solidFill>
                  <a:srgbClr val="1f2a44"/>
                </a:solidFill>
                <a:latin typeface="Arial"/>
              </a:rPr>
              <a:t>Order Status Mix (number of orders)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doughnutChart>
        <c:varyColors val="1"/>
        <c:ser>
          <c:idx val="0"/>
          <c:order val="0"/>
          <c:tx>
            <c:strRef>
              <c:f>Analysis!B119</c:f>
              <c:strCache>
                <c:ptCount val="1"/>
                <c:pt idx="0">
                  <c:v>Orders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0e7c86"/>
              </a:solidFill>
              <a:ln w="0">
                <a:solidFill>
                  <a:srgbClr val="ffffff"/>
                </a:solidFill>
              </a:ln>
            </c:spPr>
          </c:dPt>
          <c:dPt>
            <c:idx val="1"/>
            <c:spPr>
              <a:solidFill>
                <a:srgbClr val="f28c28"/>
              </a:solidFill>
              <a:ln w="0">
                <a:solidFill>
                  <a:srgbClr val="ffffff"/>
                </a:solidFill>
              </a:ln>
            </c:spPr>
          </c:dPt>
          <c:dPt>
            <c:idx val="2"/>
            <c:spPr>
              <a:solidFill>
                <a:srgbClr val="d1495b"/>
              </a:solidFill>
              <a:ln w="0">
                <a:solidFill>
                  <a:srgbClr val="ffffff"/>
                </a:solidFill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1" sz="1000" spc="-1" strike="noStrike">
                      <a:solidFill>
                        <a:srgbClr val="ffffff"/>
                      </a:solidFill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1"/>
              <c:txPr>
                <a:bodyPr wrap="square"/>
                <a:lstStyle/>
                <a:p>
                  <a:pPr>
                    <a:defRPr b="1" sz="1000" spc="-1" strike="noStrike">
                      <a:solidFill>
                        <a:srgbClr val="ffffff"/>
                      </a:solidFill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2"/>
              <c:txPr>
                <a:bodyPr wrap="square"/>
                <a:lstStyle/>
                <a:p>
                  <a:pPr>
                    <a:defRPr b="1" sz="1000" spc="-1" strike="noStrike">
                      <a:solidFill>
                        <a:srgbClr val="ffffff"/>
                      </a:solidFill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eparator>
</c:separator>
            </c:dLbl>
            <c:txPr>
              <a:bodyPr wrap="square"/>
              <a:lstStyle/>
              <a:p>
                <a:pPr>
                  <a:defRPr b="1" sz="1000" spc="-1" strike="noStrike">
                    <a:solidFill>
                      <a:srgbClr val="ffffff"/>
                    </a:solidFill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1"/>
            <c:separator>
</c:separator>
            <c:showLeaderLines val="0"/>
          </c:dLbls>
          <c:cat>
            <c:strRef>
              <c:f>Analysis!$A$120:$A$122</c:f>
              <c:strCache>
                <c:ptCount val="3"/>
                <c:pt idx="0">
                  <c:v>Delivered</c:v>
                </c:pt>
                <c:pt idx="1">
                  <c:v>Returned</c:v>
                </c:pt>
                <c:pt idx="2">
                  <c:v>Cancelled</c:v>
                </c:pt>
              </c:strCache>
            </c:strRef>
          </c:cat>
          <c:val>
            <c:numRef>
              <c:f>Analysis!$B$120:$B$122</c:f>
              <c:numCache>
                <c:formatCode>#,##0</c:formatCode>
                <c:ptCount val="3"/>
                <c:pt idx="0">
                  <c:v>1091</c:v>
                </c:pt>
                <c:pt idx="1">
                  <c:v>75</c:v>
                </c:pt>
                <c:pt idx="2">
                  <c:v>34</c:v>
                </c:pt>
              </c:numCache>
            </c:numRef>
          </c:val>
        </c:ser>
        <c:firstSliceAng val="0"/>
        <c:holeSize val="50"/>
      </c:doughnutChart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noFill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Relationship Id="rId7" Type="http://schemas.openxmlformats.org/officeDocument/2006/relationships/chart" Target="../charts/chart7.xml"/><Relationship Id="rId8" Type="http://schemas.openxmlformats.org/officeDocument/2006/relationships/chart" Target="../charts/chart8.xml"/><Relationship Id="rId9" Type="http://schemas.openxmlformats.org/officeDocument/2006/relationships/chart" Target="../charts/chart9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16</xdr:row>
      <xdr:rowOff>0</xdr:rowOff>
    </xdr:from>
    <xdr:to>
      <xdr:col>17</xdr:col>
      <xdr:colOff>33120</xdr:colOff>
      <xdr:row>29</xdr:row>
      <xdr:rowOff>151200</xdr:rowOff>
    </xdr:to>
    <xdr:graphicFrame>
      <xdr:nvGraphicFramePr>
        <xdr:cNvPr id="0" name="Chart 1"/>
        <xdr:cNvGraphicFramePr/>
      </xdr:nvGraphicFramePr>
      <xdr:xfrm>
        <a:off x="141120" y="3648240"/>
        <a:ext cx="11879640" cy="2627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0</xdr:colOff>
      <xdr:row>32</xdr:row>
      <xdr:rowOff>0</xdr:rowOff>
    </xdr:from>
    <xdr:to>
      <xdr:col>8</xdr:col>
      <xdr:colOff>685080</xdr:colOff>
      <xdr:row>45</xdr:row>
      <xdr:rowOff>151200</xdr:rowOff>
    </xdr:to>
    <xdr:graphicFrame>
      <xdr:nvGraphicFramePr>
        <xdr:cNvPr id="1" name="Chart 2"/>
        <xdr:cNvGraphicFramePr/>
      </xdr:nvGraphicFramePr>
      <xdr:xfrm>
        <a:off x="141120" y="6696000"/>
        <a:ext cx="5867640" cy="2627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9</xdr:col>
      <xdr:colOff>0</xdr:colOff>
      <xdr:row>32</xdr:row>
      <xdr:rowOff>0</xdr:rowOff>
    </xdr:from>
    <xdr:to>
      <xdr:col>16</xdr:col>
      <xdr:colOff>684720</xdr:colOff>
      <xdr:row>45</xdr:row>
      <xdr:rowOff>151200</xdr:rowOff>
    </xdr:to>
    <xdr:graphicFrame>
      <xdr:nvGraphicFramePr>
        <xdr:cNvPr id="2" name="Chart 3"/>
        <xdr:cNvGraphicFramePr/>
      </xdr:nvGraphicFramePr>
      <xdr:xfrm>
        <a:off x="6064200" y="6696000"/>
        <a:ext cx="5867640" cy="2627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</xdr:col>
      <xdr:colOff>0</xdr:colOff>
      <xdr:row>48</xdr:row>
      <xdr:rowOff>0</xdr:rowOff>
    </xdr:from>
    <xdr:to>
      <xdr:col>8</xdr:col>
      <xdr:colOff>685080</xdr:colOff>
      <xdr:row>61</xdr:row>
      <xdr:rowOff>151200</xdr:rowOff>
    </xdr:to>
    <xdr:graphicFrame>
      <xdr:nvGraphicFramePr>
        <xdr:cNvPr id="3" name="Chart 4"/>
        <xdr:cNvGraphicFramePr/>
      </xdr:nvGraphicFramePr>
      <xdr:xfrm>
        <a:off x="141120" y="9744120"/>
        <a:ext cx="5867640" cy="2627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9</xdr:col>
      <xdr:colOff>0</xdr:colOff>
      <xdr:row>48</xdr:row>
      <xdr:rowOff>0</xdr:rowOff>
    </xdr:from>
    <xdr:to>
      <xdr:col>16</xdr:col>
      <xdr:colOff>684720</xdr:colOff>
      <xdr:row>61</xdr:row>
      <xdr:rowOff>151200</xdr:rowOff>
    </xdr:to>
    <xdr:graphicFrame>
      <xdr:nvGraphicFramePr>
        <xdr:cNvPr id="4" name="Chart 5"/>
        <xdr:cNvGraphicFramePr/>
      </xdr:nvGraphicFramePr>
      <xdr:xfrm>
        <a:off x="6064200" y="9744120"/>
        <a:ext cx="5867640" cy="2627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1</xdr:col>
      <xdr:colOff>0</xdr:colOff>
      <xdr:row>64</xdr:row>
      <xdr:rowOff>0</xdr:rowOff>
    </xdr:from>
    <xdr:to>
      <xdr:col>8</xdr:col>
      <xdr:colOff>685080</xdr:colOff>
      <xdr:row>77</xdr:row>
      <xdr:rowOff>151200</xdr:rowOff>
    </xdr:to>
    <xdr:graphicFrame>
      <xdr:nvGraphicFramePr>
        <xdr:cNvPr id="5" name="Chart 6"/>
        <xdr:cNvGraphicFramePr/>
      </xdr:nvGraphicFramePr>
      <xdr:xfrm>
        <a:off x="141120" y="12792240"/>
        <a:ext cx="5867640" cy="2627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9</xdr:col>
      <xdr:colOff>0</xdr:colOff>
      <xdr:row>64</xdr:row>
      <xdr:rowOff>0</xdr:rowOff>
    </xdr:from>
    <xdr:to>
      <xdr:col>16</xdr:col>
      <xdr:colOff>684720</xdr:colOff>
      <xdr:row>77</xdr:row>
      <xdr:rowOff>151200</xdr:rowOff>
    </xdr:to>
    <xdr:graphicFrame>
      <xdr:nvGraphicFramePr>
        <xdr:cNvPr id="6" name="Chart 7"/>
        <xdr:cNvGraphicFramePr/>
      </xdr:nvGraphicFramePr>
      <xdr:xfrm>
        <a:off x="6064200" y="12792240"/>
        <a:ext cx="5867640" cy="2627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 editAs="oneCell">
    <xdr:from>
      <xdr:col>1</xdr:col>
      <xdr:colOff>0</xdr:colOff>
      <xdr:row>80</xdr:row>
      <xdr:rowOff>0</xdr:rowOff>
    </xdr:from>
    <xdr:to>
      <xdr:col>8</xdr:col>
      <xdr:colOff>685080</xdr:colOff>
      <xdr:row>93</xdr:row>
      <xdr:rowOff>151200</xdr:rowOff>
    </xdr:to>
    <xdr:graphicFrame>
      <xdr:nvGraphicFramePr>
        <xdr:cNvPr id="7" name="Chart 8"/>
        <xdr:cNvGraphicFramePr/>
      </xdr:nvGraphicFramePr>
      <xdr:xfrm>
        <a:off x="141120" y="15840000"/>
        <a:ext cx="5867640" cy="2627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 editAs="oneCell">
    <xdr:from>
      <xdr:col>9</xdr:col>
      <xdr:colOff>0</xdr:colOff>
      <xdr:row>80</xdr:row>
      <xdr:rowOff>0</xdr:rowOff>
    </xdr:from>
    <xdr:to>
      <xdr:col>16</xdr:col>
      <xdr:colOff>684720</xdr:colOff>
      <xdr:row>93</xdr:row>
      <xdr:rowOff>151200</xdr:rowOff>
    </xdr:to>
    <xdr:graphicFrame>
      <xdr:nvGraphicFramePr>
        <xdr:cNvPr id="8" name="Chart 9"/>
        <xdr:cNvGraphicFramePr/>
      </xdr:nvGraphicFramePr>
      <xdr:xfrm>
        <a:off x="6064200" y="15840000"/>
        <a:ext cx="5867640" cy="2627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E7C86"/>
    <pageSetUpPr fitToPage="true"/>
  </sheetPr>
  <dimension ref="A1:R99"/>
  <sheetViews>
    <sheetView showFormulas="false" showGridLines="false" showRowColHeaders="true" showZeros="true" rightToLeft="false" tabSelected="true" showOutlineSymbols="true" defaultGridColor="true" view="normal" topLeftCell="A1" colorId="64" zoomScale="85" zoomScaleNormal="85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17" min="2" style="0" width="10.51"/>
    <col collapsed="false" customWidth="true" hidden="false" outlineLevel="0" max="18" min="18" style="0" width="2"/>
  </cols>
  <sheetData>
    <row r="1" customFormat="false" ht="6" hidden="false" customHeight="tru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customFormat="false" ht="33.75" hidden="false" customHeight="true" outlineLevel="0" collapsed="false">
      <c r="A2" s="1"/>
      <c r="B2" s="2" t="s">
        <v>0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1"/>
    </row>
    <row r="3" customFormat="false" ht="19.5" hidden="false" customHeight="true" outlineLevel="0" collapsed="false">
      <c r="A3" s="1"/>
      <c r="B3" s="3" t="str">
        <f aca="false">"Orders from "&amp;TEXT(MIN(Orders!$B$2:$B$1201),"mmm yyyy")&amp;" to "&amp;TEXT(MAX(Orders!$B$2:$B$1201),"mmm yyyy")&amp;"  |  Revenue = Delivered orders only  |  Amounts in ₹ lakh (1 L = ₹100,000)"</f>
        <v>Orders from Jan 2024 to Sep 2026  |  Revenue = Delivered orders only  |  Amounts in ₹ lakh (1 L = ₹100,000)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1"/>
    </row>
    <row r="4" customFormat="false" ht="7.5" hidden="false" customHeight="true" outlineLevel="0" collapsed="false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</row>
    <row r="5" customFormat="false" ht="24" hidden="false" customHeight="true" outlineLevel="0" collapsed="false">
      <c r="A5" s="1"/>
      <c r="B5" s="4" t="s">
        <v>1</v>
      </c>
      <c r="C5" s="4"/>
      <c r="D5" s="5" t="s">
        <v>2</v>
      </c>
      <c r="E5" s="6" t="s">
        <v>3</v>
      </c>
      <c r="F5" s="6"/>
      <c r="G5" s="1"/>
      <c r="H5" s="5" t="s">
        <v>4</v>
      </c>
      <c r="I5" s="6" t="s">
        <v>3</v>
      </c>
      <c r="J5" s="6"/>
      <c r="K5" s="1"/>
      <c r="L5" s="5" t="s">
        <v>5</v>
      </c>
      <c r="M5" s="6" t="s">
        <v>3</v>
      </c>
      <c r="N5" s="6"/>
      <c r="O5" s="7" t="s">
        <v>6</v>
      </c>
      <c r="P5" s="7"/>
      <c r="Q5" s="7"/>
      <c r="R5" s="1"/>
    </row>
    <row r="6" customFormat="false" ht="7.5" hidden="false" customHeight="true" outlineLevel="0" collapsed="false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</row>
    <row r="7" customFormat="false" ht="18" hidden="false" customHeight="true" outlineLevel="0" collapsed="false">
      <c r="A7" s="1"/>
      <c r="B7" s="8" t="s">
        <v>7</v>
      </c>
      <c r="C7" s="8"/>
      <c r="D7" s="8" t="s">
        <v>8</v>
      </c>
      <c r="E7" s="8"/>
      <c r="F7" s="8" t="s">
        <v>9</v>
      </c>
      <c r="G7" s="8"/>
      <c r="H7" s="9" t="s">
        <v>10</v>
      </c>
      <c r="I7" s="9"/>
      <c r="J7" s="9" t="s">
        <v>11</v>
      </c>
      <c r="K7" s="9"/>
      <c r="L7" s="9" t="s">
        <v>12</v>
      </c>
      <c r="M7" s="9"/>
      <c r="N7" s="10" t="s">
        <v>13</v>
      </c>
      <c r="O7" s="10"/>
      <c r="P7" s="10" t="s">
        <v>14</v>
      </c>
      <c r="Q7" s="10"/>
      <c r="R7" s="1"/>
    </row>
    <row r="8" customFormat="false" ht="33.75" hidden="false" customHeight="true" outlineLevel="0" collapsed="false">
      <c r="A8" s="1"/>
      <c r="B8" s="11" t="n">
        <f aca="false">Analysis!B11/Analysis!B6</f>
        <v>205.570145</v>
      </c>
      <c r="C8" s="11"/>
      <c r="D8" s="11" t="n">
        <f aca="false">Analysis!B12/Analysis!B6</f>
        <v>35.129245</v>
      </c>
      <c r="E8" s="11"/>
      <c r="F8" s="12" t="n">
        <f aca="false">Analysis!B13</f>
        <v>0.170886900916473</v>
      </c>
      <c r="G8" s="12"/>
      <c r="H8" s="13" t="n">
        <f aca="false">Analysis!B14</f>
        <v>1091</v>
      </c>
      <c r="I8" s="13"/>
      <c r="J8" s="14" t="n">
        <f aca="false">Analysis!B15</f>
        <v>18842.3597616865</v>
      </c>
      <c r="K8" s="14"/>
      <c r="L8" s="13" t="n">
        <f aca="false">Analysis!B16</f>
        <v>3215</v>
      </c>
      <c r="M8" s="13"/>
      <c r="N8" s="12" t="n">
        <f aca="false">Analysis!B20</f>
        <v>0.0625</v>
      </c>
      <c r="O8" s="12"/>
      <c r="P8" s="12" t="n">
        <f aca="false">Analysis!B21</f>
        <v>0.0283333333333333</v>
      </c>
      <c r="Q8" s="12"/>
      <c r="R8" s="1"/>
    </row>
    <row r="9" customFormat="false" ht="15.75" hidden="false" customHeight="true" outlineLevel="0" collapsed="false">
      <c r="A9" s="1"/>
      <c r="B9" s="15" t="s">
        <v>15</v>
      </c>
      <c r="C9" s="15"/>
      <c r="D9" s="15" t="s">
        <v>16</v>
      </c>
      <c r="E9" s="15"/>
      <c r="F9" s="15" t="s">
        <v>17</v>
      </c>
      <c r="G9" s="15"/>
      <c r="H9" s="15" t="s">
        <v>18</v>
      </c>
      <c r="I9" s="15"/>
      <c r="J9" s="15" t="s">
        <v>19</v>
      </c>
      <c r="K9" s="15"/>
      <c r="L9" s="15" t="s">
        <v>20</v>
      </c>
      <c r="M9" s="15"/>
      <c r="N9" s="15" t="s">
        <v>21</v>
      </c>
      <c r="O9" s="15"/>
      <c r="P9" s="15" t="s">
        <v>21</v>
      </c>
      <c r="Q9" s="15"/>
      <c r="R9" s="1"/>
    </row>
    <row r="10" customFormat="false" ht="9.75" hidden="false" customHeight="true" outlineLevel="0" collapsed="false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</row>
    <row r="11" customFormat="false" ht="21.75" hidden="false" customHeight="true" outlineLevel="0" collapsed="false">
      <c r="A11" s="1"/>
      <c r="B11" s="16" t="s">
        <v>22</v>
      </c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"/>
    </row>
    <row r="12" customFormat="false" ht="19.5" hidden="false" customHeight="true" outlineLevel="0" collapsed="false">
      <c r="A12" s="1"/>
      <c r="B12" s="17" t="str">
        <f aca="false">IF(SUM(Analysis!$B$62:$B$64)=0,"No data for this selection","▪ Top category: "&amp;INDEX(Analysis!$A$62:$A$64,MATCH(MAX(Analysis!$B$62:$B$64),Analysis!$B$62:$B$64,0))&amp;" – ₹"&amp;TEXT(MAX(Analysis!$B$62:$B$64),"0.0")&amp;" L ("&amp;TEXT(MAX(Analysis!$B$62:$B$64)/SUM(Analysis!$B$62:$B$64),"0%")&amp;" of revenue)")</f>
        <v>▪ Top category: Technology – ₹162.8 L (79% of revenue)</v>
      </c>
      <c r="C12" s="17"/>
      <c r="D12" s="17"/>
      <c r="E12" s="17"/>
      <c r="F12" s="17"/>
      <c r="G12" s="17"/>
      <c r="H12" s="17"/>
      <c r="I12" s="17"/>
      <c r="J12" s="17" t="str">
        <f aca="false">IF(SUM(Analysis!$B$68:$B$71)=0,"","▪ Top region: "&amp;INDEX(Analysis!$A$68:$A$71,MATCH(MAX(Analysis!$B$68:$B$71),Analysis!$B$68:$B$71,0))&amp;" – ₹"&amp;TEXT(MAX(Analysis!$B$68:$B$71),"0.0")&amp;" L ("&amp;TEXT(MAX(Analysis!$B$68:$B$71)/SUM(Analysis!$B$68:$B$71),"0%")&amp;" of revenue)")</f>
        <v>▪ Top region: North – ₹86.6 L (42% of revenue)</v>
      </c>
      <c r="K12" s="17"/>
      <c r="L12" s="17"/>
      <c r="M12" s="17"/>
      <c r="N12" s="17"/>
      <c r="O12" s="17"/>
      <c r="P12" s="17"/>
      <c r="Q12" s="17"/>
      <c r="R12" s="1"/>
    </row>
    <row r="13" customFormat="false" ht="19.5" hidden="false" customHeight="true" outlineLevel="0" collapsed="false">
      <c r="A13" s="1"/>
      <c r="B13" s="17" t="str">
        <f aca="false">IF(SUM(Analysis!$B$75:$B$77)=0,"","▪ Best channel: "&amp;INDEX(Analysis!$A$75:$A$77,MATCH(MAX(Analysis!$B$75:$B$77),Analysis!$B$75:$B$77,0))&amp;" – ₹"&amp;TEXT(MAX(Analysis!$B$75:$B$77),"0.0")&amp;" L ("&amp;TEXT(MAX(Analysis!$B$75:$B$77)/SUM(Analysis!$B$75:$B$77),"0%")&amp;" of revenue)")</f>
        <v>▪ Best channel: Online – ₹80.4 L (39% of revenue)</v>
      </c>
      <c r="C13" s="17"/>
      <c r="D13" s="17"/>
      <c r="E13" s="17"/>
      <c r="F13" s="17"/>
      <c r="G13" s="17"/>
      <c r="H13" s="17"/>
      <c r="I13" s="17"/>
      <c r="J13" s="17" t="str">
        <f aca="false">IF(Analysis!$H$87=0,"","▪ Best-selling product: "&amp;Analysis!$G$87&amp;" – ₹"&amp;TEXT(Analysis!$H$87,"0.0")&amp;" L")</f>
        <v>▪ Best-selling product: Laptop – ₹94.7 L</v>
      </c>
      <c r="K13" s="17"/>
      <c r="L13" s="17"/>
      <c r="M13" s="17"/>
      <c r="N13" s="17"/>
      <c r="O13" s="17"/>
      <c r="P13" s="17"/>
      <c r="Q13" s="17"/>
      <c r="R13" s="1"/>
    </row>
    <row r="14" customFormat="false" ht="19.5" hidden="false" customHeight="true" outlineLevel="0" collapsed="false">
      <c r="A14" s="1"/>
      <c r="B14" s="17" t="str">
        <f aca="false">IF(SUM(Analysis!$B$62:$B$64)=0,"","▪ Highest-margin category: "&amp;INDEX(Analysis!$A$62:$A$64,MATCH(MAX(Analysis!$D$62:$D$64),Analysis!$D$62:$D$64,0))&amp;" at "&amp;TEXT(MAX(Analysis!$D$62:$D$64),"0.0%"))</f>
        <v>▪ Highest-margin category: Office Supplies at 36.4%</v>
      </c>
      <c r="C14" s="17"/>
      <c r="D14" s="17"/>
      <c r="E14" s="17"/>
      <c r="F14" s="17"/>
      <c r="G14" s="17"/>
      <c r="H14" s="17"/>
      <c r="I14" s="17"/>
      <c r="J14" s="17" t="str">
        <f aca="false">"▪ Returned + cancelled orders: ₹"&amp;TEXT(Analysis!$B$22/Analysis!$B$6,"0.0")&amp;" L of sales not realised"</f>
        <v>▪ Returned + cancelled orders: ₹20.6 L of sales not realised</v>
      </c>
      <c r="K14" s="17"/>
      <c r="L14" s="17"/>
      <c r="M14" s="17"/>
      <c r="N14" s="17"/>
      <c r="O14" s="17"/>
      <c r="P14" s="17"/>
      <c r="Q14" s="17"/>
      <c r="R14" s="1"/>
    </row>
    <row r="15" customFormat="false" ht="9.75" hidden="false" customHeight="true" outlineLevel="0" collapsed="false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</row>
    <row r="16" customFormat="false" ht="21.75" hidden="false" customHeight="true" outlineLevel="0" collapsed="false">
      <c r="A16" s="1"/>
      <c r="B16" s="16" t="s">
        <v>23</v>
      </c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"/>
    </row>
    <row r="17" customFormat="false" ht="15" hidden="false" customHeight="false" outlineLevel="0" collapsed="false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</row>
    <row r="18" customFormat="false" ht="15" hidden="false" customHeight="false" outlineLevel="0" collapsed="false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</row>
    <row r="19" customFormat="false" ht="15" hidden="false" customHeight="false" outlineLevel="0" collapsed="false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</row>
    <row r="20" customFormat="false" ht="15" hidden="false" customHeight="false" outlineLevel="0" collapsed="false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</row>
    <row r="21" customFormat="false" ht="15" hidden="false" customHeight="false" outlineLevel="0" collapsed="false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</row>
    <row r="22" customFormat="false" ht="15" hidden="false" customHeight="false" outlineLevel="0" collapsed="false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</row>
    <row r="23" customFormat="false" ht="15" hidden="false" customHeight="false" outlineLevel="0" collapsed="false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</row>
    <row r="24" customFormat="false" ht="15" hidden="false" customHeight="false" outlineLevel="0" collapsed="false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</row>
    <row r="25" customFormat="false" ht="15" hidden="false" customHeight="false" outlineLevel="0" collapsed="false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</row>
    <row r="26" customFormat="false" ht="15" hidden="false" customHeight="false" outlineLevel="0" collapsed="false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</row>
    <row r="27" customFormat="false" ht="15" hidden="false" customHeight="false" outlineLevel="0" collapsed="false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</row>
    <row r="28" customFormat="false" ht="15" hidden="false" customHeight="false" outlineLevel="0" collapsed="false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</row>
    <row r="29" customFormat="false" ht="15" hidden="false" customHeight="false" outlineLevel="0" collapsed="false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</row>
    <row r="30" customFormat="false" ht="15" hidden="false" customHeight="false" outlineLevel="0" collapsed="false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</row>
    <row r="31" customFormat="false" ht="15" hidden="false" customHeight="false" outlineLevel="0" collapsed="false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</row>
    <row r="32" customFormat="false" ht="15" hidden="false" customHeight="false" outlineLevel="0" collapsed="false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</row>
    <row r="33" customFormat="false" ht="15" hidden="false" customHeight="false" outlineLevel="0" collapsed="false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</row>
    <row r="34" customFormat="false" ht="15" hidden="false" customHeight="false" outlineLevel="0" collapsed="false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</row>
    <row r="35" customFormat="false" ht="15" hidden="false" customHeight="false" outlineLevel="0" collapsed="false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</row>
    <row r="36" customFormat="false" ht="15" hidden="false" customHeight="false" outlineLevel="0" collapsed="false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</row>
    <row r="37" customFormat="false" ht="15" hidden="false" customHeight="false" outlineLevel="0" collapsed="false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</row>
    <row r="38" customFormat="false" ht="15" hidden="false" customHeight="false" outlineLevel="0" collapsed="false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</row>
    <row r="39" customFormat="false" ht="15" hidden="false" customHeight="false" outlineLevel="0" collapsed="false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</row>
    <row r="40" customFormat="false" ht="15" hidden="false" customHeight="false" outlineLevel="0" collapsed="false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</row>
    <row r="41" customFormat="false" ht="15" hidden="false" customHeight="false" outlineLevel="0" collapsed="false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</row>
    <row r="42" customFormat="false" ht="15" hidden="false" customHeight="false" outlineLevel="0" collapsed="false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</row>
    <row r="43" customFormat="false" ht="15" hidden="false" customHeight="false" outlineLevel="0" collapsed="false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</row>
    <row r="44" customFormat="false" ht="15" hidden="false" customHeight="false" outlineLevel="0" collapsed="false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</row>
    <row r="45" customFormat="false" ht="15" hidden="false" customHeight="false" outlineLevel="0" collapsed="false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</row>
    <row r="46" customFormat="false" ht="15" hidden="false" customHeight="false" outlineLevel="0" collapsed="false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</row>
    <row r="47" customFormat="false" ht="15" hidden="false" customHeight="false" outlineLevel="0" collapsed="false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</row>
    <row r="48" customFormat="false" ht="15" hidden="false" customHeight="false" outlineLevel="0" collapsed="false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</row>
    <row r="49" customFormat="false" ht="15" hidden="false" customHeight="false" outlineLevel="0" collapsed="false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</row>
    <row r="50" customFormat="false" ht="15" hidden="false" customHeight="false" outlineLevel="0" collapsed="false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</row>
    <row r="51" customFormat="false" ht="15" hidden="false" customHeight="false" outlineLevel="0" collapsed="false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</row>
    <row r="52" customFormat="false" ht="15" hidden="false" customHeight="false" outlineLevel="0" collapsed="false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</row>
    <row r="53" customFormat="false" ht="15" hidden="false" customHeight="false" outlineLevel="0" collapsed="false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</row>
    <row r="54" customFormat="false" ht="15" hidden="false" customHeight="false" outlineLevel="0" collapsed="false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</row>
    <row r="55" customFormat="false" ht="15" hidden="false" customHeight="false" outlineLevel="0" collapsed="false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</row>
    <row r="56" customFormat="false" ht="15" hidden="false" customHeight="false" outlineLevel="0" collapsed="false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</row>
    <row r="57" customFormat="false" ht="15" hidden="false" customHeight="false" outlineLevel="0" collapsed="false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</row>
    <row r="58" customFormat="false" ht="15" hidden="false" customHeight="false" outlineLevel="0" collapsed="false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</row>
    <row r="59" customFormat="false" ht="15" hidden="false" customHeight="false" outlineLevel="0" collapsed="false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</row>
    <row r="60" customFormat="false" ht="15" hidden="false" customHeight="false" outlineLevel="0" collapsed="false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</row>
    <row r="61" customFormat="false" ht="15" hidden="false" customHeight="false" outlineLevel="0" collapsed="false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</row>
    <row r="62" customFormat="false" ht="15" hidden="false" customHeight="false" outlineLevel="0" collapsed="false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</row>
    <row r="63" customFormat="false" ht="15" hidden="false" customHeight="false" outlineLevel="0" collapsed="false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</row>
    <row r="64" customFormat="false" ht="15" hidden="false" customHeight="false" outlineLevel="0" collapsed="false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</row>
    <row r="65" customFormat="false" ht="15" hidden="false" customHeight="false" outlineLevel="0" collapsed="false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</row>
    <row r="66" customFormat="false" ht="15" hidden="false" customHeight="false" outlineLevel="0" collapsed="false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</row>
    <row r="67" customFormat="false" ht="15" hidden="false" customHeight="false" outlineLevel="0" collapsed="false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</row>
    <row r="68" customFormat="false" ht="15" hidden="false" customHeight="false" outlineLevel="0" collapsed="false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</row>
    <row r="69" customFormat="false" ht="15" hidden="false" customHeight="false" outlineLevel="0" collapsed="false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</row>
    <row r="70" customFormat="false" ht="15" hidden="false" customHeight="false" outlineLevel="0" collapsed="false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</row>
    <row r="71" customFormat="false" ht="15" hidden="false" customHeight="false" outlineLevel="0" collapsed="false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</row>
    <row r="72" customFormat="false" ht="15" hidden="false" customHeight="false" outlineLevel="0" collapsed="false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</row>
    <row r="73" customFormat="false" ht="15" hidden="false" customHeight="false" outlineLevel="0" collapsed="false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</row>
    <row r="74" customFormat="false" ht="15" hidden="false" customHeight="false" outlineLevel="0" collapsed="false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</row>
    <row r="75" customFormat="false" ht="15" hidden="false" customHeight="false" outlineLevel="0" collapsed="false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</row>
    <row r="76" customFormat="false" ht="15" hidden="false" customHeight="false" outlineLevel="0" collapsed="false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</row>
    <row r="77" customFormat="false" ht="15" hidden="false" customHeight="false" outlineLevel="0" collapsed="false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</row>
    <row r="78" customFormat="false" ht="15" hidden="false" customHeight="false" outlineLevel="0" collapsed="false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</row>
    <row r="79" customFormat="false" ht="15" hidden="false" customHeight="false" outlineLevel="0" collapsed="false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</row>
    <row r="80" customFormat="false" ht="15" hidden="false" customHeight="false" outlineLevel="0" collapsed="false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</row>
    <row r="81" customFormat="false" ht="15" hidden="false" customHeight="false" outlineLevel="0" collapsed="false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</row>
    <row r="82" customFormat="false" ht="15" hidden="false" customHeight="false" outlineLevel="0" collapsed="false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</row>
    <row r="83" customFormat="false" ht="15" hidden="false" customHeight="false" outlineLevel="0" collapsed="false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</row>
    <row r="84" customFormat="false" ht="15" hidden="false" customHeight="false" outlineLevel="0" collapsed="false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</row>
    <row r="85" customFormat="false" ht="15" hidden="false" customHeight="false" outlineLevel="0" collapsed="false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</row>
    <row r="86" customFormat="false" ht="15" hidden="false" customHeight="false" outlineLevel="0" collapsed="false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</row>
    <row r="87" customFormat="false" ht="15" hidden="false" customHeight="false" outlineLevel="0" collapsed="false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</row>
    <row r="88" customFormat="false" ht="15" hidden="false" customHeight="false" outlineLevel="0" collapsed="false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</row>
    <row r="89" customFormat="false" ht="15" hidden="false" customHeight="false" outlineLevel="0" collapsed="false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</row>
    <row r="90" customFormat="false" ht="15" hidden="false" customHeight="false" outlineLevel="0" collapsed="false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</row>
    <row r="91" customFormat="false" ht="15" hidden="false" customHeight="false" outlineLevel="0" collapsed="false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</row>
    <row r="92" customFormat="false" ht="15" hidden="false" customHeight="false" outlineLevel="0" collapsed="false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</row>
    <row r="93" customFormat="false" ht="15" hidden="false" customHeight="false" outlineLevel="0" collapsed="false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</row>
    <row r="94" customFormat="false" ht="15" hidden="false" customHeight="false" outlineLevel="0" collapsed="false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</row>
    <row r="95" customFormat="false" ht="15" hidden="false" customHeight="false" outlineLevel="0" collapsed="false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</row>
    <row r="96" customFormat="false" ht="15" hidden="false" customHeight="false" outlineLevel="0" collapsed="false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</row>
    <row r="97" customFormat="false" ht="18" hidden="false" customHeight="true" outlineLevel="0" collapsed="false">
      <c r="A97" s="1"/>
      <c r="B97" s="18" t="s">
        <v>24</v>
      </c>
      <c r="C97" s="18"/>
      <c r="D97" s="18"/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"/>
    </row>
    <row r="98" customFormat="false" ht="15" hidden="false" customHeight="false" outlineLevel="0" collapsed="false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</row>
    <row r="99" customFormat="false" ht="15" hidden="false" customHeight="false" outlineLevel="0" collapsed="false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</row>
  </sheetData>
  <mergeCells count="40">
    <mergeCell ref="B2:Q2"/>
    <mergeCell ref="B3:Q3"/>
    <mergeCell ref="B5:C5"/>
    <mergeCell ref="E5:F5"/>
    <mergeCell ref="I5:J5"/>
    <mergeCell ref="M5:N5"/>
    <mergeCell ref="O5:Q5"/>
    <mergeCell ref="B7:C7"/>
    <mergeCell ref="D7:E7"/>
    <mergeCell ref="F7:G7"/>
    <mergeCell ref="H7:I7"/>
    <mergeCell ref="J7:K7"/>
    <mergeCell ref="L7:M7"/>
    <mergeCell ref="N7:O7"/>
    <mergeCell ref="P7:Q7"/>
    <mergeCell ref="B8:C8"/>
    <mergeCell ref="D8:E8"/>
    <mergeCell ref="F8:G8"/>
    <mergeCell ref="H8:I8"/>
    <mergeCell ref="J8:K8"/>
    <mergeCell ref="L8:M8"/>
    <mergeCell ref="N8:O8"/>
    <mergeCell ref="P8:Q8"/>
    <mergeCell ref="B9:C9"/>
    <mergeCell ref="D9:E9"/>
    <mergeCell ref="F9:G9"/>
    <mergeCell ref="H9:I9"/>
    <mergeCell ref="J9:K9"/>
    <mergeCell ref="L9:M9"/>
    <mergeCell ref="N9:O9"/>
    <mergeCell ref="P9:Q9"/>
    <mergeCell ref="B11:Q11"/>
    <mergeCell ref="B12:I12"/>
    <mergeCell ref="J12:Q12"/>
    <mergeCell ref="B13:I13"/>
    <mergeCell ref="J13:Q13"/>
    <mergeCell ref="B14:I14"/>
    <mergeCell ref="J14:Q14"/>
    <mergeCell ref="B16:Q16"/>
    <mergeCell ref="B97:Q97"/>
  </mergeCells>
  <dataValidations count="3">
    <dataValidation allowBlank="false" error="Please pick a value from the list." errorStyle="stop" errorTitle="Invalid choice" operator="between" showDropDown="false" showErrorMessage="true" showInputMessage="false" sqref="E5" type="list">
      <formula1>"All,2024,2025,2026"</formula1>
      <formula2>0</formula2>
    </dataValidation>
    <dataValidation allowBlank="false" error="Please pick a value from the list." errorStyle="stop" errorTitle="Invalid choice" operator="between" showDropDown="false" showErrorMessage="true" showInputMessage="false" sqref="I5" type="list">
      <formula1>"All,North,South,East,West"</formula1>
      <formula2>0</formula2>
    </dataValidation>
    <dataValidation allowBlank="false" error="Please pick a value from the list." errorStyle="stop" errorTitle="Invalid choice" operator="between" showDropDown="false" showErrorMessage="true" showInputMessage="false" sqref="M5" type="list">
      <formula1>"All,Technology,Furniture,Office Supplies"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C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6"/>
    <col collapsed="false" customWidth="true" hidden="false" outlineLevel="0" max="3" min="3" style="0" width="95"/>
  </cols>
  <sheetData>
    <row r="1" customFormat="false" ht="19.7" hidden="false" customHeight="false" outlineLevel="0" collapsed="false">
      <c r="B1" s="19" t="s">
        <v>25</v>
      </c>
    </row>
    <row r="3" customFormat="false" ht="31.5" hidden="false" customHeight="true" outlineLevel="0" collapsed="false">
      <c r="B3" s="20" t="s">
        <v>26</v>
      </c>
      <c r="C3" s="21" t="s">
        <v>27</v>
      </c>
    </row>
    <row r="4" customFormat="false" ht="31.5" hidden="false" customHeight="true" outlineLevel="0" collapsed="false">
      <c r="B4" s="20" t="s">
        <v>28</v>
      </c>
      <c r="C4" s="21" t="s">
        <v>29</v>
      </c>
    </row>
    <row r="5" customFormat="false" ht="31.5" hidden="false" customHeight="true" outlineLevel="0" collapsed="false">
      <c r="B5" s="20" t="s">
        <v>30</v>
      </c>
      <c r="C5" s="21" t="s">
        <v>31</v>
      </c>
    </row>
    <row r="6" customFormat="false" ht="31.5" hidden="false" customHeight="true" outlineLevel="0" collapsed="false">
      <c r="B6" s="20" t="s">
        <v>32</v>
      </c>
      <c r="C6" s="21" t="s">
        <v>33</v>
      </c>
    </row>
    <row r="7" customFormat="false" ht="31.5" hidden="false" customHeight="true" outlineLevel="0" collapsed="false">
      <c r="B7" s="20" t="s">
        <v>34</v>
      </c>
      <c r="C7" s="21" t="s">
        <v>35</v>
      </c>
    </row>
    <row r="8" customFormat="false" ht="31.5" hidden="false" customHeight="true" outlineLevel="0" collapsed="false">
      <c r="B8" s="20" t="s">
        <v>36</v>
      </c>
      <c r="C8" s="21" t="s">
        <v>37</v>
      </c>
    </row>
    <row r="10" customFormat="false" ht="15" hidden="false" customHeight="false" outlineLevel="0" collapsed="false">
      <c r="B10" s="22" t="s">
        <v>38</v>
      </c>
    </row>
    <row r="11" customFormat="false" ht="30" hidden="false" customHeight="true" outlineLevel="0" collapsed="false">
      <c r="B11" s="20" t="s">
        <v>39</v>
      </c>
      <c r="C11" s="21" t="s">
        <v>40</v>
      </c>
    </row>
    <row r="12" customFormat="false" ht="30" hidden="false" customHeight="true" outlineLevel="0" collapsed="false">
      <c r="B12" s="20" t="s">
        <v>41</v>
      </c>
      <c r="C12" s="21" t="s">
        <v>42</v>
      </c>
    </row>
    <row r="13" customFormat="false" ht="30" hidden="false" customHeight="true" outlineLevel="0" collapsed="false">
      <c r="B13" s="20" t="s">
        <v>43</v>
      </c>
      <c r="C13" s="21" t="s">
        <v>44</v>
      </c>
    </row>
    <row r="14" customFormat="false" ht="30" hidden="false" customHeight="true" outlineLevel="0" collapsed="false">
      <c r="B14" s="20" t="s">
        <v>45</v>
      </c>
      <c r="C14" s="21" t="s">
        <v>46</v>
      </c>
    </row>
    <row r="15" customFormat="false" ht="30" hidden="false" customHeight="true" outlineLevel="0" collapsed="false">
      <c r="B15" s="20" t="s">
        <v>47</v>
      </c>
      <c r="C15" s="21" t="s">
        <v>48</v>
      </c>
    </row>
    <row r="16" customFormat="false" ht="30" hidden="false" customHeight="true" outlineLevel="0" collapsed="false">
      <c r="B16" s="20" t="s">
        <v>49</v>
      </c>
      <c r="C16" s="21" t="s">
        <v>50</v>
      </c>
    </row>
    <row r="18" customFormat="false" ht="15" hidden="false" customHeight="false" outlineLevel="0" collapsed="false">
      <c r="B18" s="22" t="s">
        <v>51</v>
      </c>
    </row>
    <row r="19" customFormat="false" ht="30" hidden="false" customHeight="true" outlineLevel="0" collapsed="false">
      <c r="B19" s="20" t="s">
        <v>52</v>
      </c>
      <c r="C19" s="21" t="s">
        <v>53</v>
      </c>
    </row>
    <row r="20" customFormat="false" ht="30" hidden="false" customHeight="true" outlineLevel="0" collapsed="false">
      <c r="B20" s="20" t="s">
        <v>54</v>
      </c>
      <c r="C20" s="21" t="s">
        <v>55</v>
      </c>
    </row>
    <row r="21" customFormat="false" ht="30" hidden="false" customHeight="true" outlineLevel="0" collapsed="false">
      <c r="B21" s="20" t="s">
        <v>56</v>
      </c>
      <c r="C21" s="21" t="s">
        <v>57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3" min="2" style="0" width="16"/>
    <col collapsed="false" customWidth="true" hidden="false" outlineLevel="0" max="4" min="4" style="0" width="14"/>
    <col collapsed="false" customWidth="true" hidden="false" outlineLevel="0" max="5" min="5" style="0" width="4"/>
    <col collapsed="false" customWidth="true" hidden="false" outlineLevel="0" max="6" min="6" style="0" width="8"/>
    <col collapsed="false" customWidth="true" hidden="false" outlineLevel="0" max="7" min="7" style="0" width="22"/>
    <col collapsed="false" customWidth="true" hidden="false" outlineLevel="0" max="8" min="8" style="0" width="16"/>
  </cols>
  <sheetData>
    <row r="1" customFormat="false" ht="17.35" hidden="false" customHeight="false" outlineLevel="0" collapsed="false">
      <c r="A1" s="23" t="s">
        <v>58</v>
      </c>
    </row>
    <row r="2" customFormat="false" ht="15" hidden="false" customHeight="false" outlineLevel="0" collapsed="false">
      <c r="A2" s="24" t="s">
        <v>59</v>
      </c>
    </row>
    <row r="3" customFormat="false" ht="15" hidden="false" customHeight="false" outlineLevel="0" collapsed="false">
      <c r="A3" s="25" t="s">
        <v>60</v>
      </c>
      <c r="B3" s="25" t="str">
        <f aca="false">IF(Dashboard!$E$5="All","&gt;0",Dashboard!$E$5)</f>
        <v>&gt;0</v>
      </c>
    </row>
    <row r="4" customFormat="false" ht="15" hidden="false" customHeight="false" outlineLevel="0" collapsed="false">
      <c r="A4" s="25" t="s">
        <v>61</v>
      </c>
      <c r="B4" s="25" t="str">
        <f aca="false">IF(Dashboard!$I$5="All","*",Dashboard!$I$5)</f>
        <v>*</v>
      </c>
    </row>
    <row r="5" customFormat="false" ht="15" hidden="false" customHeight="false" outlineLevel="0" collapsed="false">
      <c r="A5" s="25" t="s">
        <v>62</v>
      </c>
      <c r="B5" s="25" t="str">
        <f aca="false">IF(Dashboard!$M$5="All","*",Dashboard!$M$5)</f>
        <v>*</v>
      </c>
    </row>
    <row r="6" customFormat="false" ht="15" hidden="false" customHeight="false" outlineLevel="0" collapsed="false">
      <c r="A6" s="25" t="s">
        <v>63</v>
      </c>
      <c r="B6" s="26" t="n">
        <v>100000</v>
      </c>
      <c r="C6" s="24" t="s">
        <v>64</v>
      </c>
    </row>
    <row r="7" customFormat="false" ht="15" hidden="false" customHeight="false" outlineLevel="0" collapsed="false">
      <c r="A7" s="25" t="s">
        <v>65</v>
      </c>
      <c r="B7" s="27" t="s">
        <v>66</v>
      </c>
      <c r="C7" s="24" t="s">
        <v>67</v>
      </c>
    </row>
    <row r="9" customFormat="false" ht="15" hidden="false" customHeight="false" outlineLevel="0" collapsed="false">
      <c r="A9" s="28" t="s">
        <v>68</v>
      </c>
    </row>
    <row r="10" customFormat="false" ht="15" hidden="false" customHeight="false" outlineLevel="0" collapsed="false">
      <c r="A10" s="29" t="s">
        <v>69</v>
      </c>
      <c r="B10" s="29" t="s">
        <v>70</v>
      </c>
    </row>
    <row r="11" customFormat="false" ht="15" hidden="false" customHeight="false" outlineLevel="0" collapsed="false">
      <c r="A11" s="25" t="s">
        <v>71</v>
      </c>
      <c r="B11" s="30" t="n">
        <f aca="false">SUMIFS(Orders!$K$2:$K$1201,Orders!$N$2:$N$1201,$B$7,Orders!$O$2:$O$1201,$B$3,Orders!$Q$2:$Q$1201,$B$5,Orders!$R$2:$R$1201,$B$4)</f>
        <v>20557014.5</v>
      </c>
    </row>
    <row r="12" customFormat="false" ht="15" hidden="false" customHeight="false" outlineLevel="0" collapsed="false">
      <c r="A12" s="25" t="s">
        <v>72</v>
      </c>
      <c r="B12" s="30" t="n">
        <f aca="false">SUMIFS(Orders!$M$2:$M$1201,Orders!$N$2:$N$1201,$B$7,Orders!$O$2:$O$1201,$B$3,Orders!$Q$2:$Q$1201,$B$5,Orders!$R$2:$R$1201,$B$4)</f>
        <v>3512924.5</v>
      </c>
    </row>
    <row r="13" customFormat="false" ht="15" hidden="false" customHeight="false" outlineLevel="0" collapsed="false">
      <c r="A13" s="25" t="s">
        <v>73</v>
      </c>
      <c r="B13" s="31" t="n">
        <f aca="false">IF(B11=0,0,B12/B11)</f>
        <v>0.170886900916473</v>
      </c>
    </row>
    <row r="14" customFormat="false" ht="15" hidden="false" customHeight="false" outlineLevel="0" collapsed="false">
      <c r="A14" s="25" t="s">
        <v>74</v>
      </c>
      <c r="B14" s="30" t="n">
        <f aca="false">COUNTIFS(Orders!$N$2:$N$1201,$B$7,Orders!$O$2:$O$1201,$B$3,Orders!$Q$2:$Q$1201,$B$5,Orders!$R$2:$R$1201,$B$4)</f>
        <v>1091</v>
      </c>
    </row>
    <row r="15" customFormat="false" ht="15" hidden="false" customHeight="false" outlineLevel="0" collapsed="false">
      <c r="A15" s="25" t="s">
        <v>75</v>
      </c>
      <c r="B15" s="30" t="n">
        <f aca="false">IF(B14=0,0,B11/B14)</f>
        <v>18842.3597616865</v>
      </c>
    </row>
    <row r="16" customFormat="false" ht="15" hidden="false" customHeight="false" outlineLevel="0" collapsed="false">
      <c r="A16" s="25" t="s">
        <v>76</v>
      </c>
      <c r="B16" s="30" t="n">
        <f aca="false">SUMIFS(Orders!$H$2:$H$1201,Orders!$N$2:$N$1201,$B$7,Orders!$O$2:$O$1201,$B$3,Orders!$Q$2:$Q$1201,$B$5,Orders!$R$2:$R$1201,$B$4)</f>
        <v>3215</v>
      </c>
    </row>
    <row r="17" customFormat="false" ht="15" hidden="false" customHeight="false" outlineLevel="0" collapsed="false">
      <c r="A17" s="25" t="s">
        <v>77</v>
      </c>
      <c r="B17" s="30" t="n">
        <f aca="false">COUNTIFS(Orders!$O$2:$O$1201,$B$3,Orders!$Q$2:$Q$1201,$B$5,Orders!$R$2:$R$1201,$B$4)</f>
        <v>1200</v>
      </c>
    </row>
    <row r="18" customFormat="false" ht="15" hidden="false" customHeight="false" outlineLevel="0" collapsed="false">
      <c r="A18" s="25" t="s">
        <v>78</v>
      </c>
      <c r="B18" s="30" t="n">
        <f aca="false">COUNTIFS(Orders!$N$2:$N$1201,"Returned",Orders!$O$2:$O$1201,$B$3,Orders!$Q$2:$Q$1201,$B$5,Orders!$R$2:$R$1201,$B$4)</f>
        <v>75</v>
      </c>
    </row>
    <row r="19" customFormat="false" ht="15" hidden="false" customHeight="false" outlineLevel="0" collapsed="false">
      <c r="A19" s="25" t="s">
        <v>79</v>
      </c>
      <c r="B19" s="30" t="n">
        <f aca="false">COUNTIFS(Orders!$N$2:$N$1201,"Cancelled",Orders!$O$2:$O$1201,$B$3,Orders!$Q$2:$Q$1201,$B$5,Orders!$R$2:$R$1201,$B$4)</f>
        <v>34</v>
      </c>
    </row>
    <row r="20" customFormat="false" ht="15" hidden="false" customHeight="false" outlineLevel="0" collapsed="false">
      <c r="A20" s="25" t="s">
        <v>80</v>
      </c>
      <c r="B20" s="31" t="n">
        <f aca="false">IF(B17=0,0,B18/B17)</f>
        <v>0.0625</v>
      </c>
    </row>
    <row r="21" customFormat="false" ht="15" hidden="false" customHeight="false" outlineLevel="0" collapsed="false">
      <c r="A21" s="25" t="s">
        <v>81</v>
      </c>
      <c r="B21" s="31" t="n">
        <f aca="false">IF(B17=0,0,B19/B17)</f>
        <v>0.0283333333333333</v>
      </c>
    </row>
    <row r="22" customFormat="false" ht="15" hidden="false" customHeight="false" outlineLevel="0" collapsed="false">
      <c r="A22" s="25" t="s">
        <v>82</v>
      </c>
      <c r="B22" s="30" t="n">
        <f aca="false">SUMIFS(Orders!$K$2:$K$1201,Orders!$N$2:$N$1201,"Returned",Orders!$O$2:$O$1201,$B$3,Orders!$Q$2:$Q$1201,$B$5,Orders!$R$2:$R$1201,$B$4)+SUMIFS(Orders!$K$2:$K$1201,Orders!$N$2:$N$1201,"Cancelled",Orders!$O$2:$O$1201,$B$3,Orders!$Q$2:$Q$1201,$B$5,Orders!$R$2:$R$1201,$B$4)</f>
        <v>2056900</v>
      </c>
    </row>
    <row r="24" customFormat="false" ht="15" hidden="false" customHeight="false" outlineLevel="0" collapsed="false">
      <c r="A24" s="28" t="s">
        <v>83</v>
      </c>
    </row>
    <row r="25" customFormat="false" ht="15" hidden="false" customHeight="false" outlineLevel="0" collapsed="false">
      <c r="A25" s="29" t="s">
        <v>84</v>
      </c>
      <c r="B25" s="29" t="s">
        <v>85</v>
      </c>
      <c r="C25" s="29" t="s">
        <v>86</v>
      </c>
      <c r="D25" s="29" t="s">
        <v>87</v>
      </c>
    </row>
    <row r="26" customFormat="false" ht="15" hidden="false" customHeight="false" outlineLevel="0" collapsed="false">
      <c r="A26" s="25" t="str">
        <f aca="false">TEXT(B26,"mmm-yy")</f>
        <v>Jan-24</v>
      </c>
      <c r="B26" s="32" t="n">
        <f aca="false">DATE(2024,1,1)</f>
        <v>45292</v>
      </c>
      <c r="C26" s="33" t="n">
        <f aca="false">SUMIFS(Orders!$K$2:$K$1201,Orders!$N$2:$N$1201,$B$7,Orders!$P$2:$P$1201,$B26,Orders!$Q$2:$Q$1201,$B$5,Orders!$R$2:$R$1201,$B$4)/$B$6</f>
        <v>5.191045</v>
      </c>
      <c r="D26" s="33" t="n">
        <f aca="false">SUMIFS(Orders!$M$2:$M$1201,Orders!$N$2:$N$1201,$B$7,Orders!$P$2:$P$1201,$B26,Orders!$Q$2:$Q$1201,$B$5,Orders!$R$2:$R$1201,$B$4)/$B$6</f>
        <v>0.901545</v>
      </c>
    </row>
    <row r="27" customFormat="false" ht="15" hidden="false" customHeight="false" outlineLevel="0" collapsed="false">
      <c r="A27" s="25" t="str">
        <f aca="false">TEXT(B27,"mmm-yy")</f>
        <v>Feb-24</v>
      </c>
      <c r="B27" s="32" t="n">
        <f aca="false">EDATE(B26,1)</f>
        <v>45323</v>
      </c>
      <c r="C27" s="33" t="n">
        <f aca="false">SUMIFS(Orders!$K$2:$K$1201,Orders!$N$2:$N$1201,$B$7,Orders!$P$2:$P$1201,$B27,Orders!$Q$2:$Q$1201,$B$5,Orders!$R$2:$R$1201,$B$4)/$B$6</f>
        <v>5.07922</v>
      </c>
      <c r="D27" s="33" t="n">
        <f aca="false">SUMIFS(Orders!$M$2:$M$1201,Orders!$N$2:$N$1201,$B$7,Orders!$P$2:$P$1201,$B27,Orders!$Q$2:$Q$1201,$B$5,Orders!$R$2:$R$1201,$B$4)/$B$6</f>
        <v>1.01802</v>
      </c>
    </row>
    <row r="28" customFormat="false" ht="15" hidden="false" customHeight="false" outlineLevel="0" collapsed="false">
      <c r="A28" s="25" t="str">
        <f aca="false">TEXT(B28,"mmm-yy")</f>
        <v>Mar-24</v>
      </c>
      <c r="B28" s="32" t="n">
        <f aca="false">EDATE(B27,1)</f>
        <v>45352</v>
      </c>
      <c r="C28" s="33" t="n">
        <f aca="false">SUMIFS(Orders!$K$2:$K$1201,Orders!$N$2:$N$1201,$B$7,Orders!$P$2:$P$1201,$B28,Orders!$Q$2:$Q$1201,$B$5,Orders!$R$2:$R$1201,$B$4)/$B$6</f>
        <v>5.77089</v>
      </c>
      <c r="D28" s="33" t="n">
        <f aca="false">SUMIFS(Orders!$M$2:$M$1201,Orders!$N$2:$N$1201,$B$7,Orders!$P$2:$P$1201,$B28,Orders!$Q$2:$Q$1201,$B$5,Orders!$R$2:$R$1201,$B$4)/$B$6</f>
        <v>1.06469</v>
      </c>
    </row>
    <row r="29" customFormat="false" ht="15" hidden="false" customHeight="false" outlineLevel="0" collapsed="false">
      <c r="A29" s="25" t="str">
        <f aca="false">TEXT(B29,"mmm-yy")</f>
        <v>Apr-24</v>
      </c>
      <c r="B29" s="32" t="n">
        <f aca="false">EDATE(B28,1)</f>
        <v>45383</v>
      </c>
      <c r="C29" s="33" t="n">
        <f aca="false">SUMIFS(Orders!$K$2:$K$1201,Orders!$N$2:$N$1201,$B$7,Orders!$P$2:$P$1201,$B29,Orders!$Q$2:$Q$1201,$B$5,Orders!$R$2:$R$1201,$B$4)/$B$6</f>
        <v>6.294465</v>
      </c>
      <c r="D29" s="33" t="n">
        <f aca="false">SUMIFS(Orders!$M$2:$M$1201,Orders!$N$2:$N$1201,$B$7,Orders!$P$2:$P$1201,$B29,Orders!$Q$2:$Q$1201,$B$5,Orders!$R$2:$R$1201,$B$4)/$B$6</f>
        <v>1.074865</v>
      </c>
    </row>
    <row r="30" customFormat="false" ht="15" hidden="false" customHeight="false" outlineLevel="0" collapsed="false">
      <c r="A30" s="25" t="str">
        <f aca="false">TEXT(B30,"mmm-yy")</f>
        <v>May-24</v>
      </c>
      <c r="B30" s="32" t="n">
        <f aca="false">EDATE(B29,1)</f>
        <v>45413</v>
      </c>
      <c r="C30" s="33" t="n">
        <f aca="false">SUMIFS(Orders!$K$2:$K$1201,Orders!$N$2:$N$1201,$B$7,Orders!$P$2:$P$1201,$B30,Orders!$Q$2:$Q$1201,$B$5,Orders!$R$2:$R$1201,$B$4)/$B$6</f>
        <v>5.98314</v>
      </c>
      <c r="D30" s="33" t="n">
        <f aca="false">SUMIFS(Orders!$M$2:$M$1201,Orders!$N$2:$N$1201,$B$7,Orders!$P$2:$P$1201,$B30,Orders!$Q$2:$Q$1201,$B$5,Orders!$R$2:$R$1201,$B$4)/$B$6</f>
        <v>0.85124</v>
      </c>
    </row>
    <row r="31" customFormat="false" ht="15" hidden="false" customHeight="false" outlineLevel="0" collapsed="false">
      <c r="A31" s="25" t="str">
        <f aca="false">TEXT(B31,"mmm-yy")</f>
        <v>Jun-24</v>
      </c>
      <c r="B31" s="32" t="n">
        <f aca="false">EDATE(B30,1)</f>
        <v>45444</v>
      </c>
      <c r="C31" s="33" t="n">
        <f aca="false">SUMIFS(Orders!$K$2:$K$1201,Orders!$N$2:$N$1201,$B$7,Orders!$P$2:$P$1201,$B31,Orders!$Q$2:$Q$1201,$B$5,Orders!$R$2:$R$1201,$B$4)/$B$6</f>
        <v>7.82287</v>
      </c>
      <c r="D31" s="33" t="n">
        <f aca="false">SUMIFS(Orders!$M$2:$M$1201,Orders!$N$2:$N$1201,$B$7,Orders!$P$2:$P$1201,$B31,Orders!$Q$2:$Q$1201,$B$5,Orders!$R$2:$R$1201,$B$4)/$B$6</f>
        <v>0.95577</v>
      </c>
    </row>
    <row r="32" customFormat="false" ht="15" hidden="false" customHeight="false" outlineLevel="0" collapsed="false">
      <c r="A32" s="25" t="str">
        <f aca="false">TEXT(B32,"mmm-yy")</f>
        <v>Jul-24</v>
      </c>
      <c r="B32" s="32" t="n">
        <f aca="false">EDATE(B31,1)</f>
        <v>45474</v>
      </c>
      <c r="C32" s="33" t="n">
        <f aca="false">SUMIFS(Orders!$K$2:$K$1201,Orders!$N$2:$N$1201,$B$7,Orders!$P$2:$P$1201,$B32,Orders!$Q$2:$Q$1201,$B$5,Orders!$R$2:$R$1201,$B$4)/$B$6</f>
        <v>6.51812</v>
      </c>
      <c r="D32" s="33" t="n">
        <f aca="false">SUMIFS(Orders!$M$2:$M$1201,Orders!$N$2:$N$1201,$B$7,Orders!$P$2:$P$1201,$B32,Orders!$Q$2:$Q$1201,$B$5,Orders!$R$2:$R$1201,$B$4)/$B$6</f>
        <v>1.16762</v>
      </c>
    </row>
    <row r="33" customFormat="false" ht="15" hidden="false" customHeight="false" outlineLevel="0" collapsed="false">
      <c r="A33" s="25" t="str">
        <f aca="false">TEXT(B33,"mmm-yy")</f>
        <v>Aug-24</v>
      </c>
      <c r="B33" s="32" t="n">
        <f aca="false">EDATE(B32,1)</f>
        <v>45505</v>
      </c>
      <c r="C33" s="33" t="n">
        <f aca="false">SUMIFS(Orders!$K$2:$K$1201,Orders!$N$2:$N$1201,$B$7,Orders!$P$2:$P$1201,$B33,Orders!$Q$2:$Q$1201,$B$5,Orders!$R$2:$R$1201,$B$4)/$B$6</f>
        <v>3.706295</v>
      </c>
      <c r="D33" s="33" t="n">
        <f aca="false">SUMIFS(Orders!$M$2:$M$1201,Orders!$N$2:$N$1201,$B$7,Orders!$P$2:$P$1201,$B33,Orders!$Q$2:$Q$1201,$B$5,Orders!$R$2:$R$1201,$B$4)/$B$6</f>
        <v>0.630695</v>
      </c>
    </row>
    <row r="34" customFormat="false" ht="15" hidden="false" customHeight="false" outlineLevel="0" collapsed="false">
      <c r="A34" s="25" t="str">
        <f aca="false">TEXT(B34,"mmm-yy")</f>
        <v>Sep-24</v>
      </c>
      <c r="B34" s="32" t="n">
        <f aca="false">EDATE(B33,1)</f>
        <v>45536</v>
      </c>
      <c r="C34" s="33" t="n">
        <f aca="false">SUMIFS(Orders!$K$2:$K$1201,Orders!$N$2:$N$1201,$B$7,Orders!$P$2:$P$1201,$B34,Orders!$Q$2:$Q$1201,$B$5,Orders!$R$2:$R$1201,$B$4)/$B$6</f>
        <v>4.64395</v>
      </c>
      <c r="D34" s="33" t="n">
        <f aca="false">SUMIFS(Orders!$M$2:$M$1201,Orders!$N$2:$N$1201,$B$7,Orders!$P$2:$P$1201,$B34,Orders!$Q$2:$Q$1201,$B$5,Orders!$R$2:$R$1201,$B$4)/$B$6</f>
        <v>0.93925</v>
      </c>
    </row>
    <row r="35" customFormat="false" ht="15" hidden="false" customHeight="false" outlineLevel="0" collapsed="false">
      <c r="A35" s="25" t="str">
        <f aca="false">TEXT(B35,"mmm-yy")</f>
        <v>Oct-24</v>
      </c>
      <c r="B35" s="32" t="n">
        <f aca="false">EDATE(B34,1)</f>
        <v>45566</v>
      </c>
      <c r="C35" s="33" t="n">
        <f aca="false">SUMIFS(Orders!$K$2:$K$1201,Orders!$N$2:$N$1201,$B$7,Orders!$P$2:$P$1201,$B35,Orders!$Q$2:$Q$1201,$B$5,Orders!$R$2:$R$1201,$B$4)/$B$6</f>
        <v>8.69628</v>
      </c>
      <c r="D35" s="33" t="n">
        <f aca="false">SUMIFS(Orders!$M$2:$M$1201,Orders!$N$2:$N$1201,$B$7,Orders!$P$2:$P$1201,$B35,Orders!$Q$2:$Q$1201,$B$5,Orders!$R$2:$R$1201,$B$4)/$B$6</f>
        <v>1.22688</v>
      </c>
    </row>
    <row r="36" customFormat="false" ht="15" hidden="false" customHeight="false" outlineLevel="0" collapsed="false">
      <c r="A36" s="25" t="str">
        <f aca="false">TEXT(B36,"mmm-yy")</f>
        <v>Nov-24</v>
      </c>
      <c r="B36" s="32" t="n">
        <f aca="false">EDATE(B35,1)</f>
        <v>45597</v>
      </c>
      <c r="C36" s="33" t="n">
        <f aca="false">SUMIFS(Orders!$K$2:$K$1201,Orders!$N$2:$N$1201,$B$7,Orders!$P$2:$P$1201,$B36,Orders!$Q$2:$Q$1201,$B$5,Orders!$R$2:$R$1201,$B$4)/$B$6</f>
        <v>6.74443</v>
      </c>
      <c r="D36" s="33" t="n">
        <f aca="false">SUMIFS(Orders!$M$2:$M$1201,Orders!$N$2:$N$1201,$B$7,Orders!$P$2:$P$1201,$B36,Orders!$Q$2:$Q$1201,$B$5,Orders!$R$2:$R$1201,$B$4)/$B$6</f>
        <v>1.13163</v>
      </c>
    </row>
    <row r="37" customFormat="false" ht="15" hidden="false" customHeight="false" outlineLevel="0" collapsed="false">
      <c r="A37" s="25" t="str">
        <f aca="false">TEXT(B37,"mmm-yy")</f>
        <v>Dec-24</v>
      </c>
      <c r="B37" s="32" t="n">
        <f aca="false">EDATE(B36,1)</f>
        <v>45627</v>
      </c>
      <c r="C37" s="33" t="n">
        <f aca="false">SUMIFS(Orders!$K$2:$K$1201,Orders!$N$2:$N$1201,$B$7,Orders!$P$2:$P$1201,$B37,Orders!$Q$2:$Q$1201,$B$5,Orders!$R$2:$R$1201,$B$4)/$B$6</f>
        <v>2.833175</v>
      </c>
      <c r="D37" s="33" t="n">
        <f aca="false">SUMIFS(Orders!$M$2:$M$1201,Orders!$N$2:$N$1201,$B$7,Orders!$P$2:$P$1201,$B37,Orders!$Q$2:$Q$1201,$B$5,Orders!$R$2:$R$1201,$B$4)/$B$6</f>
        <v>0.454575</v>
      </c>
    </row>
    <row r="38" customFormat="false" ht="15" hidden="false" customHeight="false" outlineLevel="0" collapsed="false">
      <c r="A38" s="25" t="str">
        <f aca="false">TEXT(B38,"mmm-yy")</f>
        <v>Jan-25</v>
      </c>
      <c r="B38" s="32" t="n">
        <f aca="false">EDATE(B37,1)</f>
        <v>45658</v>
      </c>
      <c r="C38" s="33" t="n">
        <f aca="false">SUMIFS(Orders!$K$2:$K$1201,Orders!$N$2:$N$1201,$B$7,Orders!$P$2:$P$1201,$B38,Orders!$Q$2:$Q$1201,$B$5,Orders!$R$2:$R$1201,$B$4)/$B$6</f>
        <v>9.124415</v>
      </c>
      <c r="D38" s="33" t="n">
        <f aca="false">SUMIFS(Orders!$M$2:$M$1201,Orders!$N$2:$N$1201,$B$7,Orders!$P$2:$P$1201,$B38,Orders!$Q$2:$Q$1201,$B$5,Orders!$R$2:$R$1201,$B$4)/$B$6</f>
        <v>1.149715</v>
      </c>
    </row>
    <row r="39" customFormat="false" ht="15" hidden="false" customHeight="false" outlineLevel="0" collapsed="false">
      <c r="A39" s="25" t="str">
        <f aca="false">TEXT(B39,"mmm-yy")</f>
        <v>Feb-25</v>
      </c>
      <c r="B39" s="32" t="n">
        <f aca="false">EDATE(B38,1)</f>
        <v>45689</v>
      </c>
      <c r="C39" s="33" t="n">
        <f aca="false">SUMIFS(Orders!$K$2:$K$1201,Orders!$N$2:$N$1201,$B$7,Orders!$P$2:$P$1201,$B39,Orders!$Q$2:$Q$1201,$B$5,Orders!$R$2:$R$1201,$B$4)/$B$6</f>
        <v>5.42386</v>
      </c>
      <c r="D39" s="33" t="n">
        <f aca="false">SUMIFS(Orders!$M$2:$M$1201,Orders!$N$2:$N$1201,$B$7,Orders!$P$2:$P$1201,$B39,Orders!$Q$2:$Q$1201,$B$5,Orders!$R$2:$R$1201,$B$4)/$B$6</f>
        <v>0.96356</v>
      </c>
    </row>
    <row r="40" customFormat="false" ht="15" hidden="false" customHeight="false" outlineLevel="0" collapsed="false">
      <c r="A40" s="25" t="str">
        <f aca="false">TEXT(B40,"mmm-yy")</f>
        <v>Mar-25</v>
      </c>
      <c r="B40" s="32" t="n">
        <f aca="false">EDATE(B39,1)</f>
        <v>45717</v>
      </c>
      <c r="C40" s="33" t="n">
        <f aca="false">SUMIFS(Orders!$K$2:$K$1201,Orders!$N$2:$N$1201,$B$7,Orders!$P$2:$P$1201,$B40,Orders!$Q$2:$Q$1201,$B$5,Orders!$R$2:$R$1201,$B$4)/$B$6</f>
        <v>9.1773</v>
      </c>
      <c r="D40" s="33" t="n">
        <f aca="false">SUMIFS(Orders!$M$2:$M$1201,Orders!$N$2:$N$1201,$B$7,Orders!$P$2:$P$1201,$B40,Orders!$Q$2:$Q$1201,$B$5,Orders!$R$2:$R$1201,$B$4)/$B$6</f>
        <v>1.2434</v>
      </c>
    </row>
    <row r="41" customFormat="false" ht="15" hidden="false" customHeight="false" outlineLevel="0" collapsed="false">
      <c r="A41" s="25" t="str">
        <f aca="false">TEXT(B41,"mmm-yy")</f>
        <v>Apr-25</v>
      </c>
      <c r="B41" s="32" t="n">
        <f aca="false">EDATE(B40,1)</f>
        <v>45748</v>
      </c>
      <c r="C41" s="33" t="n">
        <f aca="false">SUMIFS(Orders!$K$2:$K$1201,Orders!$N$2:$N$1201,$B$7,Orders!$P$2:$P$1201,$B41,Orders!$Q$2:$Q$1201,$B$5,Orders!$R$2:$R$1201,$B$4)/$B$6</f>
        <v>4.738715</v>
      </c>
      <c r="D41" s="33" t="n">
        <f aca="false">SUMIFS(Orders!$M$2:$M$1201,Orders!$N$2:$N$1201,$B$7,Orders!$P$2:$P$1201,$B41,Orders!$Q$2:$Q$1201,$B$5,Orders!$R$2:$R$1201,$B$4)/$B$6</f>
        <v>0.783915</v>
      </c>
    </row>
    <row r="42" customFormat="false" ht="15" hidden="false" customHeight="false" outlineLevel="0" collapsed="false">
      <c r="A42" s="25" t="str">
        <f aca="false">TEXT(B42,"mmm-yy")</f>
        <v>May-25</v>
      </c>
      <c r="B42" s="32" t="n">
        <f aca="false">EDATE(B41,1)</f>
        <v>45778</v>
      </c>
      <c r="C42" s="33" t="n">
        <f aca="false">SUMIFS(Orders!$K$2:$K$1201,Orders!$N$2:$N$1201,$B$7,Orders!$P$2:$P$1201,$B42,Orders!$Q$2:$Q$1201,$B$5,Orders!$R$2:$R$1201,$B$4)/$B$6</f>
        <v>7.95236</v>
      </c>
      <c r="D42" s="33" t="n">
        <f aca="false">SUMIFS(Orders!$M$2:$M$1201,Orders!$N$2:$N$1201,$B$7,Orders!$P$2:$P$1201,$B42,Orders!$Q$2:$Q$1201,$B$5,Orders!$R$2:$R$1201,$B$4)/$B$6</f>
        <v>1.21146</v>
      </c>
    </row>
    <row r="43" customFormat="false" ht="15" hidden="false" customHeight="false" outlineLevel="0" collapsed="false">
      <c r="A43" s="25" t="str">
        <f aca="false">TEXT(B43,"mmm-yy")</f>
        <v>Jun-25</v>
      </c>
      <c r="B43" s="32" t="n">
        <f aca="false">EDATE(B42,1)</f>
        <v>45809</v>
      </c>
      <c r="C43" s="33" t="n">
        <f aca="false">SUMIFS(Orders!$K$2:$K$1201,Orders!$N$2:$N$1201,$B$7,Orders!$P$2:$P$1201,$B43,Orders!$Q$2:$Q$1201,$B$5,Orders!$R$2:$R$1201,$B$4)/$B$6</f>
        <v>3.9589</v>
      </c>
      <c r="D43" s="33" t="n">
        <f aca="false">SUMIFS(Orders!$M$2:$M$1201,Orders!$N$2:$N$1201,$B$7,Orders!$P$2:$P$1201,$B43,Orders!$Q$2:$Q$1201,$B$5,Orders!$R$2:$R$1201,$B$4)/$B$6</f>
        <v>0.7908</v>
      </c>
    </row>
    <row r="44" customFormat="false" ht="15" hidden="false" customHeight="false" outlineLevel="0" collapsed="false">
      <c r="A44" s="25" t="str">
        <f aca="false">TEXT(B44,"mmm-yy")</f>
        <v>Jul-25</v>
      </c>
      <c r="B44" s="32" t="n">
        <f aca="false">EDATE(B43,1)</f>
        <v>45839</v>
      </c>
      <c r="C44" s="33" t="n">
        <f aca="false">SUMIFS(Orders!$K$2:$K$1201,Orders!$N$2:$N$1201,$B$7,Orders!$P$2:$P$1201,$B44,Orders!$Q$2:$Q$1201,$B$5,Orders!$R$2:$R$1201,$B$4)/$B$6</f>
        <v>9.8049</v>
      </c>
      <c r="D44" s="33" t="n">
        <f aca="false">SUMIFS(Orders!$M$2:$M$1201,Orders!$N$2:$N$1201,$B$7,Orders!$P$2:$P$1201,$B44,Orders!$Q$2:$Q$1201,$B$5,Orders!$R$2:$R$1201,$B$4)/$B$6</f>
        <v>1.7021</v>
      </c>
    </row>
    <row r="45" customFormat="false" ht="15" hidden="false" customHeight="false" outlineLevel="0" collapsed="false">
      <c r="A45" s="25" t="str">
        <f aca="false">TEXT(B45,"mmm-yy")</f>
        <v>Aug-25</v>
      </c>
      <c r="B45" s="32" t="n">
        <f aca="false">EDATE(B44,1)</f>
        <v>45870</v>
      </c>
      <c r="C45" s="33" t="n">
        <f aca="false">SUMIFS(Orders!$K$2:$K$1201,Orders!$N$2:$N$1201,$B$7,Orders!$P$2:$P$1201,$B45,Orders!$Q$2:$Q$1201,$B$5,Orders!$R$2:$R$1201,$B$4)/$B$6</f>
        <v>4.96208</v>
      </c>
      <c r="D45" s="33" t="n">
        <f aca="false">SUMIFS(Orders!$M$2:$M$1201,Orders!$N$2:$N$1201,$B$7,Orders!$P$2:$P$1201,$B45,Orders!$Q$2:$Q$1201,$B$5,Orders!$R$2:$R$1201,$B$4)/$B$6</f>
        <v>0.95918</v>
      </c>
    </row>
    <row r="46" customFormat="false" ht="15" hidden="false" customHeight="false" outlineLevel="0" collapsed="false">
      <c r="A46" s="25" t="str">
        <f aca="false">TEXT(B46,"mmm-yy")</f>
        <v>Sep-25</v>
      </c>
      <c r="B46" s="32" t="n">
        <f aca="false">EDATE(B45,1)</f>
        <v>45901</v>
      </c>
      <c r="C46" s="33" t="n">
        <f aca="false">SUMIFS(Orders!$K$2:$K$1201,Orders!$N$2:$N$1201,$B$7,Orders!$P$2:$P$1201,$B46,Orders!$Q$2:$Q$1201,$B$5,Orders!$R$2:$R$1201,$B$4)/$B$6</f>
        <v>9.09981</v>
      </c>
      <c r="D46" s="33" t="n">
        <f aca="false">SUMIFS(Orders!$M$2:$M$1201,Orders!$N$2:$N$1201,$B$7,Orders!$P$2:$P$1201,$B46,Orders!$Q$2:$Q$1201,$B$5,Orders!$R$2:$R$1201,$B$4)/$B$6</f>
        <v>1.53841</v>
      </c>
    </row>
    <row r="47" customFormat="false" ht="15" hidden="false" customHeight="false" outlineLevel="0" collapsed="false">
      <c r="A47" s="25" t="str">
        <f aca="false">TEXT(B47,"mmm-yy")</f>
        <v>Oct-25</v>
      </c>
      <c r="B47" s="32" t="n">
        <f aca="false">EDATE(B46,1)</f>
        <v>45931</v>
      </c>
      <c r="C47" s="33" t="n">
        <f aca="false">SUMIFS(Orders!$K$2:$K$1201,Orders!$N$2:$N$1201,$B$7,Orders!$P$2:$P$1201,$B47,Orders!$Q$2:$Q$1201,$B$5,Orders!$R$2:$R$1201,$B$4)/$B$6</f>
        <v>6.4837</v>
      </c>
      <c r="D47" s="33" t="n">
        <f aca="false">SUMIFS(Orders!$M$2:$M$1201,Orders!$N$2:$N$1201,$B$7,Orders!$P$2:$P$1201,$B47,Orders!$Q$2:$Q$1201,$B$5,Orders!$R$2:$R$1201,$B$4)/$B$6</f>
        <v>1.3987</v>
      </c>
    </row>
    <row r="48" customFormat="false" ht="15" hidden="false" customHeight="false" outlineLevel="0" collapsed="false">
      <c r="A48" s="25" t="str">
        <f aca="false">TEXT(B48,"mmm-yy")</f>
        <v>Nov-25</v>
      </c>
      <c r="B48" s="32" t="n">
        <f aca="false">EDATE(B47,1)</f>
        <v>45962</v>
      </c>
      <c r="C48" s="33" t="n">
        <f aca="false">SUMIFS(Orders!$K$2:$K$1201,Orders!$N$2:$N$1201,$B$7,Orders!$P$2:$P$1201,$B48,Orders!$Q$2:$Q$1201,$B$5,Orders!$R$2:$R$1201,$B$4)/$B$6</f>
        <v>5.08965</v>
      </c>
      <c r="D48" s="33" t="n">
        <f aca="false">SUMIFS(Orders!$M$2:$M$1201,Orders!$N$2:$N$1201,$B$7,Orders!$P$2:$P$1201,$B48,Orders!$Q$2:$Q$1201,$B$5,Orders!$R$2:$R$1201,$B$4)/$B$6</f>
        <v>0.85545</v>
      </c>
    </row>
    <row r="49" customFormat="false" ht="15" hidden="false" customHeight="false" outlineLevel="0" collapsed="false">
      <c r="A49" s="25" t="str">
        <f aca="false">TEXT(B49,"mmm-yy")</f>
        <v>Dec-25</v>
      </c>
      <c r="B49" s="32" t="n">
        <f aca="false">EDATE(B48,1)</f>
        <v>45992</v>
      </c>
      <c r="C49" s="33" t="n">
        <f aca="false">SUMIFS(Orders!$K$2:$K$1201,Orders!$N$2:$N$1201,$B$7,Orders!$P$2:$P$1201,$B49,Orders!$Q$2:$Q$1201,$B$5,Orders!$R$2:$R$1201,$B$4)/$B$6</f>
        <v>6.58893</v>
      </c>
      <c r="D49" s="33" t="n">
        <f aca="false">SUMIFS(Orders!$M$2:$M$1201,Orders!$N$2:$N$1201,$B$7,Orders!$P$2:$P$1201,$B49,Orders!$Q$2:$Q$1201,$B$5,Orders!$R$2:$R$1201,$B$4)/$B$6</f>
        <v>1.11583</v>
      </c>
    </row>
    <row r="50" customFormat="false" ht="15" hidden="false" customHeight="false" outlineLevel="0" collapsed="false">
      <c r="A50" s="25" t="str">
        <f aca="false">TEXT(B50,"mmm-yy")</f>
        <v>Jan-26</v>
      </c>
      <c r="B50" s="32" t="n">
        <f aca="false">EDATE(B49,1)</f>
        <v>46023</v>
      </c>
      <c r="C50" s="33" t="n">
        <f aca="false">SUMIFS(Orders!$K$2:$K$1201,Orders!$N$2:$N$1201,$B$7,Orders!$P$2:$P$1201,$B50,Orders!$Q$2:$Q$1201,$B$5,Orders!$R$2:$R$1201,$B$4)/$B$6</f>
        <v>4.7838</v>
      </c>
      <c r="D50" s="33" t="n">
        <f aca="false">SUMIFS(Orders!$M$2:$M$1201,Orders!$N$2:$N$1201,$B$7,Orders!$P$2:$P$1201,$B50,Orders!$Q$2:$Q$1201,$B$5,Orders!$R$2:$R$1201,$B$4)/$B$6</f>
        <v>0.9155</v>
      </c>
    </row>
    <row r="51" customFormat="false" ht="15" hidden="false" customHeight="false" outlineLevel="0" collapsed="false">
      <c r="A51" s="25" t="str">
        <f aca="false">TEXT(B51,"mmm-yy")</f>
        <v>Feb-26</v>
      </c>
      <c r="B51" s="32" t="n">
        <f aca="false">EDATE(B50,1)</f>
        <v>46054</v>
      </c>
      <c r="C51" s="33" t="n">
        <f aca="false">SUMIFS(Orders!$K$2:$K$1201,Orders!$N$2:$N$1201,$B$7,Orders!$P$2:$P$1201,$B51,Orders!$Q$2:$Q$1201,$B$5,Orders!$R$2:$R$1201,$B$4)/$B$6</f>
        <v>6.75893</v>
      </c>
      <c r="D51" s="33" t="n">
        <f aca="false">SUMIFS(Orders!$M$2:$M$1201,Orders!$N$2:$N$1201,$B$7,Orders!$P$2:$P$1201,$B51,Orders!$Q$2:$Q$1201,$B$5,Orders!$R$2:$R$1201,$B$4)/$B$6</f>
        <v>1.47613</v>
      </c>
    </row>
    <row r="52" customFormat="false" ht="15" hidden="false" customHeight="false" outlineLevel="0" collapsed="false">
      <c r="A52" s="25" t="str">
        <f aca="false">TEXT(B52,"mmm-yy")</f>
        <v>Mar-26</v>
      </c>
      <c r="B52" s="32" t="n">
        <f aca="false">EDATE(B51,1)</f>
        <v>46082</v>
      </c>
      <c r="C52" s="33" t="n">
        <f aca="false">SUMIFS(Orders!$K$2:$K$1201,Orders!$N$2:$N$1201,$B$7,Orders!$P$2:$P$1201,$B52,Orders!$Q$2:$Q$1201,$B$5,Orders!$R$2:$R$1201,$B$4)/$B$6</f>
        <v>3.885825</v>
      </c>
      <c r="D52" s="33" t="n">
        <f aca="false">SUMIFS(Orders!$M$2:$M$1201,Orders!$N$2:$N$1201,$B$7,Orders!$P$2:$P$1201,$B52,Orders!$Q$2:$Q$1201,$B$5,Orders!$R$2:$R$1201,$B$4)/$B$6</f>
        <v>0.878825</v>
      </c>
    </row>
    <row r="53" customFormat="false" ht="15" hidden="false" customHeight="false" outlineLevel="0" collapsed="false">
      <c r="A53" s="25" t="str">
        <f aca="false">TEXT(B53,"mmm-yy")</f>
        <v>Apr-26</v>
      </c>
      <c r="B53" s="32" t="n">
        <f aca="false">EDATE(B52,1)</f>
        <v>46113</v>
      </c>
      <c r="C53" s="33" t="n">
        <f aca="false">SUMIFS(Orders!$K$2:$K$1201,Orders!$N$2:$N$1201,$B$7,Orders!$P$2:$P$1201,$B53,Orders!$Q$2:$Q$1201,$B$5,Orders!$R$2:$R$1201,$B$4)/$B$6</f>
        <v>8.95192</v>
      </c>
      <c r="D53" s="33" t="n">
        <f aca="false">SUMIFS(Orders!$M$2:$M$1201,Orders!$N$2:$N$1201,$B$7,Orders!$P$2:$P$1201,$B53,Orders!$Q$2:$Q$1201,$B$5,Orders!$R$2:$R$1201,$B$4)/$B$6</f>
        <v>1.63242</v>
      </c>
    </row>
    <row r="54" customFormat="false" ht="15" hidden="false" customHeight="false" outlineLevel="0" collapsed="false">
      <c r="A54" s="25" t="str">
        <f aca="false">TEXT(B54,"mmm-yy")</f>
        <v>May-26</v>
      </c>
      <c r="B54" s="32" t="n">
        <f aca="false">EDATE(B53,1)</f>
        <v>46143</v>
      </c>
      <c r="C54" s="33" t="n">
        <f aca="false">SUMIFS(Orders!$K$2:$K$1201,Orders!$N$2:$N$1201,$B$7,Orders!$P$2:$P$1201,$B54,Orders!$Q$2:$Q$1201,$B$5,Orders!$R$2:$R$1201,$B$4)/$B$6</f>
        <v>4.908975</v>
      </c>
      <c r="D54" s="33" t="n">
        <f aca="false">SUMIFS(Orders!$M$2:$M$1201,Orders!$N$2:$N$1201,$B$7,Orders!$P$2:$P$1201,$B54,Orders!$Q$2:$Q$1201,$B$5,Orders!$R$2:$R$1201,$B$4)/$B$6</f>
        <v>0.996475</v>
      </c>
    </row>
    <row r="55" customFormat="false" ht="15" hidden="false" customHeight="false" outlineLevel="0" collapsed="false">
      <c r="A55" s="25" t="str">
        <f aca="false">TEXT(B55,"mmm-yy")</f>
        <v>Jun-26</v>
      </c>
      <c r="B55" s="32" t="n">
        <f aca="false">EDATE(B54,1)</f>
        <v>46174</v>
      </c>
      <c r="C55" s="33" t="n">
        <f aca="false">SUMIFS(Orders!$K$2:$K$1201,Orders!$N$2:$N$1201,$B$7,Orders!$P$2:$P$1201,$B55,Orders!$Q$2:$Q$1201,$B$5,Orders!$R$2:$R$1201,$B$4)/$B$6</f>
        <v>4.51865</v>
      </c>
      <c r="D55" s="33" t="n">
        <f aca="false">SUMIFS(Orders!$M$2:$M$1201,Orders!$N$2:$N$1201,$B$7,Orders!$P$2:$P$1201,$B55,Orders!$Q$2:$Q$1201,$B$5,Orders!$R$2:$R$1201,$B$4)/$B$6</f>
        <v>0.75895</v>
      </c>
    </row>
    <row r="56" customFormat="false" ht="15" hidden="false" customHeight="false" outlineLevel="0" collapsed="false">
      <c r="A56" s="25" t="str">
        <f aca="false">TEXT(B56,"mmm-yy")</f>
        <v>Jul-26</v>
      </c>
      <c r="B56" s="32" t="n">
        <f aca="false">EDATE(B55,1)</f>
        <v>46204</v>
      </c>
      <c r="C56" s="33" t="n">
        <f aca="false">SUMIFS(Orders!$K$2:$K$1201,Orders!$N$2:$N$1201,$B$7,Orders!$P$2:$P$1201,$B56,Orders!$Q$2:$Q$1201,$B$5,Orders!$R$2:$R$1201,$B$4)/$B$6</f>
        <v>10.31874</v>
      </c>
      <c r="D56" s="33" t="n">
        <f aca="false">SUMIFS(Orders!$M$2:$M$1201,Orders!$N$2:$N$1201,$B$7,Orders!$P$2:$P$1201,$B56,Orders!$Q$2:$Q$1201,$B$5,Orders!$R$2:$R$1201,$B$4)/$B$6</f>
        <v>1.49704</v>
      </c>
    </row>
    <row r="57" customFormat="false" ht="15" hidden="false" customHeight="false" outlineLevel="0" collapsed="false">
      <c r="A57" s="25" t="str">
        <f aca="false">TEXT(B57,"mmm-yy")</f>
        <v>Aug-26</v>
      </c>
      <c r="B57" s="32" t="n">
        <f aca="false">EDATE(B56,1)</f>
        <v>46235</v>
      </c>
      <c r="C57" s="33" t="n">
        <f aca="false">SUMIFS(Orders!$K$2:$K$1201,Orders!$N$2:$N$1201,$B$7,Orders!$P$2:$P$1201,$B57,Orders!$Q$2:$Q$1201,$B$5,Orders!$R$2:$R$1201,$B$4)/$B$6</f>
        <v>5.799075</v>
      </c>
      <c r="D57" s="33" t="n">
        <f aca="false">SUMIFS(Orders!$M$2:$M$1201,Orders!$N$2:$N$1201,$B$7,Orders!$P$2:$P$1201,$B57,Orders!$Q$2:$Q$1201,$B$5,Orders!$R$2:$R$1201,$B$4)/$B$6</f>
        <v>1.201375</v>
      </c>
    </row>
    <row r="58" customFormat="false" ht="15" hidden="false" customHeight="false" outlineLevel="0" collapsed="false">
      <c r="A58" s="25" t="str">
        <f aca="false">TEXT(B58,"mmm-yy")</f>
        <v>Sep-26</v>
      </c>
      <c r="B58" s="32" t="n">
        <f aca="false">EDATE(B57,1)</f>
        <v>46266</v>
      </c>
      <c r="C58" s="33" t="n">
        <f aca="false">SUMIFS(Orders!$K$2:$K$1201,Orders!$N$2:$N$1201,$B$7,Orders!$P$2:$P$1201,$B58,Orders!$Q$2:$Q$1201,$B$5,Orders!$R$2:$R$1201,$B$4)/$B$6</f>
        <v>3.95573</v>
      </c>
      <c r="D58" s="33" t="n">
        <f aca="false">SUMIFS(Orders!$M$2:$M$1201,Orders!$N$2:$N$1201,$B$7,Orders!$P$2:$P$1201,$B58,Orders!$Q$2:$Q$1201,$B$5,Orders!$R$2:$R$1201,$B$4)/$B$6</f>
        <v>0.64323</v>
      </c>
    </row>
    <row r="60" customFormat="false" ht="15" hidden="false" customHeight="false" outlineLevel="0" collapsed="false">
      <c r="A60" s="28" t="s">
        <v>88</v>
      </c>
    </row>
    <row r="61" customFormat="false" ht="15" hidden="false" customHeight="false" outlineLevel="0" collapsed="false">
      <c r="A61" s="29" t="s">
        <v>89</v>
      </c>
      <c r="B61" s="29" t="s">
        <v>86</v>
      </c>
      <c r="C61" s="29" t="s">
        <v>87</v>
      </c>
      <c r="D61" s="29" t="s">
        <v>90</v>
      </c>
    </row>
    <row r="62" customFormat="false" ht="15" hidden="false" customHeight="false" outlineLevel="0" collapsed="false">
      <c r="A62" s="25" t="s">
        <v>91</v>
      </c>
      <c r="B62" s="33" t="n">
        <f aca="false">SUMIFS(Orders!$K$2:$K$1201,Orders!$N$2:$N$1201,$B$7,Orders!$O$2:$O$1201,$B$3,Orders!$R$2:$R$1201,$B$4,Orders!$Q$2:$Q$1201,$A62)/$B$6</f>
        <v>162.8168</v>
      </c>
      <c r="C62" s="33" t="n">
        <f aca="false">SUMIFS(Orders!$M$2:$M$1201,Orders!$N$2:$N$1201,$B$7,Orders!$O$2:$O$1201,$B$3,Orders!$R$2:$R$1201,$B$4,Orders!$Q$2:$Q$1201,$A62)/$B$6</f>
        <v>24.8034</v>
      </c>
      <c r="D62" s="31" t="n">
        <f aca="false">IF(B62=0,0,C62/B62)</f>
        <v>0.152339316335906</v>
      </c>
    </row>
    <row r="63" customFormat="false" ht="15" hidden="false" customHeight="false" outlineLevel="0" collapsed="false">
      <c r="A63" s="25" t="s">
        <v>92</v>
      </c>
      <c r="B63" s="33" t="n">
        <f aca="false">SUMIFS(Orders!$K$2:$K$1201,Orders!$N$2:$N$1201,$B$7,Orders!$O$2:$O$1201,$B$3,Orders!$R$2:$R$1201,$B$4,Orders!$Q$2:$Q$1201,$A63)/$B$6</f>
        <v>39.89765</v>
      </c>
      <c r="C63" s="33" t="n">
        <f aca="false">SUMIFS(Orders!$M$2:$M$1201,Orders!$N$2:$N$1201,$B$7,Orders!$O$2:$O$1201,$B$3,Orders!$R$2:$R$1201,$B$4,Orders!$Q$2:$Q$1201,$A63)/$B$6</f>
        <v>9.28565</v>
      </c>
      <c r="D63" s="31" t="n">
        <f aca="false">IF(B63=0,0,C63/B63)</f>
        <v>0.23273676519795</v>
      </c>
    </row>
    <row r="64" customFormat="false" ht="15" hidden="false" customHeight="false" outlineLevel="0" collapsed="false">
      <c r="A64" s="25" t="s">
        <v>93</v>
      </c>
      <c r="B64" s="33" t="n">
        <f aca="false">SUMIFS(Orders!$K$2:$K$1201,Orders!$N$2:$N$1201,$B$7,Orders!$O$2:$O$1201,$B$3,Orders!$R$2:$R$1201,$B$4,Orders!$Q$2:$Q$1201,$A64)/$B$6</f>
        <v>2.855695</v>
      </c>
      <c r="C64" s="33" t="n">
        <f aca="false">SUMIFS(Orders!$M$2:$M$1201,Orders!$N$2:$N$1201,$B$7,Orders!$O$2:$O$1201,$B$3,Orders!$R$2:$R$1201,$B$4,Orders!$Q$2:$Q$1201,$A64)/$B$6</f>
        <v>1.040195</v>
      </c>
      <c r="D64" s="31" t="n">
        <f aca="false">IF(B64=0,0,C64/B64)</f>
        <v>0.364252835124199</v>
      </c>
    </row>
    <row r="66" customFormat="false" ht="15" hidden="false" customHeight="false" outlineLevel="0" collapsed="false">
      <c r="A66" s="28" t="s">
        <v>94</v>
      </c>
    </row>
    <row r="67" customFormat="false" ht="15" hidden="false" customHeight="false" outlineLevel="0" collapsed="false">
      <c r="A67" s="29" t="s">
        <v>89</v>
      </c>
      <c r="B67" s="29" t="s">
        <v>86</v>
      </c>
      <c r="C67" s="29" t="s">
        <v>87</v>
      </c>
      <c r="D67" s="29" t="s">
        <v>90</v>
      </c>
    </row>
    <row r="68" customFormat="false" ht="15" hidden="false" customHeight="false" outlineLevel="0" collapsed="false">
      <c r="A68" s="25" t="s">
        <v>95</v>
      </c>
      <c r="B68" s="33" t="n">
        <f aca="false">SUMIFS(Orders!$K$2:$K$1201,Orders!$N$2:$N$1201,$B$7,Orders!$O$2:$O$1201,$B$3,Orders!$Q$2:$Q$1201,$B$5,Orders!$R$2:$R$1201,$A68)/$B$6</f>
        <v>86.62462</v>
      </c>
      <c r="C68" s="33" t="n">
        <f aca="false">SUMIFS(Orders!$M$2:$M$1201,Orders!$N$2:$N$1201,$B$7,Orders!$O$2:$O$1201,$B$3,Orders!$Q$2:$Q$1201,$B$5,Orders!$R$2:$R$1201,$A68)/$B$6</f>
        <v>15.01932</v>
      </c>
      <c r="D68" s="31" t="n">
        <f aca="false">IF(B68=0,0,C68/B68)</f>
        <v>0.173383964050867</v>
      </c>
    </row>
    <row r="69" customFormat="false" ht="15" hidden="false" customHeight="false" outlineLevel="0" collapsed="false">
      <c r="A69" s="25" t="s">
        <v>96</v>
      </c>
      <c r="B69" s="33" t="n">
        <f aca="false">SUMIFS(Orders!$K$2:$K$1201,Orders!$N$2:$N$1201,$B$7,Orders!$O$2:$O$1201,$B$3,Orders!$Q$2:$Q$1201,$B$5,Orders!$R$2:$R$1201,$A69)/$B$6</f>
        <v>23.054795</v>
      </c>
      <c r="C69" s="33" t="n">
        <f aca="false">SUMIFS(Orders!$M$2:$M$1201,Orders!$N$2:$N$1201,$B$7,Orders!$O$2:$O$1201,$B$3,Orders!$Q$2:$Q$1201,$B$5,Orders!$R$2:$R$1201,$A69)/$B$6</f>
        <v>4.264495</v>
      </c>
      <c r="D69" s="31" t="n">
        <f aca="false">IF(B69=0,0,C69/B69)</f>
        <v>0.184972150045142</v>
      </c>
    </row>
    <row r="70" customFormat="false" ht="15" hidden="false" customHeight="false" outlineLevel="0" collapsed="false">
      <c r="A70" s="25" t="s">
        <v>97</v>
      </c>
      <c r="B70" s="33" t="n">
        <f aca="false">SUMIFS(Orders!$K$2:$K$1201,Orders!$N$2:$N$1201,$B$7,Orders!$O$2:$O$1201,$B$3,Orders!$Q$2:$Q$1201,$B$5,Orders!$R$2:$R$1201,$A70)/$B$6</f>
        <v>36.95137</v>
      </c>
      <c r="C70" s="33" t="n">
        <f aca="false">SUMIFS(Orders!$M$2:$M$1201,Orders!$N$2:$N$1201,$B$7,Orders!$O$2:$O$1201,$B$3,Orders!$Q$2:$Q$1201,$B$5,Orders!$R$2:$R$1201,$A70)/$B$6</f>
        <v>6.47107</v>
      </c>
      <c r="D70" s="31" t="n">
        <f aca="false">IF(B70=0,0,C70/B70)</f>
        <v>0.175123953455582</v>
      </c>
    </row>
    <row r="71" customFormat="false" ht="15" hidden="false" customHeight="false" outlineLevel="0" collapsed="false">
      <c r="A71" s="25" t="s">
        <v>98</v>
      </c>
      <c r="B71" s="33" t="n">
        <f aca="false">SUMIFS(Orders!$K$2:$K$1201,Orders!$N$2:$N$1201,$B$7,Orders!$O$2:$O$1201,$B$3,Orders!$Q$2:$Q$1201,$B$5,Orders!$R$2:$R$1201,$A71)/$B$6</f>
        <v>58.93936</v>
      </c>
      <c r="C71" s="33" t="n">
        <f aca="false">SUMIFS(Orders!$M$2:$M$1201,Orders!$N$2:$N$1201,$B$7,Orders!$O$2:$O$1201,$B$3,Orders!$Q$2:$Q$1201,$B$5,Orders!$R$2:$R$1201,$A71)/$B$6</f>
        <v>9.37436</v>
      </c>
      <c r="D71" s="31" t="n">
        <f aca="false">IF(B71=0,0,C71/B71)</f>
        <v>0.15905092963344</v>
      </c>
    </row>
    <row r="73" customFormat="false" ht="15" hidden="false" customHeight="false" outlineLevel="0" collapsed="false">
      <c r="A73" s="28" t="s">
        <v>99</v>
      </c>
    </row>
    <row r="74" customFormat="false" ht="15" hidden="false" customHeight="false" outlineLevel="0" collapsed="false">
      <c r="A74" s="29" t="s">
        <v>89</v>
      </c>
      <c r="B74" s="29" t="s">
        <v>86</v>
      </c>
      <c r="C74" s="29" t="s">
        <v>87</v>
      </c>
      <c r="D74" s="29" t="s">
        <v>90</v>
      </c>
    </row>
    <row r="75" customFormat="false" ht="15" hidden="false" customHeight="false" outlineLevel="0" collapsed="false">
      <c r="A75" s="25" t="s">
        <v>100</v>
      </c>
      <c r="B75" s="33" t="n">
        <f aca="false">SUMIFS(Orders!$K$2:$K$1201,Orders!$N$2:$N$1201,$B$7,Orders!$O$2:$O$1201,$B$3,Orders!$Q$2:$Q$1201,$B$5,Orders!$R$2:$R$1201,$B$4,Orders!$F$2:$F$1201,$A75)/$B$6</f>
        <v>80.395235</v>
      </c>
      <c r="C75" s="33" t="n">
        <f aca="false">SUMIFS(Orders!$M$2:$M$1201,Orders!$N$2:$N$1201,$B$7,Orders!$O$2:$O$1201,$B$3,Orders!$Q$2:$Q$1201,$B$5,Orders!$R$2:$R$1201,$B$4,Orders!$F$2:$F$1201,$A75)/$B$6</f>
        <v>12.826635</v>
      </c>
      <c r="D75" s="31" t="n">
        <f aca="false">IF(B75=0,0,C75/B75)</f>
        <v>0.159544716798203</v>
      </c>
    </row>
    <row r="76" customFormat="false" ht="15" hidden="false" customHeight="false" outlineLevel="0" collapsed="false">
      <c r="A76" s="25" t="s">
        <v>101</v>
      </c>
      <c r="B76" s="33" t="n">
        <f aca="false">SUMIFS(Orders!$K$2:$K$1201,Orders!$N$2:$N$1201,$B$7,Orders!$O$2:$O$1201,$B$3,Orders!$Q$2:$Q$1201,$B$5,Orders!$R$2:$R$1201,$B$4,Orders!$F$2:$F$1201,$A76)/$B$6</f>
        <v>68.177755</v>
      </c>
      <c r="C76" s="33" t="n">
        <f aca="false">SUMIFS(Orders!$M$2:$M$1201,Orders!$N$2:$N$1201,$B$7,Orders!$O$2:$O$1201,$B$3,Orders!$Q$2:$Q$1201,$B$5,Orders!$R$2:$R$1201,$B$4,Orders!$F$2:$F$1201,$A76)/$B$6</f>
        <v>12.247555</v>
      </c>
      <c r="D76" s="31" t="n">
        <f aca="false">IF(B76=0,0,C76/B76)</f>
        <v>0.179641512103178</v>
      </c>
    </row>
    <row r="77" customFormat="false" ht="15" hidden="false" customHeight="false" outlineLevel="0" collapsed="false">
      <c r="A77" s="25" t="s">
        <v>102</v>
      </c>
      <c r="B77" s="33" t="n">
        <f aca="false">SUMIFS(Orders!$K$2:$K$1201,Orders!$N$2:$N$1201,$B$7,Orders!$O$2:$O$1201,$B$3,Orders!$Q$2:$Q$1201,$B$5,Orders!$R$2:$R$1201,$B$4,Orders!$F$2:$F$1201,$A77)/$B$6</f>
        <v>56.997155</v>
      </c>
      <c r="C77" s="33" t="n">
        <f aca="false">SUMIFS(Orders!$M$2:$M$1201,Orders!$N$2:$N$1201,$B$7,Orders!$O$2:$O$1201,$B$3,Orders!$Q$2:$Q$1201,$B$5,Orders!$R$2:$R$1201,$B$4,Orders!$F$2:$F$1201,$A77)/$B$6</f>
        <v>10.055055</v>
      </c>
      <c r="D77" s="31" t="n">
        <f aca="false">IF(B77=0,0,C77/B77)</f>
        <v>0.176413278873305</v>
      </c>
    </row>
    <row r="79" customFormat="false" ht="15" hidden="false" customHeight="false" outlineLevel="0" collapsed="false">
      <c r="A79" s="28" t="s">
        <v>103</v>
      </c>
    </row>
    <row r="80" customFormat="false" ht="15" hidden="false" customHeight="false" outlineLevel="0" collapsed="false">
      <c r="A80" s="29" t="s">
        <v>89</v>
      </c>
      <c r="B80" s="29" t="s">
        <v>86</v>
      </c>
      <c r="C80" s="29" t="s">
        <v>87</v>
      </c>
      <c r="D80" s="29" t="s">
        <v>90</v>
      </c>
    </row>
    <row r="81" customFormat="false" ht="15" hidden="false" customHeight="false" outlineLevel="0" collapsed="false">
      <c r="A81" s="25" t="s">
        <v>104</v>
      </c>
      <c r="B81" s="33" t="n">
        <f aca="false">SUMIFS(Orders!$K$2:$K$1201,Orders!$N$2:$N$1201,$B$7,Orders!$O$2:$O$1201,$B$3,Orders!$Q$2:$Q$1201,$B$5,Orders!$R$2:$R$1201,$B$4,Orders!$S$2:$S$1201,$A81)/$B$6</f>
        <v>90.025355</v>
      </c>
      <c r="C81" s="33" t="n">
        <f aca="false">SUMIFS(Orders!$M$2:$M$1201,Orders!$N$2:$N$1201,$B$7,Orders!$O$2:$O$1201,$B$3,Orders!$Q$2:$Q$1201,$B$5,Orders!$R$2:$R$1201,$B$4,Orders!$S$2:$S$1201,$A81)/$B$6</f>
        <v>15.307055</v>
      </c>
      <c r="D81" s="31" t="n">
        <f aca="false">IF(B81=0,0,C81/B81)</f>
        <v>0.170030487522099</v>
      </c>
    </row>
    <row r="82" customFormat="false" ht="15" hidden="false" customHeight="false" outlineLevel="0" collapsed="false">
      <c r="A82" s="25" t="s">
        <v>105</v>
      </c>
      <c r="B82" s="33" t="n">
        <f aca="false">SUMIFS(Orders!$K$2:$K$1201,Orders!$N$2:$N$1201,$B$7,Orders!$O$2:$O$1201,$B$3,Orders!$Q$2:$Q$1201,$B$5,Orders!$R$2:$R$1201,$B$4,Orders!$S$2:$S$1201,$A82)/$B$6</f>
        <v>66.126565</v>
      </c>
      <c r="C82" s="33" t="n">
        <f aca="false">SUMIFS(Orders!$M$2:$M$1201,Orders!$N$2:$N$1201,$B$7,Orders!$O$2:$O$1201,$B$3,Orders!$Q$2:$Q$1201,$B$5,Orders!$R$2:$R$1201,$B$4,Orders!$S$2:$S$1201,$A82)/$B$6</f>
        <v>11.393065</v>
      </c>
      <c r="D82" s="31" t="n">
        <f aca="false">IF(B82=0,0,C82/B82)</f>
        <v>0.172291801335817</v>
      </c>
    </row>
    <row r="83" customFormat="false" ht="15" hidden="false" customHeight="false" outlineLevel="0" collapsed="false">
      <c r="A83" s="25" t="s">
        <v>106</v>
      </c>
      <c r="B83" s="33" t="n">
        <f aca="false">SUMIFS(Orders!$K$2:$K$1201,Orders!$N$2:$N$1201,$B$7,Orders!$O$2:$O$1201,$B$3,Orders!$Q$2:$Q$1201,$B$5,Orders!$R$2:$R$1201,$B$4,Orders!$S$2:$S$1201,$A83)/$B$6</f>
        <v>49.418225</v>
      </c>
      <c r="C83" s="33" t="n">
        <f aca="false">SUMIFS(Orders!$M$2:$M$1201,Orders!$N$2:$N$1201,$B$7,Orders!$O$2:$O$1201,$B$3,Orders!$Q$2:$Q$1201,$B$5,Orders!$R$2:$R$1201,$B$4,Orders!$S$2:$S$1201,$A83)/$B$6</f>
        <v>8.429125</v>
      </c>
      <c r="D83" s="31" t="n">
        <f aca="false">IF(B83=0,0,C83/B83)</f>
        <v>0.170567133886334</v>
      </c>
    </row>
    <row r="85" customFormat="false" ht="15" hidden="false" customHeight="false" outlineLevel="0" collapsed="false">
      <c r="A85" s="28" t="s">
        <v>107</v>
      </c>
    </row>
    <row r="86" customFormat="false" ht="15" hidden="false" customHeight="false" outlineLevel="0" collapsed="false">
      <c r="A86" s="29" t="s">
        <v>108</v>
      </c>
      <c r="B86" s="29" t="s">
        <v>109</v>
      </c>
      <c r="C86" s="29" t="s">
        <v>86</v>
      </c>
      <c r="D86" s="29" t="s">
        <v>110</v>
      </c>
      <c r="F86" s="29" t="s">
        <v>111</v>
      </c>
      <c r="G86" s="29" t="s">
        <v>112</v>
      </c>
      <c r="H86" s="29" t="s">
        <v>86</v>
      </c>
    </row>
    <row r="87" customFormat="false" ht="15" hidden="false" customHeight="false" outlineLevel="0" collapsed="false">
      <c r="A87" s="25" t="s">
        <v>113</v>
      </c>
      <c r="B87" s="25" t="str">
        <f aca="false">INDEX(Products!$B$2:$B$16,MATCH(A87,Products!$A$2:$A$16,0))</f>
        <v>Laptop</v>
      </c>
      <c r="C87" s="33" t="n">
        <f aca="false">SUMIFS(Orders!$K$2:$K$1201,Orders!$N$2:$N$1201,$B$7,Orders!$O$2:$O$1201,$B$3,Orders!$Q$2:$Q$1201,$B$5,Orders!$R$2:$R$1201,$B$4,Orders!$E$2:$E$1201,$A87)/$B$6</f>
        <v>94.68</v>
      </c>
      <c r="D87" s="34" t="n">
        <f aca="false">C87+ROW()/1000000</f>
        <v>94.680087</v>
      </c>
      <c r="F87" s="25" t="n">
        <v>1</v>
      </c>
      <c r="G87" s="25" t="str">
        <f aca="false">IF(H87=0,"–",INDEX($B$87:$B$101,MATCH(LARGE($D$87:$D$101,F87),$D$87:$D$101,0)))</f>
        <v>Laptop</v>
      </c>
      <c r="H87" s="33" t="n">
        <f aca="false">IF(INDEX($C$87:$C$101,MATCH(LARGE($D$87:$D$101,F87),$D$87:$D$101,0))&lt;=0,0,INDEX($C$87:$C$101,MATCH(LARGE($D$87:$D$101,F87),$D$87:$D$101,0)))</f>
        <v>94.68</v>
      </c>
    </row>
    <row r="88" customFormat="false" ht="15" hidden="false" customHeight="false" outlineLevel="0" collapsed="false">
      <c r="A88" s="25" t="s">
        <v>114</v>
      </c>
      <c r="B88" s="25" t="str">
        <f aca="false">INDEX(Products!$B$2:$B$16,MATCH(A88,Products!$A$2:$A$16,0))</f>
        <v>Wireless Mouse</v>
      </c>
      <c r="C88" s="33" t="n">
        <f aca="false">SUMIFS(Orders!$K$2:$K$1201,Orders!$N$2:$N$1201,$B$7,Orders!$O$2:$O$1201,$B$3,Orders!$Q$2:$Q$1201,$B$5,Orders!$R$2:$R$1201,$B$4,Orders!$E$2:$E$1201,$A88)/$B$6</f>
        <v>1.1264</v>
      </c>
      <c r="D88" s="34" t="n">
        <f aca="false">C88+ROW()/1000000</f>
        <v>1.126488</v>
      </c>
      <c r="F88" s="25" t="n">
        <v>2</v>
      </c>
      <c r="G88" s="25" t="str">
        <f aca="false">IF(H88=0,"–",INDEX($B$87:$B$101,MATCH(LARGE($D$87:$D$101,F88),$D$87:$D$101,0)))</f>
        <v>Tablet</v>
      </c>
      <c r="H88" s="33" t="n">
        <f aca="false">IF(INDEX($C$87:$C$101,MATCH(LARGE($D$87:$D$101,F88),$D$87:$D$101,0))&lt;=0,0,INDEX($C$87:$C$101,MATCH(LARGE($D$87:$D$101,F88),$D$87:$D$101,0)))</f>
        <v>30.411</v>
      </c>
    </row>
    <row r="89" customFormat="false" ht="15" hidden="false" customHeight="false" outlineLevel="0" collapsed="false">
      <c r="A89" s="25" t="s">
        <v>115</v>
      </c>
      <c r="B89" s="25" t="str">
        <f aca="false">INDEX(Products!$B$2:$B$16,MATCH(A89,Products!$A$2:$A$16,0))</f>
        <v>Keyboard</v>
      </c>
      <c r="C89" s="33" t="n">
        <f aca="false">SUMIFS(Orders!$K$2:$K$1201,Orders!$N$2:$N$1201,$B$7,Orders!$O$2:$O$1201,$B$3,Orders!$Q$2:$Q$1201,$B$5,Orders!$R$2:$R$1201,$B$4,Orders!$E$2:$E$1201,$A89)/$B$6</f>
        <v>2.7465</v>
      </c>
      <c r="D89" s="34" t="n">
        <f aca="false">C89+ROW()/1000000</f>
        <v>2.746589</v>
      </c>
      <c r="F89" s="25" t="n">
        <v>3</v>
      </c>
      <c r="G89" s="25" t="str">
        <f aca="false">IF(H89=0,"–",INDEX($B$87:$B$101,MATCH(LARGE($D$87:$D$101,F89),$D$87:$D$101,0)))</f>
        <v>Monitor</v>
      </c>
      <c r="H89" s="33" t="n">
        <f aca="false">IF(INDEX($C$87:$C$101,MATCH(LARGE($D$87:$D$101,F89),$D$87:$D$101,0))&lt;=0,0,INDEX($C$87:$C$101,MATCH(LARGE($D$87:$D$101,F89),$D$87:$D$101,0)))</f>
        <v>21.414</v>
      </c>
    </row>
    <row r="90" customFormat="false" ht="15" hidden="false" customHeight="false" outlineLevel="0" collapsed="false">
      <c r="A90" s="25" t="s">
        <v>116</v>
      </c>
      <c r="B90" s="25" t="str">
        <f aca="false">INDEX(Products!$B$2:$B$16,MATCH(A90,Products!$A$2:$A$16,0))</f>
        <v>Monitor</v>
      </c>
      <c r="C90" s="33" t="n">
        <f aca="false">SUMIFS(Orders!$K$2:$K$1201,Orders!$N$2:$N$1201,$B$7,Orders!$O$2:$O$1201,$B$3,Orders!$Q$2:$Q$1201,$B$5,Orders!$R$2:$R$1201,$B$4,Orders!$E$2:$E$1201,$A90)/$B$6</f>
        <v>21.414</v>
      </c>
      <c r="D90" s="34" t="n">
        <f aca="false">C90+ROW()/1000000</f>
        <v>21.41409</v>
      </c>
      <c r="F90" s="25" t="n">
        <v>4</v>
      </c>
      <c r="G90" s="25" t="str">
        <f aca="false">IF(H90=0,"–",INDEX($B$87:$B$101,MATCH(LARGE($D$87:$D$101,F90),$D$87:$D$101,0)))</f>
        <v>Office Desk</v>
      </c>
      <c r="H90" s="33" t="n">
        <f aca="false">IF(INDEX($C$87:$C$101,MATCH(LARGE($D$87:$D$101,F90),$D$87:$D$101,0))&lt;=0,0,INDEX($C$87:$C$101,MATCH(LARGE($D$87:$D$101,F90),$D$87:$D$101,0)))</f>
        <v>16.875</v>
      </c>
    </row>
    <row r="91" customFormat="false" ht="15" hidden="false" customHeight="false" outlineLevel="0" collapsed="false">
      <c r="A91" s="25" t="s">
        <v>117</v>
      </c>
      <c r="B91" s="25" t="str">
        <f aca="false">INDEX(Products!$B$2:$B$16,MATCH(A91,Products!$A$2:$A$16,0))</f>
        <v>Office Chair</v>
      </c>
      <c r="C91" s="33" t="n">
        <f aca="false">SUMIFS(Orders!$K$2:$K$1201,Orders!$N$2:$N$1201,$B$7,Orders!$O$2:$O$1201,$B$3,Orders!$Q$2:$Q$1201,$B$5,Orders!$R$2:$R$1201,$B$4,Orders!$E$2:$E$1201,$A91)/$B$6</f>
        <v>11.4075</v>
      </c>
      <c r="D91" s="34" t="n">
        <f aca="false">C91+ROW()/1000000</f>
        <v>11.407591</v>
      </c>
      <c r="F91" s="25" t="n">
        <v>5</v>
      </c>
      <c r="G91" s="25" t="str">
        <f aca="false">IF(H91=0,"–",INDEX($B$87:$B$101,MATCH(LARGE($D$87:$D$101,F91),$D$87:$D$101,0)))</f>
        <v>Office Chair</v>
      </c>
      <c r="H91" s="33" t="n">
        <f aca="false">IF(INDEX($C$87:$C$101,MATCH(LARGE($D$87:$D$101,F91),$D$87:$D$101,0))&lt;=0,0,INDEX($C$87:$C$101,MATCH(LARGE($D$87:$D$101,F91),$D$87:$D$101,0)))</f>
        <v>11.4075</v>
      </c>
    </row>
    <row r="92" customFormat="false" ht="15" hidden="false" customHeight="false" outlineLevel="0" collapsed="false">
      <c r="A92" s="25" t="s">
        <v>118</v>
      </c>
      <c r="B92" s="25" t="str">
        <f aca="false">INDEX(Products!$B$2:$B$16,MATCH(A92,Products!$A$2:$A$16,0))</f>
        <v>Office Desk</v>
      </c>
      <c r="C92" s="33" t="n">
        <f aca="false">SUMIFS(Orders!$K$2:$K$1201,Orders!$N$2:$N$1201,$B$7,Orders!$O$2:$O$1201,$B$3,Orders!$Q$2:$Q$1201,$B$5,Orders!$R$2:$R$1201,$B$4,Orders!$E$2:$E$1201,$A92)/$B$6</f>
        <v>16.875</v>
      </c>
      <c r="D92" s="34" t="n">
        <f aca="false">C92+ROW()/1000000</f>
        <v>16.875092</v>
      </c>
      <c r="F92" s="25" t="n">
        <v>6</v>
      </c>
      <c r="G92" s="25" t="str">
        <f aca="false">IF(H92=0,"–",INDEX($B$87:$B$101,MATCH(LARGE($D$87:$D$101,F92),$D$87:$D$101,0)))</f>
        <v>Bookshelf</v>
      </c>
      <c r="H92" s="33" t="n">
        <f aca="false">IF(INDEX($C$87:$C$101,MATCH(LARGE($D$87:$D$101,F92),$D$87:$D$101,0))&lt;=0,0,INDEX($C$87:$C$101,MATCH(LARGE($D$87:$D$101,F92),$D$87:$D$101,0)))</f>
        <v>9.63875</v>
      </c>
    </row>
    <row r="93" customFormat="false" ht="15" hidden="false" customHeight="false" outlineLevel="0" collapsed="false">
      <c r="A93" s="25" t="s">
        <v>119</v>
      </c>
      <c r="B93" s="25" t="str">
        <f aca="false">INDEX(Products!$B$2:$B$16,MATCH(A93,Products!$A$2:$A$16,0))</f>
        <v>Notebook Pack</v>
      </c>
      <c r="C93" s="33" t="n">
        <f aca="false">SUMIFS(Orders!$K$2:$K$1201,Orders!$N$2:$N$1201,$B$7,Orders!$O$2:$O$1201,$B$3,Orders!$Q$2:$Q$1201,$B$5,Orders!$R$2:$R$1201,$B$4,Orders!$E$2:$E$1201,$A93)/$B$6</f>
        <v>0.451125</v>
      </c>
      <c r="D93" s="34" t="n">
        <f aca="false">C93+ROW()/1000000</f>
        <v>0.451218</v>
      </c>
      <c r="F93" s="25" t="n">
        <v>7</v>
      </c>
      <c r="G93" s="25" t="str">
        <f aca="false">IF(H93=0,"–",INDEX($B$87:$B$101,MATCH(LARGE($D$87:$D$101,F93),$D$87:$D$101,0)))</f>
        <v>Webcam</v>
      </c>
      <c r="H93" s="33" t="n">
        <f aca="false">IF(INDEX($C$87:$C$101,MATCH(LARGE($D$87:$D$101,F93),$D$87:$D$101,0))&lt;=0,0,INDEX($C$87:$C$101,MATCH(LARGE($D$87:$D$101,F93),$D$87:$D$101,0)))</f>
        <v>6.8685</v>
      </c>
    </row>
    <row r="94" customFormat="false" ht="15" hidden="false" customHeight="false" outlineLevel="0" collapsed="false">
      <c r="A94" s="25" t="s">
        <v>120</v>
      </c>
      <c r="B94" s="25" t="str">
        <f aca="false">INDEX(Products!$B$2:$B$16,MATCH(A94,Products!$A$2:$A$16,0))</f>
        <v>Printer Paper</v>
      </c>
      <c r="C94" s="33" t="n">
        <f aca="false">SUMIFS(Orders!$K$2:$K$1201,Orders!$N$2:$N$1201,$B$7,Orders!$O$2:$O$1201,$B$3,Orders!$Q$2:$Q$1201,$B$5,Orders!$R$2:$R$1201,$B$4,Orders!$E$2:$E$1201,$A94)/$B$6</f>
        <v>0.9592</v>
      </c>
      <c r="D94" s="34" t="n">
        <f aca="false">C94+ROW()/1000000</f>
        <v>0.959294</v>
      </c>
      <c r="F94" s="25" t="n">
        <v>8</v>
      </c>
      <c r="G94" s="25" t="str">
        <f aca="false">IF(H94=0,"–",INDEX($B$87:$B$101,MATCH(LARGE($D$87:$D$101,F94),$D$87:$D$101,0)))</f>
        <v>Headphones</v>
      </c>
      <c r="H94" s="33" t="n">
        <f aca="false">IF(INDEX($C$87:$C$101,MATCH(LARGE($D$87:$D$101,F94),$D$87:$D$101,0))&lt;=0,0,INDEX($C$87:$C$101,MATCH(LARGE($D$87:$D$101,F94),$D$87:$D$101,0)))</f>
        <v>5.5704</v>
      </c>
    </row>
    <row r="95" customFormat="false" ht="15" hidden="false" customHeight="false" outlineLevel="0" collapsed="false">
      <c r="A95" s="25" t="s">
        <v>121</v>
      </c>
      <c r="B95" s="25" t="str">
        <f aca="false">INDEX(Products!$B$2:$B$16,MATCH(A95,Products!$A$2:$A$16,0))</f>
        <v>Pen Set</v>
      </c>
      <c r="C95" s="33" t="n">
        <f aca="false">SUMIFS(Orders!$K$2:$K$1201,Orders!$N$2:$N$1201,$B$7,Orders!$O$2:$O$1201,$B$3,Orders!$Q$2:$Q$1201,$B$5,Orders!$R$2:$R$1201,$B$4,Orders!$E$2:$E$1201,$A95)/$B$6</f>
        <v>0.36387</v>
      </c>
      <c r="D95" s="34" t="n">
        <f aca="false">C95+ROW()/1000000</f>
        <v>0.363965</v>
      </c>
      <c r="F95" s="25" t="n">
        <v>9</v>
      </c>
      <c r="G95" s="25" t="str">
        <f aca="false">IF(H95=0,"–",INDEX($B$87:$B$101,MATCH(LARGE($D$87:$D$101,F95),$D$87:$D$101,0)))</f>
        <v>Keyboard</v>
      </c>
      <c r="H95" s="33" t="n">
        <f aca="false">IF(INDEX($C$87:$C$101,MATCH(LARGE($D$87:$D$101,F95),$D$87:$D$101,0))&lt;=0,0,INDEX($C$87:$C$101,MATCH(LARGE($D$87:$D$101,F95),$D$87:$D$101,0)))</f>
        <v>2.7465</v>
      </c>
    </row>
    <row r="96" customFormat="false" ht="15" hidden="false" customHeight="false" outlineLevel="0" collapsed="false">
      <c r="A96" s="25" t="s">
        <v>122</v>
      </c>
      <c r="B96" s="25" t="str">
        <f aca="false">INDEX(Products!$B$2:$B$16,MATCH(A96,Products!$A$2:$A$16,0))</f>
        <v>Bookshelf</v>
      </c>
      <c r="C96" s="33" t="n">
        <f aca="false">SUMIFS(Orders!$K$2:$K$1201,Orders!$N$2:$N$1201,$B$7,Orders!$O$2:$O$1201,$B$3,Orders!$Q$2:$Q$1201,$B$5,Orders!$R$2:$R$1201,$B$4,Orders!$E$2:$E$1201,$A96)/$B$6</f>
        <v>9.63875</v>
      </c>
      <c r="D96" s="34" t="n">
        <f aca="false">C96+ROW()/1000000</f>
        <v>9.638846</v>
      </c>
      <c r="F96" s="25" t="n">
        <v>10</v>
      </c>
      <c r="G96" s="25" t="str">
        <f aca="false">IF(H96=0,"–",INDEX($B$87:$B$101,MATCH(LARGE($D$87:$D$101,F96),$D$87:$D$101,0)))</f>
        <v>Desk Lamp</v>
      </c>
      <c r="H96" s="33" t="n">
        <f aca="false">IF(INDEX($C$87:$C$101,MATCH(LARGE($D$87:$D$101,F96),$D$87:$D$101,0))&lt;=0,0,INDEX($C$87:$C$101,MATCH(LARGE($D$87:$D$101,F96),$D$87:$D$101,0)))</f>
        <v>1.9764</v>
      </c>
    </row>
    <row r="97" customFormat="false" ht="15" hidden="false" customHeight="false" outlineLevel="0" collapsed="false">
      <c r="A97" s="25" t="s">
        <v>123</v>
      </c>
      <c r="B97" s="25" t="str">
        <f aca="false">INDEX(Products!$B$2:$B$16,MATCH(A97,Products!$A$2:$A$16,0))</f>
        <v>Headphones</v>
      </c>
      <c r="C97" s="33" t="n">
        <f aca="false">SUMIFS(Orders!$K$2:$K$1201,Orders!$N$2:$N$1201,$B$7,Orders!$O$2:$O$1201,$B$3,Orders!$Q$2:$Q$1201,$B$5,Orders!$R$2:$R$1201,$B$4,Orders!$E$2:$E$1201,$A97)/$B$6</f>
        <v>5.5704</v>
      </c>
      <c r="D97" s="34" t="n">
        <f aca="false">C97+ROW()/1000000</f>
        <v>5.570497</v>
      </c>
    </row>
    <row r="98" customFormat="false" ht="15" hidden="false" customHeight="false" outlineLevel="0" collapsed="false">
      <c r="A98" s="25" t="s">
        <v>124</v>
      </c>
      <c r="B98" s="25" t="str">
        <f aca="false">INDEX(Products!$B$2:$B$16,MATCH(A98,Products!$A$2:$A$16,0))</f>
        <v>Webcam</v>
      </c>
      <c r="C98" s="33" t="n">
        <f aca="false">SUMIFS(Orders!$K$2:$K$1201,Orders!$N$2:$N$1201,$B$7,Orders!$O$2:$O$1201,$B$3,Orders!$Q$2:$Q$1201,$B$5,Orders!$R$2:$R$1201,$B$4,Orders!$E$2:$E$1201,$A98)/$B$6</f>
        <v>6.8685</v>
      </c>
      <c r="D98" s="34" t="n">
        <f aca="false">C98+ROW()/1000000</f>
        <v>6.868598</v>
      </c>
    </row>
    <row r="99" customFormat="false" ht="15" hidden="false" customHeight="false" outlineLevel="0" collapsed="false">
      <c r="A99" s="25" t="s">
        <v>125</v>
      </c>
      <c r="B99" s="25" t="str">
        <f aca="false">INDEX(Products!$B$2:$B$16,MATCH(A99,Products!$A$2:$A$16,0))</f>
        <v>Storage Box</v>
      </c>
      <c r="C99" s="33" t="n">
        <f aca="false">SUMIFS(Orders!$K$2:$K$1201,Orders!$N$2:$N$1201,$B$7,Orders!$O$2:$O$1201,$B$3,Orders!$Q$2:$Q$1201,$B$5,Orders!$R$2:$R$1201,$B$4,Orders!$E$2:$E$1201,$A99)/$B$6</f>
        <v>1.0815</v>
      </c>
      <c r="D99" s="34" t="n">
        <f aca="false">C99+ROW()/1000000</f>
        <v>1.081599</v>
      </c>
    </row>
    <row r="100" customFormat="false" ht="15" hidden="false" customHeight="false" outlineLevel="0" collapsed="false">
      <c r="A100" s="25" t="s">
        <v>126</v>
      </c>
      <c r="B100" s="25" t="str">
        <f aca="false">INDEX(Products!$B$2:$B$16,MATCH(A100,Products!$A$2:$A$16,0))</f>
        <v>Desk Lamp</v>
      </c>
      <c r="C100" s="33" t="n">
        <f aca="false">SUMIFS(Orders!$K$2:$K$1201,Orders!$N$2:$N$1201,$B$7,Orders!$O$2:$O$1201,$B$3,Orders!$Q$2:$Q$1201,$B$5,Orders!$R$2:$R$1201,$B$4,Orders!$E$2:$E$1201,$A100)/$B$6</f>
        <v>1.9764</v>
      </c>
      <c r="D100" s="34" t="n">
        <f aca="false">C100+ROW()/1000000</f>
        <v>1.9765</v>
      </c>
    </row>
    <row r="101" customFormat="false" ht="15" hidden="false" customHeight="false" outlineLevel="0" collapsed="false">
      <c r="A101" s="25" t="s">
        <v>127</v>
      </c>
      <c r="B101" s="25" t="str">
        <f aca="false">INDEX(Products!$B$2:$B$16,MATCH(A101,Products!$A$2:$A$16,0))</f>
        <v>Tablet</v>
      </c>
      <c r="C101" s="33" t="n">
        <f aca="false">SUMIFS(Orders!$K$2:$K$1201,Orders!$N$2:$N$1201,$B$7,Orders!$O$2:$O$1201,$B$3,Orders!$Q$2:$Q$1201,$B$5,Orders!$R$2:$R$1201,$B$4,Orders!$E$2:$E$1201,$A101)/$B$6</f>
        <v>30.411</v>
      </c>
      <c r="D101" s="34" t="n">
        <f aca="false">C101+ROW()/1000000</f>
        <v>30.411101</v>
      </c>
    </row>
    <row r="103" customFormat="false" ht="15" hidden="false" customHeight="false" outlineLevel="0" collapsed="false">
      <c r="A103" s="28" t="s">
        <v>128</v>
      </c>
    </row>
    <row r="104" customFormat="false" ht="15" hidden="false" customHeight="false" outlineLevel="0" collapsed="false">
      <c r="A104" s="29" t="s">
        <v>129</v>
      </c>
      <c r="B104" s="29" t="s">
        <v>86</v>
      </c>
      <c r="C104" s="29" t="s">
        <v>110</v>
      </c>
      <c r="F104" s="29" t="s">
        <v>111</v>
      </c>
      <c r="G104" s="29" t="s">
        <v>130</v>
      </c>
      <c r="H104" s="29" t="s">
        <v>86</v>
      </c>
    </row>
    <row r="105" customFormat="false" ht="15" hidden="false" customHeight="false" outlineLevel="0" collapsed="false">
      <c r="A105" s="25" t="s">
        <v>131</v>
      </c>
      <c r="B105" s="33" t="n">
        <f aca="false">SUMIFS(Orders!$K$2:$K$1201,Orders!$N$2:$N$1201,$B$7,Orders!$O$2:$O$1201,$B$3,Orders!$Q$2:$Q$1201,$B$5,Orders!$R$2:$R$1201,$B$4,Orders!$T$2:$T$1201,$A105)/$B$6</f>
        <v>22.37099</v>
      </c>
      <c r="C105" s="34" t="n">
        <f aca="false">B105+ROW()/1000000</f>
        <v>22.371095</v>
      </c>
      <c r="F105" s="25" t="n">
        <v>1</v>
      </c>
      <c r="G105" s="25" t="str">
        <f aca="false">IF(H105=0,"–",INDEX($A$105:$A$116,MATCH(LARGE($C$105:$C$116,F105),$C$105:$C$116,0)))</f>
        <v>Jaipur</v>
      </c>
      <c r="H105" s="33" t="n">
        <f aca="false">IF(INDEX($B$105:$B$116,MATCH(LARGE($C$105:$C$116,F105),$C$105:$C$116,0))&lt;=0,0,INDEX($B$105:$B$116,MATCH(LARGE($C$105:$C$116,F105),$C$105:$C$116,0)))</f>
        <v>30.57814</v>
      </c>
    </row>
    <row r="106" customFormat="false" ht="15" hidden="false" customHeight="false" outlineLevel="0" collapsed="false">
      <c r="A106" s="25" t="s">
        <v>132</v>
      </c>
      <c r="B106" s="33" t="n">
        <f aca="false">SUMIFS(Orders!$K$2:$K$1201,Orders!$N$2:$N$1201,$B$7,Orders!$O$2:$O$1201,$B$3,Orders!$Q$2:$Q$1201,$B$5,Orders!$R$2:$R$1201,$B$4,Orders!$T$2:$T$1201,$A106)/$B$6</f>
        <v>10.27606</v>
      </c>
      <c r="C106" s="34" t="n">
        <f aca="false">B106+ROW()/1000000</f>
        <v>10.276166</v>
      </c>
      <c r="F106" s="25" t="n">
        <v>2</v>
      </c>
      <c r="G106" s="25" t="str">
        <f aca="false">IF(H106=0,"–",INDEX($A$105:$A$116,MATCH(LARGE($C$105:$C$116,F106),$C$105:$C$116,0)))</f>
        <v>Gurugram</v>
      </c>
      <c r="H106" s="33" t="n">
        <f aca="false">IF(INDEX($B$105:$B$116,MATCH(LARGE($C$105:$C$116,F106),$C$105:$C$116,0))&lt;=0,0,INDEX($B$105:$B$116,MATCH(LARGE($C$105:$C$116,F106),$C$105:$C$116,0)))</f>
        <v>24.911685</v>
      </c>
    </row>
    <row r="107" customFormat="false" ht="15" hidden="false" customHeight="false" outlineLevel="0" collapsed="false">
      <c r="A107" s="25" t="s">
        <v>133</v>
      </c>
      <c r="B107" s="33" t="n">
        <f aca="false">SUMIFS(Orders!$K$2:$K$1201,Orders!$N$2:$N$1201,$B$7,Orders!$O$2:$O$1201,$B$3,Orders!$Q$2:$Q$1201,$B$5,Orders!$R$2:$R$1201,$B$4,Orders!$T$2:$T$1201,$A107)/$B$6</f>
        <v>19.941025</v>
      </c>
      <c r="C107" s="34" t="n">
        <f aca="false">B107+ROW()/1000000</f>
        <v>19.941132</v>
      </c>
      <c r="F107" s="25" t="n">
        <v>3</v>
      </c>
      <c r="G107" s="25" t="str">
        <f aca="false">IF(H107=0,"–",INDEX($A$105:$A$116,MATCH(LARGE($C$105:$C$116,F107),$C$105:$C$116,0)))</f>
        <v>Ahmedabad</v>
      </c>
      <c r="H107" s="33" t="n">
        <f aca="false">IF(INDEX($B$105:$B$116,MATCH(LARGE($C$105:$C$116,F107),$C$105:$C$116,0))&lt;=0,0,INDEX($B$105:$B$116,MATCH(LARGE($C$105:$C$116,F107),$C$105:$C$116,0)))</f>
        <v>22.37099</v>
      </c>
    </row>
    <row r="108" customFormat="false" ht="15" hidden="false" customHeight="false" outlineLevel="0" collapsed="false">
      <c r="A108" s="25" t="s">
        <v>134</v>
      </c>
      <c r="B108" s="33" t="n">
        <f aca="false">SUMIFS(Orders!$K$2:$K$1201,Orders!$N$2:$N$1201,$B$7,Orders!$O$2:$O$1201,$B$3,Orders!$Q$2:$Q$1201,$B$5,Orders!$R$2:$R$1201,$B$4,Orders!$T$2:$T$1201,$A108)/$B$6</f>
        <v>7.00611</v>
      </c>
      <c r="C108" s="34" t="n">
        <f aca="false">B108+ROW()/1000000</f>
        <v>7.006218</v>
      </c>
      <c r="F108" s="25" t="n">
        <v>4</v>
      </c>
      <c r="G108" s="25" t="str">
        <f aca="false">IF(H108=0,"–",INDEX($A$105:$A$116,MATCH(LARGE($C$105:$C$116,F108),$C$105:$C$116,0)))</f>
        <v>Pune</v>
      </c>
      <c r="H108" s="33" t="n">
        <f aca="false">IF(INDEX($B$105:$B$116,MATCH(LARGE($C$105:$C$116,F108),$C$105:$C$116,0))&lt;=0,0,INDEX($B$105:$B$116,MATCH(LARGE($C$105:$C$116,F108),$C$105:$C$116,0)))</f>
        <v>22.24909</v>
      </c>
    </row>
    <row r="109" customFormat="false" ht="15" hidden="false" customHeight="false" outlineLevel="0" collapsed="false">
      <c r="A109" s="25" t="s">
        <v>135</v>
      </c>
      <c r="B109" s="33" t="n">
        <f aca="false">SUMIFS(Orders!$K$2:$K$1201,Orders!$N$2:$N$1201,$B$7,Orders!$O$2:$O$1201,$B$3,Orders!$Q$2:$Q$1201,$B$5,Orders!$R$2:$R$1201,$B$4,Orders!$T$2:$T$1201,$A109)/$B$6</f>
        <v>15.42368</v>
      </c>
      <c r="C109" s="34" t="n">
        <f aca="false">B109+ROW()/1000000</f>
        <v>15.423789</v>
      </c>
      <c r="F109" s="25" t="n">
        <v>5</v>
      </c>
      <c r="G109" s="25" t="str">
        <f aca="false">IF(H109=0,"–",INDEX($A$105:$A$116,MATCH(LARGE($C$105:$C$116,F109),$C$105:$C$116,0)))</f>
        <v>Bhubaneswar</v>
      </c>
      <c r="H109" s="33" t="n">
        <f aca="false">IF(INDEX($B$105:$B$116,MATCH(LARGE($C$105:$C$116,F109),$C$105:$C$116,0))&lt;=0,0,INDEX($B$105:$B$116,MATCH(LARGE($C$105:$C$116,F109),$C$105:$C$116,0)))</f>
        <v>19.941025</v>
      </c>
    </row>
    <row r="110" customFormat="false" ht="15" hidden="false" customHeight="false" outlineLevel="0" collapsed="false">
      <c r="A110" s="25" t="s">
        <v>136</v>
      </c>
      <c r="B110" s="33" t="n">
        <f aca="false">SUMIFS(Orders!$K$2:$K$1201,Orders!$N$2:$N$1201,$B$7,Orders!$O$2:$O$1201,$B$3,Orders!$Q$2:$Q$1201,$B$5,Orders!$R$2:$R$1201,$B$4,Orders!$T$2:$T$1201,$A110)/$B$6</f>
        <v>24.911685</v>
      </c>
      <c r="C110" s="34" t="n">
        <f aca="false">B110+ROW()/1000000</f>
        <v>24.911795</v>
      </c>
      <c r="F110" s="25" t="n">
        <v>6</v>
      </c>
      <c r="G110" s="25" t="str">
        <f aca="false">IF(H110=0,"–",INDEX($A$105:$A$116,MATCH(LARGE($C$105:$C$116,F110),$C$105:$C$116,0)))</f>
        <v>Kolkata</v>
      </c>
      <c r="H110" s="33" t="n">
        <f aca="false">IF(INDEX($B$105:$B$116,MATCH(LARGE($C$105:$C$116,F110),$C$105:$C$116,0))&lt;=0,0,INDEX($B$105:$B$116,MATCH(LARGE($C$105:$C$116,F110),$C$105:$C$116,0)))</f>
        <v>17.010345</v>
      </c>
    </row>
    <row r="111" customFormat="false" ht="15" hidden="false" customHeight="false" outlineLevel="0" collapsed="false">
      <c r="A111" s="25" t="s">
        <v>137</v>
      </c>
      <c r="B111" s="33" t="n">
        <f aca="false">SUMIFS(Orders!$K$2:$K$1201,Orders!$N$2:$N$1201,$B$7,Orders!$O$2:$O$1201,$B$3,Orders!$Q$2:$Q$1201,$B$5,Orders!$R$2:$R$1201,$B$4,Orders!$T$2:$T$1201,$A111)/$B$6</f>
        <v>5.772625</v>
      </c>
      <c r="C111" s="34" t="n">
        <f aca="false">B111+ROW()/1000000</f>
        <v>5.772736</v>
      </c>
      <c r="F111" s="25" t="n">
        <v>7</v>
      </c>
      <c r="G111" s="25" t="str">
        <f aca="false">IF(H111=0,"–",INDEX($A$105:$A$116,MATCH(LARGE($C$105:$C$116,F111),$C$105:$C$116,0)))</f>
        <v>Lucknow</v>
      </c>
      <c r="H111" s="33" t="n">
        <f aca="false">IF(INDEX($B$105:$B$116,MATCH(LARGE($C$105:$C$116,F111),$C$105:$C$116,0))&lt;=0,0,INDEX($B$105:$B$116,MATCH(LARGE($C$105:$C$116,F111),$C$105:$C$116,0)))</f>
        <v>15.711115</v>
      </c>
    </row>
    <row r="112" customFormat="false" ht="15" hidden="false" customHeight="false" outlineLevel="0" collapsed="false">
      <c r="A112" s="25" t="s">
        <v>138</v>
      </c>
      <c r="B112" s="33" t="n">
        <f aca="false">SUMIFS(Orders!$K$2:$K$1201,Orders!$N$2:$N$1201,$B$7,Orders!$O$2:$O$1201,$B$3,Orders!$Q$2:$Q$1201,$B$5,Orders!$R$2:$R$1201,$B$4,Orders!$T$2:$T$1201,$A112)/$B$6</f>
        <v>30.57814</v>
      </c>
      <c r="C112" s="34" t="n">
        <f aca="false">B112+ROW()/1000000</f>
        <v>30.578252</v>
      </c>
      <c r="F112" s="25" t="n">
        <v>8</v>
      </c>
      <c r="G112" s="25" t="str">
        <f aca="false">IF(H112=0,"–",INDEX($A$105:$A$116,MATCH(LARGE($C$105:$C$116,F112),$C$105:$C$116,0)))</f>
        <v>Delhi</v>
      </c>
      <c r="H112" s="33" t="n">
        <f aca="false">IF(INDEX($B$105:$B$116,MATCH(LARGE($C$105:$C$116,F112),$C$105:$C$116,0))&lt;=0,0,INDEX($B$105:$B$116,MATCH(LARGE($C$105:$C$116,F112),$C$105:$C$116,0)))</f>
        <v>15.42368</v>
      </c>
    </row>
    <row r="113" customFormat="false" ht="15" hidden="false" customHeight="false" outlineLevel="0" collapsed="false">
      <c r="A113" s="25" t="s">
        <v>139</v>
      </c>
      <c r="B113" s="33" t="n">
        <f aca="false">SUMIFS(Orders!$K$2:$K$1201,Orders!$N$2:$N$1201,$B$7,Orders!$O$2:$O$1201,$B$3,Orders!$Q$2:$Q$1201,$B$5,Orders!$R$2:$R$1201,$B$4,Orders!$T$2:$T$1201,$A113)/$B$6</f>
        <v>17.010345</v>
      </c>
      <c r="C113" s="34" t="n">
        <f aca="false">B113+ROW()/1000000</f>
        <v>17.010458</v>
      </c>
    </row>
    <row r="114" customFormat="false" ht="15" hidden="false" customHeight="false" outlineLevel="0" collapsed="false">
      <c r="A114" s="25" t="s">
        <v>140</v>
      </c>
      <c r="B114" s="33" t="n">
        <f aca="false">SUMIFS(Orders!$K$2:$K$1201,Orders!$N$2:$N$1201,$B$7,Orders!$O$2:$O$1201,$B$3,Orders!$Q$2:$Q$1201,$B$5,Orders!$R$2:$R$1201,$B$4,Orders!$T$2:$T$1201,$A114)/$B$6</f>
        <v>15.711115</v>
      </c>
      <c r="C114" s="34" t="n">
        <f aca="false">B114+ROW()/1000000</f>
        <v>15.711229</v>
      </c>
    </row>
    <row r="115" customFormat="false" ht="15" hidden="false" customHeight="false" outlineLevel="0" collapsed="false">
      <c r="A115" s="25" t="s">
        <v>141</v>
      </c>
      <c r="B115" s="33" t="n">
        <f aca="false">SUMIFS(Orders!$K$2:$K$1201,Orders!$N$2:$N$1201,$B$7,Orders!$O$2:$O$1201,$B$3,Orders!$Q$2:$Q$1201,$B$5,Orders!$R$2:$R$1201,$B$4,Orders!$T$2:$T$1201,$A115)/$B$6</f>
        <v>14.31928</v>
      </c>
      <c r="C115" s="34" t="n">
        <f aca="false">B115+ROW()/1000000</f>
        <v>14.319395</v>
      </c>
    </row>
    <row r="116" customFormat="false" ht="15" hidden="false" customHeight="false" outlineLevel="0" collapsed="false">
      <c r="A116" s="25" t="s">
        <v>142</v>
      </c>
      <c r="B116" s="33" t="n">
        <f aca="false">SUMIFS(Orders!$K$2:$K$1201,Orders!$N$2:$N$1201,$B$7,Orders!$O$2:$O$1201,$B$3,Orders!$Q$2:$Q$1201,$B$5,Orders!$R$2:$R$1201,$B$4,Orders!$T$2:$T$1201,$A116)/$B$6</f>
        <v>22.24909</v>
      </c>
      <c r="C116" s="34" t="n">
        <f aca="false">B116+ROW()/1000000</f>
        <v>22.249206</v>
      </c>
    </row>
    <row r="118" customFormat="false" ht="15" hidden="false" customHeight="false" outlineLevel="0" collapsed="false">
      <c r="A118" s="28" t="s">
        <v>143</v>
      </c>
    </row>
    <row r="119" customFormat="false" ht="15" hidden="false" customHeight="false" outlineLevel="0" collapsed="false">
      <c r="A119" s="29" t="s">
        <v>144</v>
      </c>
      <c r="B119" s="29" t="s">
        <v>145</v>
      </c>
    </row>
    <row r="120" customFormat="false" ht="15" hidden="false" customHeight="false" outlineLevel="0" collapsed="false">
      <c r="A120" s="25" t="s">
        <v>66</v>
      </c>
      <c r="B120" s="30" t="n">
        <f aca="false">COUNTIFS(Orders!$N$2:$N$1201,$A120,Orders!$O$2:$O$1201,$B$3,Orders!$Q$2:$Q$1201,$B$5,Orders!$R$2:$R$1201,$B$4)</f>
        <v>1091</v>
      </c>
    </row>
    <row r="121" customFormat="false" ht="15" hidden="false" customHeight="false" outlineLevel="0" collapsed="false">
      <c r="A121" s="25" t="s">
        <v>146</v>
      </c>
      <c r="B121" s="30" t="n">
        <f aca="false">COUNTIFS(Orders!$N$2:$N$1201,$A121,Orders!$O$2:$O$1201,$B$3,Orders!$Q$2:$Q$1201,$B$5,Orders!$R$2:$R$1201,$B$4)</f>
        <v>75</v>
      </c>
    </row>
    <row r="122" customFormat="false" ht="15" hidden="false" customHeight="false" outlineLevel="0" collapsed="false">
      <c r="A122" s="25" t="s">
        <v>147</v>
      </c>
      <c r="B122" s="30" t="n">
        <f aca="false">COUNTIFS(Orders!$N$2:$N$1201,$A122,Orders!$O$2:$O$1201,$B$3,Orders!$Q$2:$Q$1201,$B$5,Orders!$R$2:$R$1201,$B$4)</f>
        <v>34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12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3" min="2" style="0" width="21"/>
    <col collapsed="false" customWidth="true" hidden="false" outlineLevel="0" max="4" min="4" style="0" width="13"/>
    <col collapsed="false" customWidth="true" hidden="false" outlineLevel="0" max="5" min="5" style="0" width="12"/>
    <col collapsed="false" customWidth="true" hidden="false" outlineLevel="0" max="6" min="6" style="0" width="15"/>
    <col collapsed="false" customWidth="true" hidden="false" outlineLevel="0" max="7" min="7" style="0" width="16"/>
    <col collapsed="false" customWidth="true" hidden="false" outlineLevel="0" max="8" min="8" style="0" width="12"/>
    <col collapsed="false" customWidth="true" hidden="false" outlineLevel="0" max="9" min="9" style="0" width="16"/>
    <col collapsed="false" customWidth="true" hidden="false" outlineLevel="0" max="10" min="10" style="0" width="14"/>
    <col collapsed="false" customWidth="true" hidden="false" outlineLevel="0" max="13" min="11" style="0" width="12"/>
    <col collapsed="false" customWidth="true" hidden="false" outlineLevel="0" max="20" min="14" style="0" width="14"/>
  </cols>
  <sheetData>
    <row r="1" customFormat="false" ht="15" hidden="false" customHeight="false" outlineLevel="0" collapsed="false">
      <c r="A1" s="35" t="s">
        <v>148</v>
      </c>
      <c r="B1" s="35" t="s">
        <v>149</v>
      </c>
      <c r="C1" s="35" t="s">
        <v>150</v>
      </c>
      <c r="D1" s="35" t="s">
        <v>151</v>
      </c>
      <c r="E1" s="35" t="s">
        <v>152</v>
      </c>
      <c r="F1" s="35" t="s">
        <v>153</v>
      </c>
      <c r="G1" s="35" t="s">
        <v>154</v>
      </c>
      <c r="H1" s="35" t="s">
        <v>155</v>
      </c>
      <c r="I1" s="35" t="s">
        <v>156</v>
      </c>
      <c r="J1" s="35" t="s">
        <v>157</v>
      </c>
      <c r="K1" s="35" t="s">
        <v>158</v>
      </c>
      <c r="L1" s="35" t="s">
        <v>159</v>
      </c>
      <c r="M1" s="35" t="s">
        <v>160</v>
      </c>
      <c r="N1" s="35" t="s">
        <v>161</v>
      </c>
      <c r="O1" s="36" t="s">
        <v>162</v>
      </c>
      <c r="P1" s="36" t="s">
        <v>163</v>
      </c>
      <c r="Q1" s="36" t="s">
        <v>164</v>
      </c>
      <c r="R1" s="36" t="s">
        <v>165</v>
      </c>
      <c r="S1" s="36" t="s">
        <v>166</v>
      </c>
      <c r="T1" s="36" t="s">
        <v>167</v>
      </c>
    </row>
    <row r="2" customFormat="false" ht="15" hidden="false" customHeight="false" outlineLevel="0" collapsed="false">
      <c r="A2" s="0" t="s">
        <v>168</v>
      </c>
      <c r="B2" s="37" t="n">
        <v>45585</v>
      </c>
      <c r="C2" s="37" t="n">
        <v>45587</v>
      </c>
      <c r="D2" s="38" t="s">
        <v>169</v>
      </c>
      <c r="E2" s="38" t="s">
        <v>117</v>
      </c>
      <c r="F2" s="38" t="s">
        <v>102</v>
      </c>
      <c r="G2" s="38" t="s">
        <v>170</v>
      </c>
      <c r="H2" s="0" t="n">
        <v>2</v>
      </c>
      <c r="I2" s="39" t="n">
        <v>6500</v>
      </c>
      <c r="J2" s="40" t="n">
        <v>0.15</v>
      </c>
      <c r="K2" s="39" t="n">
        <v>11050</v>
      </c>
      <c r="L2" s="39" t="n">
        <v>8400</v>
      </c>
      <c r="M2" s="39" t="n">
        <v>2650</v>
      </c>
      <c r="N2" s="38" t="s">
        <v>66</v>
      </c>
      <c r="O2" s="38" t="n">
        <f aca="false">YEAR(B2)</f>
        <v>2024</v>
      </c>
      <c r="P2" s="41" t="n">
        <f aca="false">DATE(YEAR(B2),MONTH(B2),1)</f>
        <v>45566</v>
      </c>
      <c r="Q2" s="0" t="str">
        <f aca="false">INDEX(Products!$C$2:$C$16,MATCH(E2,Products!$A$2:$A$16,0))</f>
        <v>Furniture</v>
      </c>
      <c r="R2" s="0" t="str">
        <f aca="false">INDEX(Customers!$F$2:$F$101,MATCH(D2,Customers!$A$2:$A$101,0))</f>
        <v>East</v>
      </c>
      <c r="S2" s="0" t="str">
        <f aca="false">INDEX(Customers!$C$2:$C$101,MATCH(D2,Customers!$A$2:$A$101,0))</f>
        <v>Small Business</v>
      </c>
      <c r="T2" s="0" t="str">
        <f aca="false">INDEX(Customers!$D$2:$D$101,MATCH(D2,Customers!$A$2:$A$101,0))</f>
        <v>Kolkata</v>
      </c>
    </row>
    <row r="3" customFormat="false" ht="15" hidden="false" customHeight="false" outlineLevel="0" collapsed="false">
      <c r="A3" s="0" t="s">
        <v>171</v>
      </c>
      <c r="B3" s="37" t="n">
        <v>45510</v>
      </c>
      <c r="C3" s="37" t="n">
        <v>45515</v>
      </c>
      <c r="D3" s="38" t="s">
        <v>172</v>
      </c>
      <c r="E3" s="38" t="s">
        <v>123</v>
      </c>
      <c r="F3" s="38" t="s">
        <v>102</v>
      </c>
      <c r="G3" s="38" t="s">
        <v>173</v>
      </c>
      <c r="H3" s="0" t="n">
        <v>2</v>
      </c>
      <c r="I3" s="39" t="n">
        <v>2200</v>
      </c>
      <c r="J3" s="40" t="n">
        <v>0.25</v>
      </c>
      <c r="K3" s="39" t="n">
        <v>3300</v>
      </c>
      <c r="L3" s="39" t="n">
        <v>2600</v>
      </c>
      <c r="M3" s="39" t="n">
        <v>700</v>
      </c>
      <c r="N3" s="38" t="s">
        <v>66</v>
      </c>
      <c r="O3" s="38" t="n">
        <f aca="false">YEAR(B3)</f>
        <v>2024</v>
      </c>
      <c r="P3" s="41" t="n">
        <f aca="false">DATE(YEAR(B3),MONTH(B3),1)</f>
        <v>45505</v>
      </c>
      <c r="Q3" s="0" t="str">
        <f aca="false">INDEX(Products!$C$2:$C$16,MATCH(E3,Products!$A$2:$A$16,0))</f>
        <v>Technology</v>
      </c>
      <c r="R3" s="0" t="str">
        <f aca="false">INDEX(Customers!$F$2:$F$101,MATCH(D3,Customers!$A$2:$A$101,0))</f>
        <v>East</v>
      </c>
      <c r="S3" s="0" t="str">
        <f aca="false">INDEX(Customers!$C$2:$C$101,MATCH(D3,Customers!$A$2:$A$101,0))</f>
        <v>Consumer</v>
      </c>
      <c r="T3" s="0" t="str">
        <f aca="false">INDEX(Customers!$D$2:$D$101,MATCH(D3,Customers!$A$2:$A$101,0))</f>
        <v>Bhubaneswar</v>
      </c>
    </row>
    <row r="4" customFormat="false" ht="15" hidden="false" customHeight="false" outlineLevel="0" collapsed="false">
      <c r="A4" s="0" t="s">
        <v>174</v>
      </c>
      <c r="B4" s="37" t="n">
        <v>45971</v>
      </c>
      <c r="C4" s="37" t="n">
        <v>45977</v>
      </c>
      <c r="D4" s="38" t="s">
        <v>175</v>
      </c>
      <c r="E4" s="38" t="s">
        <v>121</v>
      </c>
      <c r="F4" s="38" t="s">
        <v>100</v>
      </c>
      <c r="G4" s="38" t="s">
        <v>170</v>
      </c>
      <c r="H4" s="0" t="n">
        <v>3</v>
      </c>
      <c r="I4" s="39" t="n">
        <v>180</v>
      </c>
      <c r="J4" s="40" t="n">
        <v>0</v>
      </c>
      <c r="K4" s="39" t="n">
        <v>540</v>
      </c>
      <c r="L4" s="39" t="n">
        <v>210</v>
      </c>
      <c r="M4" s="39" t="n">
        <v>330</v>
      </c>
      <c r="N4" s="38" t="s">
        <v>66</v>
      </c>
      <c r="O4" s="38" t="n">
        <f aca="false">YEAR(B4)</f>
        <v>2025</v>
      </c>
      <c r="P4" s="41" t="n">
        <f aca="false">DATE(YEAR(B4),MONTH(B4),1)</f>
        <v>45962</v>
      </c>
      <c r="Q4" s="0" t="str">
        <f aca="false">INDEX(Products!$C$2:$C$16,MATCH(E4,Products!$A$2:$A$16,0))</f>
        <v>Office Supplies</v>
      </c>
      <c r="R4" s="0" t="str">
        <f aca="false">INDEX(Customers!$F$2:$F$101,MATCH(D4,Customers!$A$2:$A$101,0))</f>
        <v>North</v>
      </c>
      <c r="S4" s="0" t="str">
        <f aca="false">INDEX(Customers!$C$2:$C$101,MATCH(D4,Customers!$A$2:$A$101,0))</f>
        <v>Corporate</v>
      </c>
      <c r="T4" s="0" t="str">
        <f aca="false">INDEX(Customers!$D$2:$D$101,MATCH(D4,Customers!$A$2:$A$101,0))</f>
        <v>Jaipur</v>
      </c>
    </row>
    <row r="5" customFormat="false" ht="15" hidden="false" customHeight="false" outlineLevel="0" collapsed="false">
      <c r="A5" s="0" t="s">
        <v>176</v>
      </c>
      <c r="B5" s="37" t="n">
        <v>45317</v>
      </c>
      <c r="C5" s="37" t="n">
        <v>45318</v>
      </c>
      <c r="D5" s="38" t="s">
        <v>177</v>
      </c>
      <c r="E5" s="38" t="s">
        <v>115</v>
      </c>
      <c r="F5" s="38" t="s">
        <v>102</v>
      </c>
      <c r="G5" s="38" t="s">
        <v>178</v>
      </c>
      <c r="H5" s="0" t="n">
        <v>1</v>
      </c>
      <c r="I5" s="39" t="n">
        <v>1500</v>
      </c>
      <c r="J5" s="40" t="n">
        <v>0.1</v>
      </c>
      <c r="K5" s="39" t="n">
        <v>1350</v>
      </c>
      <c r="L5" s="39" t="n">
        <v>850</v>
      </c>
      <c r="M5" s="39" t="n">
        <v>500</v>
      </c>
      <c r="N5" s="38" t="s">
        <v>66</v>
      </c>
      <c r="O5" s="38" t="n">
        <f aca="false">YEAR(B5)</f>
        <v>2024</v>
      </c>
      <c r="P5" s="41" t="n">
        <f aca="false">DATE(YEAR(B5),MONTH(B5),1)</f>
        <v>45292</v>
      </c>
      <c r="Q5" s="0" t="str">
        <f aca="false">INDEX(Products!$C$2:$C$16,MATCH(E5,Products!$A$2:$A$16,0))</f>
        <v>Technology</v>
      </c>
      <c r="R5" s="0" t="str">
        <f aca="false">INDEX(Customers!$F$2:$F$101,MATCH(D5,Customers!$A$2:$A$101,0))</f>
        <v>North</v>
      </c>
      <c r="S5" s="0" t="str">
        <f aca="false">INDEX(Customers!$C$2:$C$101,MATCH(D5,Customers!$A$2:$A$101,0))</f>
        <v>Consumer</v>
      </c>
      <c r="T5" s="0" t="str">
        <f aca="false">INDEX(Customers!$D$2:$D$101,MATCH(D5,Customers!$A$2:$A$101,0))</f>
        <v>Gurugram</v>
      </c>
    </row>
    <row r="6" customFormat="false" ht="15" hidden="false" customHeight="false" outlineLevel="0" collapsed="false">
      <c r="A6" s="0" t="s">
        <v>179</v>
      </c>
      <c r="B6" s="37" t="n">
        <v>45491</v>
      </c>
      <c r="C6" s="37" t="n">
        <v>45497</v>
      </c>
      <c r="D6" s="38" t="s">
        <v>180</v>
      </c>
      <c r="E6" s="38" t="s">
        <v>122</v>
      </c>
      <c r="F6" s="38" t="s">
        <v>101</v>
      </c>
      <c r="G6" s="38" t="s">
        <v>173</v>
      </c>
      <c r="H6" s="0" t="n">
        <v>3</v>
      </c>
      <c r="I6" s="39" t="n">
        <v>5500</v>
      </c>
      <c r="J6" s="40" t="n">
        <v>0.1</v>
      </c>
      <c r="K6" s="39" t="n">
        <v>14850</v>
      </c>
      <c r="L6" s="39" t="n">
        <v>11100</v>
      </c>
      <c r="M6" s="39" t="n">
        <v>3750</v>
      </c>
      <c r="N6" s="38" t="s">
        <v>66</v>
      </c>
      <c r="O6" s="38" t="n">
        <f aca="false">YEAR(B6)</f>
        <v>2024</v>
      </c>
      <c r="P6" s="41" t="n">
        <f aca="false">DATE(YEAR(B6),MONTH(B6),1)</f>
        <v>45474</v>
      </c>
      <c r="Q6" s="0" t="str">
        <f aca="false">INDEX(Products!$C$2:$C$16,MATCH(E6,Products!$A$2:$A$16,0))</f>
        <v>Furniture</v>
      </c>
      <c r="R6" s="0" t="str">
        <f aca="false">INDEX(Customers!$F$2:$F$101,MATCH(D6,Customers!$A$2:$A$101,0))</f>
        <v>West</v>
      </c>
      <c r="S6" s="0" t="str">
        <f aca="false">INDEX(Customers!$C$2:$C$101,MATCH(D6,Customers!$A$2:$A$101,0))</f>
        <v>Corporate</v>
      </c>
      <c r="T6" s="0" t="str">
        <f aca="false">INDEX(Customers!$D$2:$D$101,MATCH(D6,Customers!$A$2:$A$101,0))</f>
        <v>Mumbai</v>
      </c>
    </row>
    <row r="7" customFormat="false" ht="15" hidden="false" customHeight="false" outlineLevel="0" collapsed="false">
      <c r="A7" s="0" t="s">
        <v>181</v>
      </c>
      <c r="B7" s="37" t="n">
        <v>46206</v>
      </c>
      <c r="C7" s="37" t="n">
        <v>46213</v>
      </c>
      <c r="D7" s="38" t="s">
        <v>182</v>
      </c>
      <c r="E7" s="38" t="s">
        <v>113</v>
      </c>
      <c r="F7" s="38" t="s">
        <v>101</v>
      </c>
      <c r="G7" s="38" t="s">
        <v>173</v>
      </c>
      <c r="H7" s="0" t="n">
        <v>5</v>
      </c>
      <c r="I7" s="39" t="n">
        <v>45000</v>
      </c>
      <c r="J7" s="40" t="n">
        <v>0</v>
      </c>
      <c r="K7" s="39" t="n">
        <v>225000</v>
      </c>
      <c r="L7" s="39" t="n">
        <v>180000</v>
      </c>
      <c r="M7" s="39" t="n">
        <v>45000</v>
      </c>
      <c r="N7" s="38" t="s">
        <v>66</v>
      </c>
      <c r="O7" s="38" t="n">
        <f aca="false">YEAR(B7)</f>
        <v>2026</v>
      </c>
      <c r="P7" s="41" t="n">
        <f aca="false">DATE(YEAR(B7),MONTH(B7),1)</f>
        <v>46204</v>
      </c>
      <c r="Q7" s="0" t="str">
        <f aca="false">INDEX(Products!$C$2:$C$16,MATCH(E7,Products!$A$2:$A$16,0))</f>
        <v>Technology</v>
      </c>
      <c r="R7" s="0" t="str">
        <f aca="false">INDEX(Customers!$F$2:$F$101,MATCH(D7,Customers!$A$2:$A$101,0))</f>
        <v>North</v>
      </c>
      <c r="S7" s="0" t="str">
        <f aca="false">INDEX(Customers!$C$2:$C$101,MATCH(D7,Customers!$A$2:$A$101,0))</f>
        <v>Small Business</v>
      </c>
      <c r="T7" s="0" t="str">
        <f aca="false">INDEX(Customers!$D$2:$D$101,MATCH(D7,Customers!$A$2:$A$101,0))</f>
        <v>Gurugram</v>
      </c>
    </row>
    <row r="8" customFormat="false" ht="15" hidden="false" customHeight="false" outlineLevel="0" collapsed="false">
      <c r="A8" s="0" t="s">
        <v>183</v>
      </c>
      <c r="B8" s="37" t="n">
        <v>45767</v>
      </c>
      <c r="C8" s="37" t="n">
        <v>45768</v>
      </c>
      <c r="D8" s="38" t="s">
        <v>184</v>
      </c>
      <c r="E8" s="38" t="s">
        <v>121</v>
      </c>
      <c r="F8" s="38" t="s">
        <v>100</v>
      </c>
      <c r="G8" s="38" t="s">
        <v>185</v>
      </c>
      <c r="H8" s="0" t="n">
        <v>3</v>
      </c>
      <c r="I8" s="39" t="n">
        <v>180</v>
      </c>
      <c r="J8" s="40" t="n">
        <v>0.25</v>
      </c>
      <c r="K8" s="39" t="n">
        <v>405</v>
      </c>
      <c r="L8" s="39" t="n">
        <v>210</v>
      </c>
      <c r="M8" s="39" t="n">
        <v>195</v>
      </c>
      <c r="N8" s="38" t="s">
        <v>66</v>
      </c>
      <c r="O8" s="38" t="n">
        <f aca="false">YEAR(B8)</f>
        <v>2025</v>
      </c>
      <c r="P8" s="41" t="n">
        <f aca="false">DATE(YEAR(B8),MONTH(B8),1)</f>
        <v>45748</v>
      </c>
      <c r="Q8" s="0" t="str">
        <f aca="false">INDEX(Products!$C$2:$C$16,MATCH(E8,Products!$A$2:$A$16,0))</f>
        <v>Office Supplies</v>
      </c>
      <c r="R8" s="0" t="str">
        <f aca="false">INDEX(Customers!$F$2:$F$101,MATCH(D8,Customers!$A$2:$A$101,0))</f>
        <v>West</v>
      </c>
      <c r="S8" s="0" t="str">
        <f aca="false">INDEX(Customers!$C$2:$C$101,MATCH(D8,Customers!$A$2:$A$101,0))</f>
        <v>Consumer</v>
      </c>
      <c r="T8" s="0" t="str">
        <f aca="false">INDEX(Customers!$D$2:$D$101,MATCH(D8,Customers!$A$2:$A$101,0))</f>
        <v>Ahmedabad</v>
      </c>
    </row>
    <row r="9" customFormat="false" ht="15" hidden="false" customHeight="false" outlineLevel="0" collapsed="false">
      <c r="A9" s="0" t="s">
        <v>186</v>
      </c>
      <c r="B9" s="37" t="n">
        <v>45835</v>
      </c>
      <c r="C9" s="37" t="n">
        <v>45840</v>
      </c>
      <c r="D9" s="38" t="s">
        <v>187</v>
      </c>
      <c r="E9" s="38" t="s">
        <v>123</v>
      </c>
      <c r="F9" s="38" t="s">
        <v>101</v>
      </c>
      <c r="G9" s="38" t="s">
        <v>188</v>
      </c>
      <c r="H9" s="0" t="n">
        <v>3</v>
      </c>
      <c r="I9" s="39" t="n">
        <v>2200</v>
      </c>
      <c r="J9" s="40" t="n">
        <v>0.25</v>
      </c>
      <c r="K9" s="39" t="n">
        <v>4950</v>
      </c>
      <c r="L9" s="39" t="n">
        <v>3900</v>
      </c>
      <c r="M9" s="39" t="n">
        <v>1050</v>
      </c>
      <c r="N9" s="38" t="s">
        <v>66</v>
      </c>
      <c r="O9" s="38" t="n">
        <f aca="false">YEAR(B9)</f>
        <v>2025</v>
      </c>
      <c r="P9" s="41" t="n">
        <f aca="false">DATE(YEAR(B9),MONTH(B9),1)</f>
        <v>45809</v>
      </c>
      <c r="Q9" s="0" t="str">
        <f aca="false">INDEX(Products!$C$2:$C$16,MATCH(E9,Products!$A$2:$A$16,0))</f>
        <v>Technology</v>
      </c>
      <c r="R9" s="0" t="str">
        <f aca="false">INDEX(Customers!$F$2:$F$101,MATCH(D9,Customers!$A$2:$A$101,0))</f>
        <v>South</v>
      </c>
      <c r="S9" s="0" t="str">
        <f aca="false">INDEX(Customers!$C$2:$C$101,MATCH(D9,Customers!$A$2:$A$101,0))</f>
        <v>Consumer</v>
      </c>
      <c r="T9" s="0" t="str">
        <f aca="false">INDEX(Customers!$D$2:$D$101,MATCH(D9,Customers!$A$2:$A$101,0))</f>
        <v>Bengaluru</v>
      </c>
    </row>
    <row r="10" customFormat="false" ht="15" hidden="false" customHeight="false" outlineLevel="0" collapsed="false">
      <c r="A10" s="0" t="s">
        <v>189</v>
      </c>
      <c r="B10" s="37" t="n">
        <v>46142</v>
      </c>
      <c r="C10" s="37" t="n">
        <v>46147</v>
      </c>
      <c r="D10" s="38" t="s">
        <v>190</v>
      </c>
      <c r="E10" s="38" t="s">
        <v>119</v>
      </c>
      <c r="F10" s="38" t="s">
        <v>102</v>
      </c>
      <c r="G10" s="38" t="s">
        <v>185</v>
      </c>
      <c r="H10" s="0" t="n">
        <v>2</v>
      </c>
      <c r="I10" s="39" t="n">
        <v>250</v>
      </c>
      <c r="J10" s="40" t="n">
        <v>0</v>
      </c>
      <c r="K10" s="39" t="n">
        <v>500</v>
      </c>
      <c r="L10" s="39" t="n">
        <v>240</v>
      </c>
      <c r="M10" s="39" t="n">
        <v>260</v>
      </c>
      <c r="N10" s="38" t="s">
        <v>66</v>
      </c>
      <c r="O10" s="38" t="n">
        <f aca="false">YEAR(B10)</f>
        <v>2026</v>
      </c>
      <c r="P10" s="41" t="n">
        <f aca="false">DATE(YEAR(B10),MONTH(B10),1)</f>
        <v>46113</v>
      </c>
      <c r="Q10" s="0" t="str">
        <f aca="false">INDEX(Products!$C$2:$C$16,MATCH(E10,Products!$A$2:$A$16,0))</f>
        <v>Office Supplies</v>
      </c>
      <c r="R10" s="0" t="str">
        <f aca="false">INDEX(Customers!$F$2:$F$101,MATCH(D10,Customers!$A$2:$A$101,0))</f>
        <v>East</v>
      </c>
      <c r="S10" s="0" t="str">
        <f aca="false">INDEX(Customers!$C$2:$C$101,MATCH(D10,Customers!$A$2:$A$101,0))</f>
        <v>Corporate</v>
      </c>
      <c r="T10" s="0" t="str">
        <f aca="false">INDEX(Customers!$D$2:$D$101,MATCH(D10,Customers!$A$2:$A$101,0))</f>
        <v>Kolkata</v>
      </c>
    </row>
    <row r="11" customFormat="false" ht="15" hidden="false" customHeight="false" outlineLevel="0" collapsed="false">
      <c r="A11" s="0" t="s">
        <v>191</v>
      </c>
      <c r="B11" s="37" t="n">
        <v>46152</v>
      </c>
      <c r="C11" s="37" t="n">
        <v>46158</v>
      </c>
      <c r="D11" s="38" t="s">
        <v>192</v>
      </c>
      <c r="E11" s="38" t="s">
        <v>116</v>
      </c>
      <c r="F11" s="38" t="s">
        <v>102</v>
      </c>
      <c r="G11" s="38" t="s">
        <v>185</v>
      </c>
      <c r="H11" s="0" t="n">
        <v>1</v>
      </c>
      <c r="I11" s="39" t="n">
        <v>12000</v>
      </c>
      <c r="J11" s="40" t="n">
        <v>0.25</v>
      </c>
      <c r="K11" s="39" t="n">
        <v>9000</v>
      </c>
      <c r="L11" s="39" t="n">
        <v>9000</v>
      </c>
      <c r="M11" s="39" t="n">
        <v>0</v>
      </c>
      <c r="N11" s="38" t="s">
        <v>66</v>
      </c>
      <c r="O11" s="38" t="n">
        <f aca="false">YEAR(B11)</f>
        <v>2026</v>
      </c>
      <c r="P11" s="41" t="n">
        <f aca="false">DATE(YEAR(B11),MONTH(B11),1)</f>
        <v>46143</v>
      </c>
      <c r="Q11" s="0" t="str">
        <f aca="false">INDEX(Products!$C$2:$C$16,MATCH(E11,Products!$A$2:$A$16,0))</f>
        <v>Technology</v>
      </c>
      <c r="R11" s="0" t="str">
        <f aca="false">INDEX(Customers!$F$2:$F$101,MATCH(D11,Customers!$A$2:$A$101,0))</f>
        <v>East</v>
      </c>
      <c r="S11" s="0" t="str">
        <f aca="false">INDEX(Customers!$C$2:$C$101,MATCH(D11,Customers!$A$2:$A$101,0))</f>
        <v>Small Business</v>
      </c>
      <c r="T11" s="0" t="str">
        <f aca="false">INDEX(Customers!$D$2:$D$101,MATCH(D11,Customers!$A$2:$A$101,0))</f>
        <v>Bhubaneswar</v>
      </c>
    </row>
    <row r="12" customFormat="false" ht="15" hidden="false" customHeight="false" outlineLevel="0" collapsed="false">
      <c r="A12" s="0" t="s">
        <v>193</v>
      </c>
      <c r="B12" s="37" t="n">
        <v>45371</v>
      </c>
      <c r="C12" s="37" t="n">
        <v>45377</v>
      </c>
      <c r="D12" s="38" t="s">
        <v>194</v>
      </c>
      <c r="E12" s="38" t="s">
        <v>120</v>
      </c>
      <c r="F12" s="38" t="s">
        <v>101</v>
      </c>
      <c r="G12" s="38" t="s">
        <v>170</v>
      </c>
      <c r="H12" s="0" t="n">
        <v>1</v>
      </c>
      <c r="I12" s="39" t="n">
        <v>400</v>
      </c>
      <c r="J12" s="40" t="n">
        <v>0.05</v>
      </c>
      <c r="K12" s="39" t="n">
        <v>380</v>
      </c>
      <c r="L12" s="39" t="n">
        <v>260</v>
      </c>
      <c r="M12" s="39" t="n">
        <v>120</v>
      </c>
      <c r="N12" s="38" t="s">
        <v>66</v>
      </c>
      <c r="O12" s="38" t="n">
        <f aca="false">YEAR(B12)</f>
        <v>2024</v>
      </c>
      <c r="P12" s="41" t="n">
        <f aca="false">DATE(YEAR(B12),MONTH(B12),1)</f>
        <v>45352</v>
      </c>
      <c r="Q12" s="0" t="str">
        <f aca="false">INDEX(Products!$C$2:$C$16,MATCH(E12,Products!$A$2:$A$16,0))</f>
        <v>Office Supplies</v>
      </c>
      <c r="R12" s="0" t="str">
        <f aca="false">INDEX(Customers!$F$2:$F$101,MATCH(D12,Customers!$A$2:$A$101,0))</f>
        <v>North</v>
      </c>
      <c r="S12" s="0" t="str">
        <f aca="false">INDEX(Customers!$C$2:$C$101,MATCH(D12,Customers!$A$2:$A$101,0))</f>
        <v>Small Business</v>
      </c>
      <c r="T12" s="0" t="str">
        <f aca="false">INDEX(Customers!$D$2:$D$101,MATCH(D12,Customers!$A$2:$A$101,0))</f>
        <v>Gurugram</v>
      </c>
    </row>
    <row r="13" customFormat="false" ht="15" hidden="false" customHeight="false" outlineLevel="0" collapsed="false">
      <c r="A13" s="0" t="s">
        <v>195</v>
      </c>
      <c r="B13" s="37" t="n">
        <v>45446</v>
      </c>
      <c r="C13" s="37" t="n">
        <v>45448</v>
      </c>
      <c r="D13" s="38" t="s">
        <v>196</v>
      </c>
      <c r="E13" s="38" t="s">
        <v>115</v>
      </c>
      <c r="F13" s="38" t="s">
        <v>102</v>
      </c>
      <c r="G13" s="38" t="s">
        <v>173</v>
      </c>
      <c r="H13" s="0" t="n">
        <v>2</v>
      </c>
      <c r="I13" s="39" t="n">
        <v>1500</v>
      </c>
      <c r="J13" s="40" t="n">
        <v>0</v>
      </c>
      <c r="K13" s="39" t="n">
        <v>3000</v>
      </c>
      <c r="L13" s="39" t="n">
        <v>1700</v>
      </c>
      <c r="M13" s="39" t="n">
        <v>1300</v>
      </c>
      <c r="N13" s="38" t="s">
        <v>66</v>
      </c>
      <c r="O13" s="38" t="n">
        <f aca="false">YEAR(B13)</f>
        <v>2024</v>
      </c>
      <c r="P13" s="41" t="n">
        <f aca="false">DATE(YEAR(B13),MONTH(B13),1)</f>
        <v>45444</v>
      </c>
      <c r="Q13" s="0" t="str">
        <f aca="false">INDEX(Products!$C$2:$C$16,MATCH(E13,Products!$A$2:$A$16,0))</f>
        <v>Technology</v>
      </c>
      <c r="R13" s="0" t="str">
        <f aca="false">INDEX(Customers!$F$2:$F$101,MATCH(D13,Customers!$A$2:$A$101,0))</f>
        <v>South</v>
      </c>
      <c r="S13" s="0" t="str">
        <f aca="false">INDEX(Customers!$C$2:$C$101,MATCH(D13,Customers!$A$2:$A$101,0))</f>
        <v>Consumer</v>
      </c>
      <c r="T13" s="0" t="str">
        <f aca="false">INDEX(Customers!$D$2:$D$101,MATCH(D13,Customers!$A$2:$A$101,0))</f>
        <v>Chennai</v>
      </c>
    </row>
    <row r="14" customFormat="false" ht="15" hidden="false" customHeight="false" outlineLevel="0" collapsed="false">
      <c r="A14" s="0" t="s">
        <v>197</v>
      </c>
      <c r="B14" s="37" t="n">
        <v>45847</v>
      </c>
      <c r="C14" s="37" t="n">
        <v>45851</v>
      </c>
      <c r="D14" s="38" t="s">
        <v>198</v>
      </c>
      <c r="E14" s="38" t="s">
        <v>118</v>
      </c>
      <c r="F14" s="38" t="s">
        <v>101</v>
      </c>
      <c r="G14" s="38" t="s">
        <v>185</v>
      </c>
      <c r="H14" s="0" t="n">
        <v>2</v>
      </c>
      <c r="I14" s="39" t="n">
        <v>9000</v>
      </c>
      <c r="J14" s="40" t="n">
        <v>0</v>
      </c>
      <c r="K14" s="39" t="n">
        <v>18000</v>
      </c>
      <c r="L14" s="39" t="n">
        <v>13000</v>
      </c>
      <c r="M14" s="39" t="n">
        <v>5000</v>
      </c>
      <c r="N14" s="38" t="s">
        <v>66</v>
      </c>
      <c r="O14" s="38" t="n">
        <f aca="false">YEAR(B14)</f>
        <v>2025</v>
      </c>
      <c r="P14" s="41" t="n">
        <f aca="false">DATE(YEAR(B14),MONTH(B14),1)</f>
        <v>45839</v>
      </c>
      <c r="Q14" s="0" t="str">
        <f aca="false">INDEX(Products!$C$2:$C$16,MATCH(E14,Products!$A$2:$A$16,0))</f>
        <v>Furniture</v>
      </c>
      <c r="R14" s="0" t="str">
        <f aca="false">INDEX(Customers!$F$2:$F$101,MATCH(D14,Customers!$A$2:$A$101,0))</f>
        <v>North</v>
      </c>
      <c r="S14" s="0" t="str">
        <f aca="false">INDEX(Customers!$C$2:$C$101,MATCH(D14,Customers!$A$2:$A$101,0))</f>
        <v>Consumer</v>
      </c>
      <c r="T14" s="0" t="str">
        <f aca="false">INDEX(Customers!$D$2:$D$101,MATCH(D14,Customers!$A$2:$A$101,0))</f>
        <v>Gurugram</v>
      </c>
    </row>
    <row r="15" customFormat="false" ht="15" hidden="false" customHeight="false" outlineLevel="0" collapsed="false">
      <c r="A15" s="0" t="s">
        <v>199</v>
      </c>
      <c r="B15" s="37" t="n">
        <v>45312</v>
      </c>
      <c r="C15" s="37" t="n">
        <v>45319</v>
      </c>
      <c r="D15" s="38" t="s">
        <v>200</v>
      </c>
      <c r="E15" s="38" t="s">
        <v>124</v>
      </c>
      <c r="F15" s="38" t="s">
        <v>101</v>
      </c>
      <c r="G15" s="38" t="s">
        <v>185</v>
      </c>
      <c r="H15" s="0" t="n">
        <v>5</v>
      </c>
      <c r="I15" s="39" t="n">
        <v>3000</v>
      </c>
      <c r="J15" s="40" t="n">
        <v>0.15</v>
      </c>
      <c r="K15" s="39" t="n">
        <v>12750</v>
      </c>
      <c r="L15" s="39" t="n">
        <v>9500</v>
      </c>
      <c r="M15" s="39" t="n">
        <v>3250</v>
      </c>
      <c r="N15" s="38" t="s">
        <v>66</v>
      </c>
      <c r="O15" s="38" t="n">
        <f aca="false">YEAR(B15)</f>
        <v>2024</v>
      </c>
      <c r="P15" s="41" t="n">
        <f aca="false">DATE(YEAR(B15),MONTH(B15),1)</f>
        <v>45292</v>
      </c>
      <c r="Q15" s="0" t="str">
        <f aca="false">INDEX(Products!$C$2:$C$16,MATCH(E15,Products!$A$2:$A$16,0))</f>
        <v>Technology</v>
      </c>
      <c r="R15" s="0" t="str">
        <f aca="false">INDEX(Customers!$F$2:$F$101,MATCH(D15,Customers!$A$2:$A$101,0))</f>
        <v>West</v>
      </c>
      <c r="S15" s="0" t="str">
        <f aca="false">INDEX(Customers!$C$2:$C$101,MATCH(D15,Customers!$A$2:$A$101,0))</f>
        <v>Corporate</v>
      </c>
      <c r="T15" s="0" t="str">
        <f aca="false">INDEX(Customers!$D$2:$D$101,MATCH(D15,Customers!$A$2:$A$101,0))</f>
        <v>Mumbai</v>
      </c>
    </row>
    <row r="16" customFormat="false" ht="15" hidden="false" customHeight="false" outlineLevel="0" collapsed="false">
      <c r="A16" s="0" t="s">
        <v>201</v>
      </c>
      <c r="B16" s="37" t="n">
        <v>46063</v>
      </c>
      <c r="C16" s="37" t="n">
        <v>46067</v>
      </c>
      <c r="D16" s="38" t="s">
        <v>202</v>
      </c>
      <c r="E16" s="38" t="s">
        <v>117</v>
      </c>
      <c r="F16" s="38" t="s">
        <v>101</v>
      </c>
      <c r="G16" s="38" t="s">
        <v>188</v>
      </c>
      <c r="H16" s="0" t="n">
        <v>5</v>
      </c>
      <c r="I16" s="39" t="n">
        <v>6500</v>
      </c>
      <c r="J16" s="40" t="n">
        <v>0.25</v>
      </c>
      <c r="K16" s="39" t="n">
        <v>24375</v>
      </c>
      <c r="L16" s="39" t="n">
        <v>21000</v>
      </c>
      <c r="M16" s="39" t="n">
        <v>3375</v>
      </c>
      <c r="N16" s="38" t="s">
        <v>66</v>
      </c>
      <c r="O16" s="38" t="n">
        <f aca="false">YEAR(B16)</f>
        <v>2026</v>
      </c>
      <c r="P16" s="41" t="n">
        <f aca="false">DATE(YEAR(B16),MONTH(B16),1)</f>
        <v>46054</v>
      </c>
      <c r="Q16" s="0" t="str">
        <f aca="false">INDEX(Products!$C$2:$C$16,MATCH(E16,Products!$A$2:$A$16,0))</f>
        <v>Furniture</v>
      </c>
      <c r="R16" s="0" t="str">
        <f aca="false">INDEX(Customers!$F$2:$F$101,MATCH(D16,Customers!$A$2:$A$101,0))</f>
        <v>South</v>
      </c>
      <c r="S16" s="0" t="str">
        <f aca="false">INDEX(Customers!$C$2:$C$101,MATCH(D16,Customers!$A$2:$A$101,0))</f>
        <v>Corporate</v>
      </c>
      <c r="T16" s="0" t="str">
        <f aca="false">INDEX(Customers!$D$2:$D$101,MATCH(D16,Customers!$A$2:$A$101,0))</f>
        <v>Hyderabad</v>
      </c>
    </row>
    <row r="17" customFormat="false" ht="15" hidden="false" customHeight="false" outlineLevel="0" collapsed="false">
      <c r="A17" s="0" t="s">
        <v>203</v>
      </c>
      <c r="B17" s="37" t="n">
        <v>45909</v>
      </c>
      <c r="C17" s="37" t="n">
        <v>45911</v>
      </c>
      <c r="D17" s="38" t="s">
        <v>204</v>
      </c>
      <c r="E17" s="38" t="s">
        <v>125</v>
      </c>
      <c r="F17" s="38" t="s">
        <v>101</v>
      </c>
      <c r="G17" s="38" t="s">
        <v>185</v>
      </c>
      <c r="H17" s="0" t="n">
        <v>2</v>
      </c>
      <c r="I17" s="39" t="n">
        <v>600</v>
      </c>
      <c r="J17" s="40" t="n">
        <v>0.05</v>
      </c>
      <c r="K17" s="39" t="n">
        <v>1140</v>
      </c>
      <c r="L17" s="39" t="n">
        <v>700</v>
      </c>
      <c r="M17" s="39" t="n">
        <v>440</v>
      </c>
      <c r="N17" s="38" t="s">
        <v>66</v>
      </c>
      <c r="O17" s="38" t="n">
        <f aca="false">YEAR(B17)</f>
        <v>2025</v>
      </c>
      <c r="P17" s="41" t="n">
        <f aca="false">DATE(YEAR(B17),MONTH(B17),1)</f>
        <v>45901</v>
      </c>
      <c r="Q17" s="0" t="str">
        <f aca="false">INDEX(Products!$C$2:$C$16,MATCH(E17,Products!$A$2:$A$16,0))</f>
        <v>Office Supplies</v>
      </c>
      <c r="R17" s="0" t="str">
        <f aca="false">INDEX(Customers!$F$2:$F$101,MATCH(D17,Customers!$A$2:$A$101,0))</f>
        <v>South</v>
      </c>
      <c r="S17" s="0" t="str">
        <f aca="false">INDEX(Customers!$C$2:$C$101,MATCH(D17,Customers!$A$2:$A$101,0))</f>
        <v>Small Business</v>
      </c>
      <c r="T17" s="0" t="str">
        <f aca="false">INDEX(Customers!$D$2:$D$101,MATCH(D17,Customers!$A$2:$A$101,0))</f>
        <v>Bengaluru</v>
      </c>
    </row>
    <row r="18" customFormat="false" ht="15" hidden="false" customHeight="false" outlineLevel="0" collapsed="false">
      <c r="A18" s="0" t="s">
        <v>205</v>
      </c>
      <c r="B18" s="37" t="n">
        <v>45987</v>
      </c>
      <c r="C18" s="37" t="n">
        <v>45994</v>
      </c>
      <c r="D18" s="38" t="s">
        <v>206</v>
      </c>
      <c r="E18" s="38" t="s">
        <v>123</v>
      </c>
      <c r="F18" s="38" t="s">
        <v>101</v>
      </c>
      <c r="G18" s="38" t="s">
        <v>173</v>
      </c>
      <c r="H18" s="0" t="n">
        <v>2</v>
      </c>
      <c r="I18" s="39" t="n">
        <v>2200</v>
      </c>
      <c r="J18" s="40" t="n">
        <v>0</v>
      </c>
      <c r="K18" s="39" t="n">
        <v>4400</v>
      </c>
      <c r="L18" s="39" t="n">
        <v>2600</v>
      </c>
      <c r="M18" s="39" t="n">
        <v>1800</v>
      </c>
      <c r="N18" s="38" t="s">
        <v>147</v>
      </c>
      <c r="O18" s="38" t="n">
        <f aca="false">YEAR(B18)</f>
        <v>2025</v>
      </c>
      <c r="P18" s="41" t="n">
        <f aca="false">DATE(YEAR(B18),MONTH(B18),1)</f>
        <v>45962</v>
      </c>
      <c r="Q18" s="0" t="str">
        <f aca="false">INDEX(Products!$C$2:$C$16,MATCH(E18,Products!$A$2:$A$16,0))</f>
        <v>Technology</v>
      </c>
      <c r="R18" s="0" t="str">
        <f aca="false">INDEX(Customers!$F$2:$F$101,MATCH(D18,Customers!$A$2:$A$101,0))</f>
        <v>West</v>
      </c>
      <c r="S18" s="0" t="str">
        <f aca="false">INDEX(Customers!$C$2:$C$101,MATCH(D18,Customers!$A$2:$A$101,0))</f>
        <v>Corporate</v>
      </c>
      <c r="T18" s="0" t="str">
        <f aca="false">INDEX(Customers!$D$2:$D$101,MATCH(D18,Customers!$A$2:$A$101,0))</f>
        <v>Pune</v>
      </c>
    </row>
    <row r="19" customFormat="false" ht="15" hidden="false" customHeight="false" outlineLevel="0" collapsed="false">
      <c r="A19" s="0" t="s">
        <v>207</v>
      </c>
      <c r="B19" s="37" t="n">
        <v>46220</v>
      </c>
      <c r="C19" s="37" t="n">
        <v>46224</v>
      </c>
      <c r="D19" s="38" t="s">
        <v>208</v>
      </c>
      <c r="E19" s="38" t="s">
        <v>113</v>
      </c>
      <c r="F19" s="38" t="s">
        <v>100</v>
      </c>
      <c r="G19" s="38" t="s">
        <v>178</v>
      </c>
      <c r="H19" s="0" t="n">
        <v>3</v>
      </c>
      <c r="I19" s="39" t="n">
        <v>45000</v>
      </c>
      <c r="J19" s="40" t="n">
        <v>0.2</v>
      </c>
      <c r="K19" s="39" t="n">
        <v>108000</v>
      </c>
      <c r="L19" s="39" t="n">
        <v>108000</v>
      </c>
      <c r="M19" s="39" t="n">
        <v>0</v>
      </c>
      <c r="N19" s="38" t="s">
        <v>66</v>
      </c>
      <c r="O19" s="38" t="n">
        <f aca="false">YEAR(B19)</f>
        <v>2026</v>
      </c>
      <c r="P19" s="41" t="n">
        <f aca="false">DATE(YEAR(B19),MONTH(B19),1)</f>
        <v>46204</v>
      </c>
      <c r="Q19" s="0" t="str">
        <f aca="false">INDEX(Products!$C$2:$C$16,MATCH(E19,Products!$A$2:$A$16,0))</f>
        <v>Technology</v>
      </c>
      <c r="R19" s="0" t="str">
        <f aca="false">INDEX(Customers!$F$2:$F$101,MATCH(D19,Customers!$A$2:$A$101,0))</f>
        <v>North</v>
      </c>
      <c r="S19" s="0" t="str">
        <f aca="false">INDEX(Customers!$C$2:$C$101,MATCH(D19,Customers!$A$2:$A$101,0))</f>
        <v>Corporate</v>
      </c>
      <c r="T19" s="0" t="str">
        <f aca="false">INDEX(Customers!$D$2:$D$101,MATCH(D19,Customers!$A$2:$A$101,0))</f>
        <v>Gurugram</v>
      </c>
    </row>
    <row r="20" customFormat="false" ht="15" hidden="false" customHeight="false" outlineLevel="0" collapsed="false">
      <c r="A20" s="0" t="s">
        <v>209</v>
      </c>
      <c r="B20" s="37" t="n">
        <v>45764</v>
      </c>
      <c r="C20" s="37" t="n">
        <v>45766</v>
      </c>
      <c r="D20" s="38" t="s">
        <v>210</v>
      </c>
      <c r="E20" s="38" t="s">
        <v>126</v>
      </c>
      <c r="F20" s="38" t="s">
        <v>101</v>
      </c>
      <c r="G20" s="38" t="s">
        <v>173</v>
      </c>
      <c r="H20" s="0" t="n">
        <v>1</v>
      </c>
      <c r="I20" s="39" t="n">
        <v>1200</v>
      </c>
      <c r="J20" s="40" t="n">
        <v>0.1</v>
      </c>
      <c r="K20" s="39" t="n">
        <v>1080</v>
      </c>
      <c r="L20" s="39" t="n">
        <v>700</v>
      </c>
      <c r="M20" s="39" t="n">
        <v>380</v>
      </c>
      <c r="N20" s="38" t="s">
        <v>66</v>
      </c>
      <c r="O20" s="38" t="n">
        <f aca="false">YEAR(B20)</f>
        <v>2025</v>
      </c>
      <c r="P20" s="41" t="n">
        <f aca="false">DATE(YEAR(B20),MONTH(B20),1)</f>
        <v>45748</v>
      </c>
      <c r="Q20" s="0" t="str">
        <f aca="false">INDEX(Products!$C$2:$C$16,MATCH(E20,Products!$A$2:$A$16,0))</f>
        <v>Furniture</v>
      </c>
      <c r="R20" s="0" t="str">
        <f aca="false">INDEX(Customers!$F$2:$F$101,MATCH(D20,Customers!$A$2:$A$101,0))</f>
        <v>North</v>
      </c>
      <c r="S20" s="0" t="str">
        <f aca="false">INDEX(Customers!$C$2:$C$101,MATCH(D20,Customers!$A$2:$A$101,0))</f>
        <v>Corporate</v>
      </c>
      <c r="T20" s="0" t="str">
        <f aca="false">INDEX(Customers!$D$2:$D$101,MATCH(D20,Customers!$A$2:$A$101,0))</f>
        <v>Jaipur</v>
      </c>
    </row>
    <row r="21" customFormat="false" ht="15" hidden="false" customHeight="false" outlineLevel="0" collapsed="false">
      <c r="A21" s="0" t="s">
        <v>211</v>
      </c>
      <c r="B21" s="37" t="n">
        <v>46192</v>
      </c>
      <c r="C21" s="37" t="n">
        <v>46196</v>
      </c>
      <c r="D21" s="38" t="s">
        <v>206</v>
      </c>
      <c r="E21" s="38" t="s">
        <v>125</v>
      </c>
      <c r="F21" s="38" t="s">
        <v>101</v>
      </c>
      <c r="G21" s="38" t="s">
        <v>170</v>
      </c>
      <c r="H21" s="0" t="n">
        <v>1</v>
      </c>
      <c r="I21" s="39" t="n">
        <v>600</v>
      </c>
      <c r="J21" s="40" t="n">
        <v>0.25</v>
      </c>
      <c r="K21" s="39" t="n">
        <v>450</v>
      </c>
      <c r="L21" s="39" t="n">
        <v>350</v>
      </c>
      <c r="M21" s="39" t="n">
        <v>100</v>
      </c>
      <c r="N21" s="38" t="s">
        <v>66</v>
      </c>
      <c r="O21" s="38" t="n">
        <f aca="false">YEAR(B21)</f>
        <v>2026</v>
      </c>
      <c r="P21" s="41" t="n">
        <f aca="false">DATE(YEAR(B21),MONTH(B21),1)</f>
        <v>46174</v>
      </c>
      <c r="Q21" s="0" t="str">
        <f aca="false">INDEX(Products!$C$2:$C$16,MATCH(E21,Products!$A$2:$A$16,0))</f>
        <v>Office Supplies</v>
      </c>
      <c r="R21" s="0" t="str">
        <f aca="false">INDEX(Customers!$F$2:$F$101,MATCH(D21,Customers!$A$2:$A$101,0))</f>
        <v>West</v>
      </c>
      <c r="S21" s="0" t="str">
        <f aca="false">INDEX(Customers!$C$2:$C$101,MATCH(D21,Customers!$A$2:$A$101,0))</f>
        <v>Corporate</v>
      </c>
      <c r="T21" s="0" t="str">
        <f aca="false">INDEX(Customers!$D$2:$D$101,MATCH(D21,Customers!$A$2:$A$101,0))</f>
        <v>Pune</v>
      </c>
    </row>
    <row r="22" customFormat="false" ht="15" hidden="false" customHeight="false" outlineLevel="0" collapsed="false">
      <c r="A22" s="0" t="s">
        <v>212</v>
      </c>
      <c r="B22" s="37" t="n">
        <v>46059</v>
      </c>
      <c r="C22" s="37" t="n">
        <v>46064</v>
      </c>
      <c r="D22" s="38" t="s">
        <v>213</v>
      </c>
      <c r="E22" s="38" t="s">
        <v>113</v>
      </c>
      <c r="F22" s="38" t="s">
        <v>100</v>
      </c>
      <c r="G22" s="38" t="s">
        <v>178</v>
      </c>
      <c r="H22" s="0" t="n">
        <v>1</v>
      </c>
      <c r="I22" s="39" t="n">
        <v>45000</v>
      </c>
      <c r="J22" s="40" t="n">
        <v>0.05</v>
      </c>
      <c r="K22" s="39" t="n">
        <v>42750</v>
      </c>
      <c r="L22" s="39" t="n">
        <v>36000</v>
      </c>
      <c r="M22" s="39" t="n">
        <v>6750</v>
      </c>
      <c r="N22" s="38" t="s">
        <v>66</v>
      </c>
      <c r="O22" s="38" t="n">
        <f aca="false">YEAR(B22)</f>
        <v>2026</v>
      </c>
      <c r="P22" s="41" t="n">
        <f aca="false">DATE(YEAR(B22),MONTH(B22),1)</f>
        <v>46054</v>
      </c>
      <c r="Q22" s="0" t="str">
        <f aca="false">INDEX(Products!$C$2:$C$16,MATCH(E22,Products!$A$2:$A$16,0))</f>
        <v>Technology</v>
      </c>
      <c r="R22" s="0" t="str">
        <f aca="false">INDEX(Customers!$F$2:$F$101,MATCH(D22,Customers!$A$2:$A$101,0))</f>
        <v>North</v>
      </c>
      <c r="S22" s="0" t="str">
        <f aca="false">INDEX(Customers!$C$2:$C$101,MATCH(D22,Customers!$A$2:$A$101,0))</f>
        <v>Small Business</v>
      </c>
      <c r="T22" s="0" t="str">
        <f aca="false">INDEX(Customers!$D$2:$D$101,MATCH(D22,Customers!$A$2:$A$101,0))</f>
        <v>Gurugram</v>
      </c>
    </row>
    <row r="23" customFormat="false" ht="15" hidden="false" customHeight="false" outlineLevel="0" collapsed="false">
      <c r="A23" s="0" t="s">
        <v>214</v>
      </c>
      <c r="B23" s="37" t="n">
        <v>46064</v>
      </c>
      <c r="C23" s="37" t="n">
        <v>46065</v>
      </c>
      <c r="D23" s="38" t="s">
        <v>215</v>
      </c>
      <c r="E23" s="38" t="s">
        <v>113</v>
      </c>
      <c r="F23" s="38" t="s">
        <v>100</v>
      </c>
      <c r="G23" s="38" t="s">
        <v>188</v>
      </c>
      <c r="H23" s="0" t="n">
        <v>8</v>
      </c>
      <c r="I23" s="39" t="n">
        <v>45000</v>
      </c>
      <c r="J23" s="40" t="n">
        <v>0</v>
      </c>
      <c r="K23" s="39" t="n">
        <v>360000</v>
      </c>
      <c r="L23" s="39" t="n">
        <v>288000</v>
      </c>
      <c r="M23" s="39" t="n">
        <v>72000</v>
      </c>
      <c r="N23" s="38" t="s">
        <v>66</v>
      </c>
      <c r="O23" s="38" t="n">
        <f aca="false">YEAR(B23)</f>
        <v>2026</v>
      </c>
      <c r="P23" s="41" t="n">
        <f aca="false">DATE(YEAR(B23),MONTH(B23),1)</f>
        <v>46054</v>
      </c>
      <c r="Q23" s="0" t="str">
        <f aca="false">INDEX(Products!$C$2:$C$16,MATCH(E23,Products!$A$2:$A$16,0))</f>
        <v>Technology</v>
      </c>
      <c r="R23" s="0" t="str">
        <f aca="false">INDEX(Customers!$F$2:$F$101,MATCH(D23,Customers!$A$2:$A$101,0))</f>
        <v>North</v>
      </c>
      <c r="S23" s="0" t="str">
        <f aca="false">INDEX(Customers!$C$2:$C$101,MATCH(D23,Customers!$A$2:$A$101,0))</f>
        <v>Consumer</v>
      </c>
      <c r="T23" s="0" t="str">
        <f aca="false">INDEX(Customers!$D$2:$D$101,MATCH(D23,Customers!$A$2:$A$101,0))</f>
        <v>Jaipur</v>
      </c>
    </row>
    <row r="24" customFormat="false" ht="15" hidden="false" customHeight="false" outlineLevel="0" collapsed="false">
      <c r="A24" s="0" t="s">
        <v>216</v>
      </c>
      <c r="B24" s="37" t="n">
        <v>45977</v>
      </c>
      <c r="C24" s="37" t="n">
        <v>45978</v>
      </c>
      <c r="D24" s="38" t="s">
        <v>217</v>
      </c>
      <c r="E24" s="38" t="s">
        <v>120</v>
      </c>
      <c r="F24" s="38" t="s">
        <v>101</v>
      </c>
      <c r="G24" s="38" t="s">
        <v>170</v>
      </c>
      <c r="H24" s="0" t="n">
        <v>3</v>
      </c>
      <c r="I24" s="39" t="n">
        <v>400</v>
      </c>
      <c r="J24" s="40" t="n">
        <v>0</v>
      </c>
      <c r="K24" s="39" t="n">
        <v>1200</v>
      </c>
      <c r="L24" s="39" t="n">
        <v>780</v>
      </c>
      <c r="M24" s="39" t="n">
        <v>420</v>
      </c>
      <c r="N24" s="38" t="s">
        <v>66</v>
      </c>
      <c r="O24" s="38" t="n">
        <f aca="false">YEAR(B24)</f>
        <v>2025</v>
      </c>
      <c r="P24" s="41" t="n">
        <f aca="false">DATE(YEAR(B24),MONTH(B24),1)</f>
        <v>45962</v>
      </c>
      <c r="Q24" s="0" t="str">
        <f aca="false">INDEX(Products!$C$2:$C$16,MATCH(E24,Products!$A$2:$A$16,0))</f>
        <v>Office Supplies</v>
      </c>
      <c r="R24" s="0" t="str">
        <f aca="false">INDEX(Customers!$F$2:$F$101,MATCH(D24,Customers!$A$2:$A$101,0))</f>
        <v>East</v>
      </c>
      <c r="S24" s="0" t="str">
        <f aca="false">INDEX(Customers!$C$2:$C$101,MATCH(D24,Customers!$A$2:$A$101,0))</f>
        <v>Small Business</v>
      </c>
      <c r="T24" s="0" t="str">
        <f aca="false">INDEX(Customers!$D$2:$D$101,MATCH(D24,Customers!$A$2:$A$101,0))</f>
        <v>Kolkata</v>
      </c>
    </row>
    <row r="25" customFormat="false" ht="15" hidden="false" customHeight="false" outlineLevel="0" collapsed="false">
      <c r="A25" s="0" t="s">
        <v>218</v>
      </c>
      <c r="B25" s="37" t="n">
        <v>45913</v>
      </c>
      <c r="C25" s="37" t="n">
        <v>45919</v>
      </c>
      <c r="D25" s="38" t="s">
        <v>219</v>
      </c>
      <c r="E25" s="38" t="s">
        <v>122</v>
      </c>
      <c r="F25" s="38" t="s">
        <v>100</v>
      </c>
      <c r="G25" s="38" t="s">
        <v>170</v>
      </c>
      <c r="H25" s="0" t="n">
        <v>4</v>
      </c>
      <c r="I25" s="39" t="n">
        <v>5500</v>
      </c>
      <c r="J25" s="40" t="n">
        <v>0.25</v>
      </c>
      <c r="K25" s="39" t="n">
        <v>16500</v>
      </c>
      <c r="L25" s="39" t="n">
        <v>14800</v>
      </c>
      <c r="M25" s="39" t="n">
        <v>1700</v>
      </c>
      <c r="N25" s="38" t="s">
        <v>66</v>
      </c>
      <c r="O25" s="38" t="n">
        <f aca="false">YEAR(B25)</f>
        <v>2025</v>
      </c>
      <c r="P25" s="41" t="n">
        <f aca="false">DATE(YEAR(B25),MONTH(B25),1)</f>
        <v>45901</v>
      </c>
      <c r="Q25" s="0" t="str">
        <f aca="false">INDEX(Products!$C$2:$C$16,MATCH(E25,Products!$A$2:$A$16,0))</f>
        <v>Furniture</v>
      </c>
      <c r="R25" s="0" t="str">
        <f aca="false">INDEX(Customers!$F$2:$F$101,MATCH(D25,Customers!$A$2:$A$101,0))</f>
        <v>North</v>
      </c>
      <c r="S25" s="0" t="str">
        <f aca="false">INDEX(Customers!$C$2:$C$101,MATCH(D25,Customers!$A$2:$A$101,0))</f>
        <v>Small Business</v>
      </c>
      <c r="T25" s="0" t="str">
        <f aca="false">INDEX(Customers!$D$2:$D$101,MATCH(D25,Customers!$A$2:$A$101,0))</f>
        <v>Lucknow</v>
      </c>
    </row>
    <row r="26" customFormat="false" ht="15" hidden="false" customHeight="false" outlineLevel="0" collapsed="false">
      <c r="A26" s="0" t="s">
        <v>220</v>
      </c>
      <c r="B26" s="37" t="n">
        <v>45611</v>
      </c>
      <c r="C26" s="37" t="n">
        <v>45616</v>
      </c>
      <c r="D26" s="38" t="s">
        <v>221</v>
      </c>
      <c r="E26" s="38" t="s">
        <v>127</v>
      </c>
      <c r="F26" s="38" t="s">
        <v>101</v>
      </c>
      <c r="G26" s="38" t="s">
        <v>173</v>
      </c>
      <c r="H26" s="0" t="n">
        <v>3</v>
      </c>
      <c r="I26" s="39" t="n">
        <v>18000</v>
      </c>
      <c r="J26" s="40" t="n">
        <v>0.1</v>
      </c>
      <c r="K26" s="39" t="n">
        <v>48600</v>
      </c>
      <c r="L26" s="39" t="n">
        <v>42000</v>
      </c>
      <c r="M26" s="39" t="n">
        <v>6600</v>
      </c>
      <c r="N26" s="38" t="s">
        <v>66</v>
      </c>
      <c r="O26" s="38" t="n">
        <f aca="false">YEAR(B26)</f>
        <v>2024</v>
      </c>
      <c r="P26" s="41" t="n">
        <f aca="false">DATE(YEAR(B26),MONTH(B26),1)</f>
        <v>45597</v>
      </c>
      <c r="Q26" s="0" t="str">
        <f aca="false">INDEX(Products!$C$2:$C$16,MATCH(E26,Products!$A$2:$A$16,0))</f>
        <v>Technology</v>
      </c>
      <c r="R26" s="0" t="str">
        <f aca="false">INDEX(Customers!$F$2:$F$101,MATCH(D26,Customers!$A$2:$A$101,0))</f>
        <v>North</v>
      </c>
      <c r="S26" s="0" t="str">
        <f aca="false">INDEX(Customers!$C$2:$C$101,MATCH(D26,Customers!$A$2:$A$101,0))</f>
        <v>Consumer</v>
      </c>
      <c r="T26" s="0" t="str">
        <f aca="false">INDEX(Customers!$D$2:$D$101,MATCH(D26,Customers!$A$2:$A$101,0))</f>
        <v>Delhi</v>
      </c>
    </row>
    <row r="27" customFormat="false" ht="15" hidden="false" customHeight="false" outlineLevel="0" collapsed="false">
      <c r="A27" s="0" t="s">
        <v>222</v>
      </c>
      <c r="B27" s="37" t="n">
        <v>45934</v>
      </c>
      <c r="C27" s="37" t="n">
        <v>45936</v>
      </c>
      <c r="D27" s="38" t="s">
        <v>182</v>
      </c>
      <c r="E27" s="38" t="s">
        <v>126</v>
      </c>
      <c r="F27" s="38" t="s">
        <v>101</v>
      </c>
      <c r="G27" s="38" t="s">
        <v>188</v>
      </c>
      <c r="H27" s="0" t="n">
        <v>1</v>
      </c>
      <c r="I27" s="39" t="n">
        <v>1200</v>
      </c>
      <c r="J27" s="40" t="n">
        <v>0.25</v>
      </c>
      <c r="K27" s="39" t="n">
        <v>900</v>
      </c>
      <c r="L27" s="39" t="n">
        <v>700</v>
      </c>
      <c r="M27" s="39" t="n">
        <v>200</v>
      </c>
      <c r="N27" s="38" t="s">
        <v>66</v>
      </c>
      <c r="O27" s="38" t="n">
        <f aca="false">YEAR(B27)</f>
        <v>2025</v>
      </c>
      <c r="P27" s="41" t="n">
        <f aca="false">DATE(YEAR(B27),MONTH(B27),1)</f>
        <v>45931</v>
      </c>
      <c r="Q27" s="0" t="str">
        <f aca="false">INDEX(Products!$C$2:$C$16,MATCH(E27,Products!$A$2:$A$16,0))</f>
        <v>Furniture</v>
      </c>
      <c r="R27" s="0" t="str">
        <f aca="false">INDEX(Customers!$F$2:$F$101,MATCH(D27,Customers!$A$2:$A$101,0))</f>
        <v>North</v>
      </c>
      <c r="S27" s="0" t="str">
        <f aca="false">INDEX(Customers!$C$2:$C$101,MATCH(D27,Customers!$A$2:$A$101,0))</f>
        <v>Small Business</v>
      </c>
      <c r="T27" s="0" t="str">
        <f aca="false">INDEX(Customers!$D$2:$D$101,MATCH(D27,Customers!$A$2:$A$101,0))</f>
        <v>Gurugram</v>
      </c>
    </row>
    <row r="28" customFormat="false" ht="15" hidden="false" customHeight="false" outlineLevel="0" collapsed="false">
      <c r="A28" s="0" t="s">
        <v>223</v>
      </c>
      <c r="B28" s="37" t="n">
        <v>45334</v>
      </c>
      <c r="C28" s="37" t="n">
        <v>45337</v>
      </c>
      <c r="D28" s="38" t="s">
        <v>224</v>
      </c>
      <c r="E28" s="38" t="s">
        <v>125</v>
      </c>
      <c r="F28" s="38" t="s">
        <v>101</v>
      </c>
      <c r="G28" s="38" t="s">
        <v>178</v>
      </c>
      <c r="H28" s="0" t="n">
        <v>2</v>
      </c>
      <c r="I28" s="39" t="n">
        <v>600</v>
      </c>
      <c r="J28" s="40" t="n">
        <v>0.2</v>
      </c>
      <c r="K28" s="39" t="n">
        <v>960</v>
      </c>
      <c r="L28" s="39" t="n">
        <v>700</v>
      </c>
      <c r="M28" s="39" t="n">
        <v>260</v>
      </c>
      <c r="N28" s="38" t="s">
        <v>66</v>
      </c>
      <c r="O28" s="38" t="n">
        <f aca="false">YEAR(B28)</f>
        <v>2024</v>
      </c>
      <c r="P28" s="41" t="n">
        <f aca="false">DATE(YEAR(B28),MONTH(B28),1)</f>
        <v>45323</v>
      </c>
      <c r="Q28" s="0" t="str">
        <f aca="false">INDEX(Products!$C$2:$C$16,MATCH(E28,Products!$A$2:$A$16,0))</f>
        <v>Office Supplies</v>
      </c>
      <c r="R28" s="0" t="str">
        <f aca="false">INDEX(Customers!$F$2:$F$101,MATCH(D28,Customers!$A$2:$A$101,0))</f>
        <v>North</v>
      </c>
      <c r="S28" s="0" t="str">
        <f aca="false">INDEX(Customers!$C$2:$C$101,MATCH(D28,Customers!$A$2:$A$101,0))</f>
        <v>Small Business</v>
      </c>
      <c r="T28" s="0" t="str">
        <f aca="false">INDEX(Customers!$D$2:$D$101,MATCH(D28,Customers!$A$2:$A$101,0))</f>
        <v>Jaipur</v>
      </c>
    </row>
    <row r="29" customFormat="false" ht="15" hidden="false" customHeight="false" outlineLevel="0" collapsed="false">
      <c r="A29" s="0" t="s">
        <v>225</v>
      </c>
      <c r="B29" s="37" t="n">
        <v>46161</v>
      </c>
      <c r="C29" s="37" t="n">
        <v>46165</v>
      </c>
      <c r="D29" s="38" t="s">
        <v>206</v>
      </c>
      <c r="E29" s="38" t="s">
        <v>113</v>
      </c>
      <c r="F29" s="38" t="s">
        <v>101</v>
      </c>
      <c r="G29" s="38" t="s">
        <v>170</v>
      </c>
      <c r="H29" s="0" t="n">
        <v>5</v>
      </c>
      <c r="I29" s="39" t="n">
        <v>45000</v>
      </c>
      <c r="J29" s="40" t="n">
        <v>0</v>
      </c>
      <c r="K29" s="39" t="n">
        <v>225000</v>
      </c>
      <c r="L29" s="39" t="n">
        <v>180000</v>
      </c>
      <c r="M29" s="39" t="n">
        <v>45000</v>
      </c>
      <c r="N29" s="38" t="s">
        <v>66</v>
      </c>
      <c r="O29" s="38" t="n">
        <f aca="false">YEAR(B29)</f>
        <v>2026</v>
      </c>
      <c r="P29" s="41" t="n">
        <f aca="false">DATE(YEAR(B29),MONTH(B29),1)</f>
        <v>46143</v>
      </c>
      <c r="Q29" s="0" t="str">
        <f aca="false">INDEX(Products!$C$2:$C$16,MATCH(E29,Products!$A$2:$A$16,0))</f>
        <v>Technology</v>
      </c>
      <c r="R29" s="0" t="str">
        <f aca="false">INDEX(Customers!$F$2:$F$101,MATCH(D29,Customers!$A$2:$A$101,0))</f>
        <v>West</v>
      </c>
      <c r="S29" s="0" t="str">
        <f aca="false">INDEX(Customers!$C$2:$C$101,MATCH(D29,Customers!$A$2:$A$101,0))</f>
        <v>Corporate</v>
      </c>
      <c r="T29" s="0" t="str">
        <f aca="false">INDEX(Customers!$D$2:$D$101,MATCH(D29,Customers!$A$2:$A$101,0))</f>
        <v>Pune</v>
      </c>
    </row>
    <row r="30" customFormat="false" ht="15" hidden="false" customHeight="false" outlineLevel="0" collapsed="false">
      <c r="A30" s="0" t="s">
        <v>226</v>
      </c>
      <c r="B30" s="37" t="n">
        <v>45448</v>
      </c>
      <c r="C30" s="37" t="n">
        <v>45452</v>
      </c>
      <c r="D30" s="38" t="s">
        <v>227</v>
      </c>
      <c r="E30" s="38" t="s">
        <v>124</v>
      </c>
      <c r="F30" s="38" t="s">
        <v>102</v>
      </c>
      <c r="G30" s="38" t="s">
        <v>170</v>
      </c>
      <c r="H30" s="0" t="n">
        <v>1</v>
      </c>
      <c r="I30" s="39" t="n">
        <v>3000</v>
      </c>
      <c r="J30" s="40" t="n">
        <v>0.15</v>
      </c>
      <c r="K30" s="39" t="n">
        <v>2550</v>
      </c>
      <c r="L30" s="39" t="n">
        <v>1900</v>
      </c>
      <c r="M30" s="39" t="n">
        <v>650</v>
      </c>
      <c r="N30" s="38" t="s">
        <v>66</v>
      </c>
      <c r="O30" s="38" t="n">
        <f aca="false">YEAR(B30)</f>
        <v>2024</v>
      </c>
      <c r="P30" s="41" t="n">
        <f aca="false">DATE(YEAR(B30),MONTH(B30),1)</f>
        <v>45444</v>
      </c>
      <c r="Q30" s="0" t="str">
        <f aca="false">INDEX(Products!$C$2:$C$16,MATCH(E30,Products!$A$2:$A$16,0))</f>
        <v>Technology</v>
      </c>
      <c r="R30" s="0" t="str">
        <f aca="false">INDEX(Customers!$F$2:$F$101,MATCH(D30,Customers!$A$2:$A$101,0))</f>
        <v>North</v>
      </c>
      <c r="S30" s="0" t="str">
        <f aca="false">INDEX(Customers!$C$2:$C$101,MATCH(D30,Customers!$A$2:$A$101,0))</f>
        <v>Consumer</v>
      </c>
      <c r="T30" s="0" t="str">
        <f aca="false">INDEX(Customers!$D$2:$D$101,MATCH(D30,Customers!$A$2:$A$101,0))</f>
        <v>Delhi</v>
      </c>
    </row>
    <row r="31" customFormat="false" ht="15" hidden="false" customHeight="false" outlineLevel="0" collapsed="false">
      <c r="A31" s="0" t="s">
        <v>228</v>
      </c>
      <c r="B31" s="37" t="n">
        <v>45787</v>
      </c>
      <c r="C31" s="37" t="n">
        <v>45791</v>
      </c>
      <c r="D31" s="38" t="s">
        <v>208</v>
      </c>
      <c r="E31" s="38" t="s">
        <v>125</v>
      </c>
      <c r="F31" s="38" t="s">
        <v>102</v>
      </c>
      <c r="G31" s="38" t="s">
        <v>170</v>
      </c>
      <c r="H31" s="0" t="n">
        <v>2</v>
      </c>
      <c r="I31" s="39" t="n">
        <v>600</v>
      </c>
      <c r="J31" s="40" t="n">
        <v>0.2</v>
      </c>
      <c r="K31" s="39" t="n">
        <v>960</v>
      </c>
      <c r="L31" s="39" t="n">
        <v>700</v>
      </c>
      <c r="M31" s="39" t="n">
        <v>260</v>
      </c>
      <c r="N31" s="38" t="s">
        <v>66</v>
      </c>
      <c r="O31" s="38" t="n">
        <f aca="false">YEAR(B31)</f>
        <v>2025</v>
      </c>
      <c r="P31" s="41" t="n">
        <f aca="false">DATE(YEAR(B31),MONTH(B31),1)</f>
        <v>45778</v>
      </c>
      <c r="Q31" s="0" t="str">
        <f aca="false">INDEX(Products!$C$2:$C$16,MATCH(E31,Products!$A$2:$A$16,0))</f>
        <v>Office Supplies</v>
      </c>
      <c r="R31" s="0" t="str">
        <f aca="false">INDEX(Customers!$F$2:$F$101,MATCH(D31,Customers!$A$2:$A$101,0))</f>
        <v>North</v>
      </c>
      <c r="S31" s="0" t="str">
        <f aca="false">INDEX(Customers!$C$2:$C$101,MATCH(D31,Customers!$A$2:$A$101,0))</f>
        <v>Corporate</v>
      </c>
      <c r="T31" s="0" t="str">
        <f aca="false">INDEX(Customers!$D$2:$D$101,MATCH(D31,Customers!$A$2:$A$101,0))</f>
        <v>Gurugram</v>
      </c>
    </row>
    <row r="32" customFormat="false" ht="15" hidden="false" customHeight="false" outlineLevel="0" collapsed="false">
      <c r="A32" s="0" t="s">
        <v>229</v>
      </c>
      <c r="B32" s="37" t="n">
        <v>46249</v>
      </c>
      <c r="C32" s="37" t="n">
        <v>46250</v>
      </c>
      <c r="D32" s="38" t="s">
        <v>230</v>
      </c>
      <c r="E32" s="38" t="s">
        <v>126</v>
      </c>
      <c r="F32" s="38" t="s">
        <v>100</v>
      </c>
      <c r="G32" s="38" t="s">
        <v>185</v>
      </c>
      <c r="H32" s="0" t="n">
        <v>1</v>
      </c>
      <c r="I32" s="39" t="n">
        <v>1200</v>
      </c>
      <c r="J32" s="40" t="n">
        <v>0.1</v>
      </c>
      <c r="K32" s="39" t="n">
        <v>1080</v>
      </c>
      <c r="L32" s="39" t="n">
        <v>700</v>
      </c>
      <c r="M32" s="39" t="n">
        <v>380</v>
      </c>
      <c r="N32" s="38" t="s">
        <v>66</v>
      </c>
      <c r="O32" s="38" t="n">
        <f aca="false">YEAR(B32)</f>
        <v>2026</v>
      </c>
      <c r="P32" s="41" t="n">
        <f aca="false">DATE(YEAR(B32),MONTH(B32),1)</f>
        <v>46235</v>
      </c>
      <c r="Q32" s="0" t="str">
        <f aca="false">INDEX(Products!$C$2:$C$16,MATCH(E32,Products!$A$2:$A$16,0))</f>
        <v>Furniture</v>
      </c>
      <c r="R32" s="0" t="str">
        <f aca="false">INDEX(Customers!$F$2:$F$101,MATCH(D32,Customers!$A$2:$A$101,0))</f>
        <v>East</v>
      </c>
      <c r="S32" s="0" t="str">
        <f aca="false">INDEX(Customers!$C$2:$C$101,MATCH(D32,Customers!$A$2:$A$101,0))</f>
        <v>Consumer</v>
      </c>
      <c r="T32" s="0" t="str">
        <f aca="false">INDEX(Customers!$D$2:$D$101,MATCH(D32,Customers!$A$2:$A$101,0))</f>
        <v>Kolkata</v>
      </c>
    </row>
    <row r="33" customFormat="false" ht="15" hidden="false" customHeight="false" outlineLevel="0" collapsed="false">
      <c r="A33" s="0" t="s">
        <v>231</v>
      </c>
      <c r="B33" s="37" t="n">
        <v>45636</v>
      </c>
      <c r="C33" s="37" t="n">
        <v>45637</v>
      </c>
      <c r="D33" s="38" t="s">
        <v>232</v>
      </c>
      <c r="E33" s="38" t="s">
        <v>119</v>
      </c>
      <c r="F33" s="38" t="s">
        <v>100</v>
      </c>
      <c r="G33" s="38" t="s">
        <v>185</v>
      </c>
      <c r="H33" s="0" t="n">
        <v>2</v>
      </c>
      <c r="I33" s="39" t="n">
        <v>250</v>
      </c>
      <c r="J33" s="40" t="n">
        <v>0.05</v>
      </c>
      <c r="K33" s="39" t="n">
        <v>475</v>
      </c>
      <c r="L33" s="39" t="n">
        <v>240</v>
      </c>
      <c r="M33" s="39" t="n">
        <v>235</v>
      </c>
      <c r="N33" s="38" t="s">
        <v>66</v>
      </c>
      <c r="O33" s="38" t="n">
        <f aca="false">YEAR(B33)</f>
        <v>2024</v>
      </c>
      <c r="P33" s="41" t="n">
        <f aca="false">DATE(YEAR(B33),MONTH(B33),1)</f>
        <v>45627</v>
      </c>
      <c r="Q33" s="0" t="str">
        <f aca="false">INDEX(Products!$C$2:$C$16,MATCH(E33,Products!$A$2:$A$16,0))</f>
        <v>Office Supplies</v>
      </c>
      <c r="R33" s="0" t="str">
        <f aca="false">INDEX(Customers!$F$2:$F$101,MATCH(D33,Customers!$A$2:$A$101,0))</f>
        <v>West</v>
      </c>
      <c r="S33" s="0" t="str">
        <f aca="false">INDEX(Customers!$C$2:$C$101,MATCH(D33,Customers!$A$2:$A$101,0))</f>
        <v>Consumer</v>
      </c>
      <c r="T33" s="0" t="str">
        <f aca="false">INDEX(Customers!$D$2:$D$101,MATCH(D33,Customers!$A$2:$A$101,0))</f>
        <v>Ahmedabad</v>
      </c>
    </row>
    <row r="34" customFormat="false" ht="15" hidden="false" customHeight="false" outlineLevel="0" collapsed="false">
      <c r="A34" s="0" t="s">
        <v>233</v>
      </c>
      <c r="B34" s="37" t="n">
        <v>45578</v>
      </c>
      <c r="C34" s="37" t="n">
        <v>45583</v>
      </c>
      <c r="D34" s="38" t="s">
        <v>234</v>
      </c>
      <c r="E34" s="38" t="s">
        <v>118</v>
      </c>
      <c r="F34" s="38" t="s">
        <v>102</v>
      </c>
      <c r="G34" s="38" t="s">
        <v>178</v>
      </c>
      <c r="H34" s="0" t="n">
        <v>3</v>
      </c>
      <c r="I34" s="39" t="n">
        <v>9000</v>
      </c>
      <c r="J34" s="40" t="n">
        <v>0.05</v>
      </c>
      <c r="K34" s="39" t="n">
        <v>25650</v>
      </c>
      <c r="L34" s="39" t="n">
        <v>19500</v>
      </c>
      <c r="M34" s="39" t="n">
        <v>6150</v>
      </c>
      <c r="N34" s="38" t="s">
        <v>66</v>
      </c>
      <c r="O34" s="38" t="n">
        <f aca="false">YEAR(B34)</f>
        <v>2024</v>
      </c>
      <c r="P34" s="41" t="n">
        <f aca="false">DATE(YEAR(B34),MONTH(B34),1)</f>
        <v>45566</v>
      </c>
      <c r="Q34" s="0" t="str">
        <f aca="false">INDEX(Products!$C$2:$C$16,MATCH(E34,Products!$A$2:$A$16,0))</f>
        <v>Furniture</v>
      </c>
      <c r="R34" s="0" t="str">
        <f aca="false">INDEX(Customers!$F$2:$F$101,MATCH(D34,Customers!$A$2:$A$101,0))</f>
        <v>South</v>
      </c>
      <c r="S34" s="0" t="str">
        <f aca="false">INDEX(Customers!$C$2:$C$101,MATCH(D34,Customers!$A$2:$A$101,0))</f>
        <v>Corporate</v>
      </c>
      <c r="T34" s="0" t="str">
        <f aca="false">INDEX(Customers!$D$2:$D$101,MATCH(D34,Customers!$A$2:$A$101,0))</f>
        <v>Bengaluru</v>
      </c>
    </row>
    <row r="35" customFormat="false" ht="15" hidden="false" customHeight="false" outlineLevel="0" collapsed="false">
      <c r="A35" s="0" t="s">
        <v>235</v>
      </c>
      <c r="B35" s="37" t="n">
        <v>45539</v>
      </c>
      <c r="C35" s="37" t="n">
        <v>45545</v>
      </c>
      <c r="D35" s="38" t="s">
        <v>236</v>
      </c>
      <c r="E35" s="38" t="s">
        <v>114</v>
      </c>
      <c r="F35" s="38" t="s">
        <v>100</v>
      </c>
      <c r="G35" s="38" t="s">
        <v>185</v>
      </c>
      <c r="H35" s="0" t="n">
        <v>2</v>
      </c>
      <c r="I35" s="39" t="n">
        <v>800</v>
      </c>
      <c r="J35" s="40" t="n">
        <v>0.15</v>
      </c>
      <c r="K35" s="39" t="n">
        <v>1360</v>
      </c>
      <c r="L35" s="39" t="n">
        <v>840</v>
      </c>
      <c r="M35" s="39" t="n">
        <v>520</v>
      </c>
      <c r="N35" s="38" t="s">
        <v>66</v>
      </c>
      <c r="O35" s="38" t="n">
        <f aca="false">YEAR(B35)</f>
        <v>2024</v>
      </c>
      <c r="P35" s="41" t="n">
        <f aca="false">DATE(YEAR(B35),MONTH(B35),1)</f>
        <v>45536</v>
      </c>
      <c r="Q35" s="0" t="str">
        <f aca="false">INDEX(Products!$C$2:$C$16,MATCH(E35,Products!$A$2:$A$16,0))</f>
        <v>Technology</v>
      </c>
      <c r="R35" s="0" t="str">
        <f aca="false">INDEX(Customers!$F$2:$F$101,MATCH(D35,Customers!$A$2:$A$101,0))</f>
        <v>West</v>
      </c>
      <c r="S35" s="0" t="str">
        <f aca="false">INDEX(Customers!$C$2:$C$101,MATCH(D35,Customers!$A$2:$A$101,0))</f>
        <v>Small Business</v>
      </c>
      <c r="T35" s="0" t="str">
        <f aca="false">INDEX(Customers!$D$2:$D$101,MATCH(D35,Customers!$A$2:$A$101,0))</f>
        <v>Pune</v>
      </c>
    </row>
    <row r="36" customFormat="false" ht="15" hidden="false" customHeight="false" outlineLevel="0" collapsed="false">
      <c r="A36" s="0" t="s">
        <v>237</v>
      </c>
      <c r="B36" s="37" t="n">
        <v>46103</v>
      </c>
      <c r="C36" s="37" t="n">
        <v>46104</v>
      </c>
      <c r="D36" s="38" t="s">
        <v>238</v>
      </c>
      <c r="E36" s="38" t="s">
        <v>120</v>
      </c>
      <c r="F36" s="38" t="s">
        <v>101</v>
      </c>
      <c r="G36" s="38" t="s">
        <v>173</v>
      </c>
      <c r="H36" s="0" t="n">
        <v>1</v>
      </c>
      <c r="I36" s="39" t="n">
        <v>400</v>
      </c>
      <c r="J36" s="40" t="n">
        <v>0</v>
      </c>
      <c r="K36" s="39" t="n">
        <v>400</v>
      </c>
      <c r="L36" s="39" t="n">
        <v>260</v>
      </c>
      <c r="M36" s="39" t="n">
        <v>140</v>
      </c>
      <c r="N36" s="38" t="s">
        <v>66</v>
      </c>
      <c r="O36" s="38" t="n">
        <f aca="false">YEAR(B36)</f>
        <v>2026</v>
      </c>
      <c r="P36" s="41" t="n">
        <f aca="false">DATE(YEAR(B36),MONTH(B36),1)</f>
        <v>46082</v>
      </c>
      <c r="Q36" s="0" t="str">
        <f aca="false">INDEX(Products!$C$2:$C$16,MATCH(E36,Products!$A$2:$A$16,0))</f>
        <v>Office Supplies</v>
      </c>
      <c r="R36" s="0" t="str">
        <f aca="false">INDEX(Customers!$F$2:$F$101,MATCH(D36,Customers!$A$2:$A$101,0))</f>
        <v>North</v>
      </c>
      <c r="S36" s="0" t="str">
        <f aca="false">INDEX(Customers!$C$2:$C$101,MATCH(D36,Customers!$A$2:$A$101,0))</f>
        <v>Small Business</v>
      </c>
      <c r="T36" s="0" t="str">
        <f aca="false">INDEX(Customers!$D$2:$D$101,MATCH(D36,Customers!$A$2:$A$101,0))</f>
        <v>Lucknow</v>
      </c>
    </row>
    <row r="37" customFormat="false" ht="15" hidden="false" customHeight="false" outlineLevel="0" collapsed="false">
      <c r="A37" s="0" t="s">
        <v>239</v>
      </c>
      <c r="B37" s="37" t="n">
        <v>45776</v>
      </c>
      <c r="C37" s="37" t="n">
        <v>45781</v>
      </c>
      <c r="D37" s="38" t="s">
        <v>200</v>
      </c>
      <c r="E37" s="38" t="s">
        <v>118</v>
      </c>
      <c r="F37" s="38" t="s">
        <v>102</v>
      </c>
      <c r="G37" s="38" t="s">
        <v>188</v>
      </c>
      <c r="H37" s="0" t="n">
        <v>2</v>
      </c>
      <c r="I37" s="39" t="n">
        <v>9000</v>
      </c>
      <c r="J37" s="40" t="n">
        <v>0.1</v>
      </c>
      <c r="K37" s="39" t="n">
        <v>16200</v>
      </c>
      <c r="L37" s="39" t="n">
        <v>13000</v>
      </c>
      <c r="M37" s="39" t="n">
        <v>3200</v>
      </c>
      <c r="N37" s="38" t="s">
        <v>66</v>
      </c>
      <c r="O37" s="38" t="n">
        <f aca="false">YEAR(B37)</f>
        <v>2025</v>
      </c>
      <c r="P37" s="41" t="n">
        <f aca="false">DATE(YEAR(B37),MONTH(B37),1)</f>
        <v>45748</v>
      </c>
      <c r="Q37" s="0" t="str">
        <f aca="false">INDEX(Products!$C$2:$C$16,MATCH(E37,Products!$A$2:$A$16,0))</f>
        <v>Furniture</v>
      </c>
      <c r="R37" s="0" t="str">
        <f aca="false">INDEX(Customers!$F$2:$F$101,MATCH(D37,Customers!$A$2:$A$101,0))</f>
        <v>West</v>
      </c>
      <c r="S37" s="0" t="str">
        <f aca="false">INDEX(Customers!$C$2:$C$101,MATCH(D37,Customers!$A$2:$A$101,0))</f>
        <v>Corporate</v>
      </c>
      <c r="T37" s="0" t="str">
        <f aca="false">INDEX(Customers!$D$2:$D$101,MATCH(D37,Customers!$A$2:$A$101,0))</f>
        <v>Mumbai</v>
      </c>
    </row>
    <row r="38" customFormat="false" ht="15" hidden="false" customHeight="false" outlineLevel="0" collapsed="false">
      <c r="A38" s="0" t="s">
        <v>240</v>
      </c>
      <c r="B38" s="37" t="n">
        <v>45569</v>
      </c>
      <c r="C38" s="37" t="n">
        <v>45572</v>
      </c>
      <c r="D38" s="38" t="s">
        <v>184</v>
      </c>
      <c r="E38" s="38" t="s">
        <v>120</v>
      </c>
      <c r="F38" s="38" t="s">
        <v>102</v>
      </c>
      <c r="G38" s="38" t="s">
        <v>173</v>
      </c>
      <c r="H38" s="0" t="n">
        <v>1</v>
      </c>
      <c r="I38" s="39" t="n">
        <v>400</v>
      </c>
      <c r="J38" s="40" t="n">
        <v>0</v>
      </c>
      <c r="K38" s="39" t="n">
        <v>400</v>
      </c>
      <c r="L38" s="39" t="n">
        <v>260</v>
      </c>
      <c r="M38" s="39" t="n">
        <v>140</v>
      </c>
      <c r="N38" s="38" t="s">
        <v>66</v>
      </c>
      <c r="O38" s="38" t="n">
        <f aca="false">YEAR(B38)</f>
        <v>2024</v>
      </c>
      <c r="P38" s="41" t="n">
        <f aca="false">DATE(YEAR(B38),MONTH(B38),1)</f>
        <v>45566</v>
      </c>
      <c r="Q38" s="0" t="str">
        <f aca="false">INDEX(Products!$C$2:$C$16,MATCH(E38,Products!$A$2:$A$16,0))</f>
        <v>Office Supplies</v>
      </c>
      <c r="R38" s="0" t="str">
        <f aca="false">INDEX(Customers!$F$2:$F$101,MATCH(D38,Customers!$A$2:$A$101,0))</f>
        <v>West</v>
      </c>
      <c r="S38" s="0" t="str">
        <f aca="false">INDEX(Customers!$C$2:$C$101,MATCH(D38,Customers!$A$2:$A$101,0))</f>
        <v>Consumer</v>
      </c>
      <c r="T38" s="0" t="str">
        <f aca="false">INDEX(Customers!$D$2:$D$101,MATCH(D38,Customers!$A$2:$A$101,0))</f>
        <v>Ahmedabad</v>
      </c>
    </row>
    <row r="39" customFormat="false" ht="15" hidden="false" customHeight="false" outlineLevel="0" collapsed="false">
      <c r="A39" s="0" t="s">
        <v>241</v>
      </c>
      <c r="B39" s="37" t="n">
        <v>46265</v>
      </c>
      <c r="C39" s="37" t="n">
        <v>46272</v>
      </c>
      <c r="D39" s="38" t="s">
        <v>242</v>
      </c>
      <c r="E39" s="38" t="s">
        <v>121</v>
      </c>
      <c r="F39" s="38" t="s">
        <v>100</v>
      </c>
      <c r="G39" s="38" t="s">
        <v>185</v>
      </c>
      <c r="H39" s="0" t="n">
        <v>3</v>
      </c>
      <c r="I39" s="39" t="n">
        <v>180</v>
      </c>
      <c r="J39" s="40" t="n">
        <v>0</v>
      </c>
      <c r="K39" s="39" t="n">
        <v>540</v>
      </c>
      <c r="L39" s="39" t="n">
        <v>210</v>
      </c>
      <c r="M39" s="39" t="n">
        <v>330</v>
      </c>
      <c r="N39" s="38" t="s">
        <v>66</v>
      </c>
      <c r="O39" s="38" t="n">
        <f aca="false">YEAR(B39)</f>
        <v>2026</v>
      </c>
      <c r="P39" s="41" t="n">
        <f aca="false">DATE(YEAR(B39),MONTH(B39),1)</f>
        <v>46235</v>
      </c>
      <c r="Q39" s="0" t="str">
        <f aca="false">INDEX(Products!$C$2:$C$16,MATCH(E39,Products!$A$2:$A$16,0))</f>
        <v>Office Supplies</v>
      </c>
      <c r="R39" s="0" t="str">
        <f aca="false">INDEX(Customers!$F$2:$F$101,MATCH(D39,Customers!$A$2:$A$101,0))</f>
        <v>North</v>
      </c>
      <c r="S39" s="0" t="str">
        <f aca="false">INDEX(Customers!$C$2:$C$101,MATCH(D39,Customers!$A$2:$A$101,0))</f>
        <v>Small Business</v>
      </c>
      <c r="T39" s="0" t="str">
        <f aca="false">INDEX(Customers!$D$2:$D$101,MATCH(D39,Customers!$A$2:$A$101,0))</f>
        <v>Gurugram</v>
      </c>
    </row>
    <row r="40" customFormat="false" ht="15" hidden="false" customHeight="false" outlineLevel="0" collapsed="false">
      <c r="A40" s="0" t="s">
        <v>243</v>
      </c>
      <c r="B40" s="37" t="n">
        <v>45829</v>
      </c>
      <c r="C40" s="37" t="n">
        <v>45834</v>
      </c>
      <c r="D40" s="38" t="s">
        <v>244</v>
      </c>
      <c r="E40" s="38" t="s">
        <v>125</v>
      </c>
      <c r="F40" s="38" t="s">
        <v>100</v>
      </c>
      <c r="G40" s="38" t="s">
        <v>170</v>
      </c>
      <c r="H40" s="0" t="n">
        <v>1</v>
      </c>
      <c r="I40" s="39" t="n">
        <v>600</v>
      </c>
      <c r="J40" s="40" t="n">
        <v>0</v>
      </c>
      <c r="K40" s="39" t="n">
        <v>600</v>
      </c>
      <c r="L40" s="39" t="n">
        <v>350</v>
      </c>
      <c r="M40" s="39" t="n">
        <v>250</v>
      </c>
      <c r="N40" s="38" t="s">
        <v>66</v>
      </c>
      <c r="O40" s="38" t="n">
        <f aca="false">YEAR(B40)</f>
        <v>2025</v>
      </c>
      <c r="P40" s="41" t="n">
        <f aca="false">DATE(YEAR(B40),MONTH(B40),1)</f>
        <v>45809</v>
      </c>
      <c r="Q40" s="0" t="str">
        <f aca="false">INDEX(Products!$C$2:$C$16,MATCH(E40,Products!$A$2:$A$16,0))</f>
        <v>Office Supplies</v>
      </c>
      <c r="R40" s="0" t="str">
        <f aca="false">INDEX(Customers!$F$2:$F$101,MATCH(D40,Customers!$A$2:$A$101,0))</f>
        <v>North</v>
      </c>
      <c r="S40" s="0" t="str">
        <f aca="false">INDEX(Customers!$C$2:$C$101,MATCH(D40,Customers!$A$2:$A$101,0))</f>
        <v>Consumer</v>
      </c>
      <c r="T40" s="0" t="str">
        <f aca="false">INDEX(Customers!$D$2:$D$101,MATCH(D40,Customers!$A$2:$A$101,0))</f>
        <v>Gurugram</v>
      </c>
    </row>
    <row r="41" customFormat="false" ht="15" hidden="false" customHeight="false" outlineLevel="0" collapsed="false">
      <c r="A41" s="0" t="s">
        <v>245</v>
      </c>
      <c r="B41" s="37" t="n">
        <v>45306</v>
      </c>
      <c r="C41" s="37" t="n">
        <v>45312</v>
      </c>
      <c r="D41" s="38" t="s">
        <v>246</v>
      </c>
      <c r="E41" s="38" t="s">
        <v>117</v>
      </c>
      <c r="F41" s="38" t="s">
        <v>100</v>
      </c>
      <c r="G41" s="38" t="s">
        <v>178</v>
      </c>
      <c r="H41" s="0" t="n">
        <v>2</v>
      </c>
      <c r="I41" s="39" t="n">
        <v>6500</v>
      </c>
      <c r="J41" s="40" t="n">
        <v>0.05</v>
      </c>
      <c r="K41" s="39" t="n">
        <v>12350</v>
      </c>
      <c r="L41" s="39" t="n">
        <v>8400</v>
      </c>
      <c r="M41" s="39" t="n">
        <v>3950</v>
      </c>
      <c r="N41" s="38" t="s">
        <v>66</v>
      </c>
      <c r="O41" s="38" t="n">
        <f aca="false">YEAR(B41)</f>
        <v>2024</v>
      </c>
      <c r="P41" s="41" t="n">
        <f aca="false">DATE(YEAR(B41),MONTH(B41),1)</f>
        <v>45292</v>
      </c>
      <c r="Q41" s="0" t="str">
        <f aca="false">INDEX(Products!$C$2:$C$16,MATCH(E41,Products!$A$2:$A$16,0))</f>
        <v>Furniture</v>
      </c>
      <c r="R41" s="0" t="str">
        <f aca="false">INDEX(Customers!$F$2:$F$101,MATCH(D41,Customers!$A$2:$A$101,0))</f>
        <v>North</v>
      </c>
      <c r="S41" s="0" t="str">
        <f aca="false">INDEX(Customers!$C$2:$C$101,MATCH(D41,Customers!$A$2:$A$101,0))</f>
        <v>Consumer</v>
      </c>
      <c r="T41" s="0" t="str">
        <f aca="false">INDEX(Customers!$D$2:$D$101,MATCH(D41,Customers!$A$2:$A$101,0))</f>
        <v>Jaipur</v>
      </c>
    </row>
    <row r="42" customFormat="false" ht="15" hidden="false" customHeight="false" outlineLevel="0" collapsed="false">
      <c r="A42" s="0" t="s">
        <v>247</v>
      </c>
      <c r="B42" s="37" t="n">
        <v>45945</v>
      </c>
      <c r="C42" s="37" t="n">
        <v>45952</v>
      </c>
      <c r="D42" s="38" t="s">
        <v>184</v>
      </c>
      <c r="E42" s="38" t="s">
        <v>115</v>
      </c>
      <c r="F42" s="38" t="s">
        <v>100</v>
      </c>
      <c r="G42" s="38" t="s">
        <v>188</v>
      </c>
      <c r="H42" s="0" t="n">
        <v>4</v>
      </c>
      <c r="I42" s="39" t="n">
        <v>1500</v>
      </c>
      <c r="J42" s="40" t="n">
        <v>0</v>
      </c>
      <c r="K42" s="39" t="n">
        <v>6000</v>
      </c>
      <c r="L42" s="39" t="n">
        <v>3400</v>
      </c>
      <c r="M42" s="39" t="n">
        <v>2600</v>
      </c>
      <c r="N42" s="38" t="s">
        <v>66</v>
      </c>
      <c r="O42" s="38" t="n">
        <f aca="false">YEAR(B42)</f>
        <v>2025</v>
      </c>
      <c r="P42" s="41" t="n">
        <f aca="false">DATE(YEAR(B42),MONTH(B42),1)</f>
        <v>45931</v>
      </c>
      <c r="Q42" s="0" t="str">
        <f aca="false">INDEX(Products!$C$2:$C$16,MATCH(E42,Products!$A$2:$A$16,0))</f>
        <v>Technology</v>
      </c>
      <c r="R42" s="0" t="str">
        <f aca="false">INDEX(Customers!$F$2:$F$101,MATCH(D42,Customers!$A$2:$A$101,0))</f>
        <v>West</v>
      </c>
      <c r="S42" s="0" t="str">
        <f aca="false">INDEX(Customers!$C$2:$C$101,MATCH(D42,Customers!$A$2:$A$101,0))</f>
        <v>Consumer</v>
      </c>
      <c r="T42" s="0" t="str">
        <f aca="false">INDEX(Customers!$D$2:$D$101,MATCH(D42,Customers!$A$2:$A$101,0))</f>
        <v>Ahmedabad</v>
      </c>
    </row>
    <row r="43" customFormat="false" ht="15" hidden="false" customHeight="false" outlineLevel="0" collapsed="false">
      <c r="A43" s="0" t="s">
        <v>248</v>
      </c>
      <c r="B43" s="37" t="n">
        <v>45640</v>
      </c>
      <c r="C43" s="37" t="n">
        <v>45642</v>
      </c>
      <c r="D43" s="38" t="s">
        <v>249</v>
      </c>
      <c r="E43" s="38" t="s">
        <v>120</v>
      </c>
      <c r="F43" s="38" t="s">
        <v>101</v>
      </c>
      <c r="G43" s="38" t="s">
        <v>178</v>
      </c>
      <c r="H43" s="0" t="n">
        <v>8</v>
      </c>
      <c r="I43" s="39" t="n">
        <v>400</v>
      </c>
      <c r="J43" s="40" t="n">
        <v>0.05</v>
      </c>
      <c r="K43" s="39" t="n">
        <v>3040</v>
      </c>
      <c r="L43" s="39" t="n">
        <v>2080</v>
      </c>
      <c r="M43" s="39" t="n">
        <v>960</v>
      </c>
      <c r="N43" s="38" t="s">
        <v>66</v>
      </c>
      <c r="O43" s="38" t="n">
        <f aca="false">YEAR(B43)</f>
        <v>2024</v>
      </c>
      <c r="P43" s="41" t="n">
        <f aca="false">DATE(YEAR(B43),MONTH(B43),1)</f>
        <v>45627</v>
      </c>
      <c r="Q43" s="0" t="str">
        <f aca="false">INDEX(Products!$C$2:$C$16,MATCH(E43,Products!$A$2:$A$16,0))</f>
        <v>Office Supplies</v>
      </c>
      <c r="R43" s="0" t="str">
        <f aca="false">INDEX(Customers!$F$2:$F$101,MATCH(D43,Customers!$A$2:$A$101,0))</f>
        <v>East</v>
      </c>
      <c r="S43" s="0" t="str">
        <f aca="false">INDEX(Customers!$C$2:$C$101,MATCH(D43,Customers!$A$2:$A$101,0))</f>
        <v>Consumer</v>
      </c>
      <c r="T43" s="0" t="str">
        <f aca="false">INDEX(Customers!$D$2:$D$101,MATCH(D43,Customers!$A$2:$A$101,0))</f>
        <v>Kolkata</v>
      </c>
    </row>
    <row r="44" customFormat="false" ht="15" hidden="false" customHeight="false" outlineLevel="0" collapsed="false">
      <c r="A44" s="0" t="s">
        <v>250</v>
      </c>
      <c r="B44" s="37" t="n">
        <v>45367</v>
      </c>
      <c r="C44" s="37" t="n">
        <v>45372</v>
      </c>
      <c r="D44" s="38" t="s">
        <v>251</v>
      </c>
      <c r="E44" s="38" t="s">
        <v>120</v>
      </c>
      <c r="F44" s="38" t="s">
        <v>100</v>
      </c>
      <c r="G44" s="38" t="s">
        <v>173</v>
      </c>
      <c r="H44" s="0" t="n">
        <v>3</v>
      </c>
      <c r="I44" s="39" t="n">
        <v>400</v>
      </c>
      <c r="J44" s="40" t="n">
        <v>0</v>
      </c>
      <c r="K44" s="39" t="n">
        <v>1200</v>
      </c>
      <c r="L44" s="39" t="n">
        <v>780</v>
      </c>
      <c r="M44" s="39" t="n">
        <v>420</v>
      </c>
      <c r="N44" s="38" t="s">
        <v>66</v>
      </c>
      <c r="O44" s="38" t="n">
        <f aca="false">YEAR(B44)</f>
        <v>2024</v>
      </c>
      <c r="P44" s="41" t="n">
        <f aca="false">DATE(YEAR(B44),MONTH(B44),1)</f>
        <v>45352</v>
      </c>
      <c r="Q44" s="0" t="str">
        <f aca="false">INDEX(Products!$C$2:$C$16,MATCH(E44,Products!$A$2:$A$16,0))</f>
        <v>Office Supplies</v>
      </c>
      <c r="R44" s="0" t="str">
        <f aca="false">INDEX(Customers!$F$2:$F$101,MATCH(D44,Customers!$A$2:$A$101,0))</f>
        <v>South</v>
      </c>
      <c r="S44" s="0" t="str">
        <f aca="false">INDEX(Customers!$C$2:$C$101,MATCH(D44,Customers!$A$2:$A$101,0))</f>
        <v>Corporate</v>
      </c>
      <c r="T44" s="0" t="str">
        <f aca="false">INDEX(Customers!$D$2:$D$101,MATCH(D44,Customers!$A$2:$A$101,0))</f>
        <v>Bengaluru</v>
      </c>
    </row>
    <row r="45" customFormat="false" ht="15" hidden="false" customHeight="false" outlineLevel="0" collapsed="false">
      <c r="A45" s="0" t="s">
        <v>252</v>
      </c>
      <c r="B45" s="37" t="n">
        <v>45546</v>
      </c>
      <c r="C45" s="37" t="n">
        <v>45547</v>
      </c>
      <c r="D45" s="38" t="s">
        <v>253</v>
      </c>
      <c r="E45" s="38" t="s">
        <v>114</v>
      </c>
      <c r="F45" s="38" t="s">
        <v>102</v>
      </c>
      <c r="G45" s="38" t="s">
        <v>188</v>
      </c>
      <c r="H45" s="0" t="n">
        <v>3</v>
      </c>
      <c r="I45" s="39" t="n">
        <v>800</v>
      </c>
      <c r="J45" s="40" t="n">
        <v>0.1</v>
      </c>
      <c r="K45" s="39" t="n">
        <v>2160</v>
      </c>
      <c r="L45" s="39" t="n">
        <v>1260</v>
      </c>
      <c r="M45" s="39" t="n">
        <v>900</v>
      </c>
      <c r="N45" s="38" t="s">
        <v>66</v>
      </c>
      <c r="O45" s="38" t="n">
        <f aca="false">YEAR(B45)</f>
        <v>2024</v>
      </c>
      <c r="P45" s="41" t="n">
        <f aca="false">DATE(YEAR(B45),MONTH(B45),1)</f>
        <v>45536</v>
      </c>
      <c r="Q45" s="0" t="str">
        <f aca="false">INDEX(Products!$C$2:$C$16,MATCH(E45,Products!$A$2:$A$16,0))</f>
        <v>Technology</v>
      </c>
      <c r="R45" s="0" t="str">
        <f aca="false">INDEX(Customers!$F$2:$F$101,MATCH(D45,Customers!$A$2:$A$101,0))</f>
        <v>East</v>
      </c>
      <c r="S45" s="0" t="str">
        <f aca="false">INDEX(Customers!$C$2:$C$101,MATCH(D45,Customers!$A$2:$A$101,0))</f>
        <v>Small Business</v>
      </c>
      <c r="T45" s="0" t="str">
        <f aca="false">INDEX(Customers!$D$2:$D$101,MATCH(D45,Customers!$A$2:$A$101,0))</f>
        <v>Bhubaneswar</v>
      </c>
    </row>
    <row r="46" customFormat="false" ht="15" hidden="false" customHeight="false" outlineLevel="0" collapsed="false">
      <c r="A46" s="0" t="s">
        <v>254</v>
      </c>
      <c r="B46" s="37" t="n">
        <v>45827</v>
      </c>
      <c r="C46" s="37" t="n">
        <v>45831</v>
      </c>
      <c r="D46" s="38" t="s">
        <v>255</v>
      </c>
      <c r="E46" s="38" t="s">
        <v>125</v>
      </c>
      <c r="F46" s="38" t="s">
        <v>101</v>
      </c>
      <c r="G46" s="38" t="s">
        <v>188</v>
      </c>
      <c r="H46" s="0" t="n">
        <v>2</v>
      </c>
      <c r="I46" s="39" t="n">
        <v>600</v>
      </c>
      <c r="J46" s="40" t="n">
        <v>0.1</v>
      </c>
      <c r="K46" s="39" t="n">
        <v>1080</v>
      </c>
      <c r="L46" s="39" t="n">
        <v>700</v>
      </c>
      <c r="M46" s="39" t="n">
        <v>380</v>
      </c>
      <c r="N46" s="38" t="s">
        <v>147</v>
      </c>
      <c r="O46" s="38" t="n">
        <f aca="false">YEAR(B46)</f>
        <v>2025</v>
      </c>
      <c r="P46" s="41" t="n">
        <f aca="false">DATE(YEAR(B46),MONTH(B46),1)</f>
        <v>45809</v>
      </c>
      <c r="Q46" s="0" t="str">
        <f aca="false">INDEX(Products!$C$2:$C$16,MATCH(E46,Products!$A$2:$A$16,0))</f>
        <v>Office Supplies</v>
      </c>
      <c r="R46" s="0" t="str">
        <f aca="false">INDEX(Customers!$F$2:$F$101,MATCH(D46,Customers!$A$2:$A$101,0))</f>
        <v>East</v>
      </c>
      <c r="S46" s="0" t="str">
        <f aca="false">INDEX(Customers!$C$2:$C$101,MATCH(D46,Customers!$A$2:$A$101,0))</f>
        <v>Small Business</v>
      </c>
      <c r="T46" s="0" t="str">
        <f aca="false">INDEX(Customers!$D$2:$D$101,MATCH(D46,Customers!$A$2:$A$101,0))</f>
        <v>Kolkata</v>
      </c>
    </row>
    <row r="47" customFormat="false" ht="15" hidden="false" customHeight="false" outlineLevel="0" collapsed="false">
      <c r="A47" s="0" t="s">
        <v>256</v>
      </c>
      <c r="B47" s="37" t="n">
        <v>45927</v>
      </c>
      <c r="C47" s="37" t="n">
        <v>45928</v>
      </c>
      <c r="D47" s="38" t="s">
        <v>257</v>
      </c>
      <c r="E47" s="38" t="s">
        <v>122</v>
      </c>
      <c r="F47" s="38" t="s">
        <v>100</v>
      </c>
      <c r="G47" s="38" t="s">
        <v>173</v>
      </c>
      <c r="H47" s="0" t="n">
        <v>3</v>
      </c>
      <c r="I47" s="39" t="n">
        <v>5500</v>
      </c>
      <c r="J47" s="40" t="n">
        <v>0.2</v>
      </c>
      <c r="K47" s="39" t="n">
        <v>13200</v>
      </c>
      <c r="L47" s="39" t="n">
        <v>11100</v>
      </c>
      <c r="M47" s="39" t="n">
        <v>2100</v>
      </c>
      <c r="N47" s="38" t="s">
        <v>66</v>
      </c>
      <c r="O47" s="38" t="n">
        <f aca="false">YEAR(B47)</f>
        <v>2025</v>
      </c>
      <c r="P47" s="41" t="n">
        <f aca="false">DATE(YEAR(B47),MONTH(B47),1)</f>
        <v>45901</v>
      </c>
      <c r="Q47" s="0" t="str">
        <f aca="false">INDEX(Products!$C$2:$C$16,MATCH(E47,Products!$A$2:$A$16,0))</f>
        <v>Furniture</v>
      </c>
      <c r="R47" s="0" t="str">
        <f aca="false">INDEX(Customers!$F$2:$F$101,MATCH(D47,Customers!$A$2:$A$101,0))</f>
        <v>West</v>
      </c>
      <c r="S47" s="0" t="str">
        <f aca="false">INDEX(Customers!$C$2:$C$101,MATCH(D47,Customers!$A$2:$A$101,0))</f>
        <v>Consumer</v>
      </c>
      <c r="T47" s="0" t="str">
        <f aca="false">INDEX(Customers!$D$2:$D$101,MATCH(D47,Customers!$A$2:$A$101,0))</f>
        <v>Pune</v>
      </c>
    </row>
    <row r="48" customFormat="false" ht="15" hidden="false" customHeight="false" outlineLevel="0" collapsed="false">
      <c r="A48" s="0" t="s">
        <v>258</v>
      </c>
      <c r="B48" s="37" t="n">
        <v>45375</v>
      </c>
      <c r="C48" s="37" t="n">
        <v>45377</v>
      </c>
      <c r="D48" s="38" t="s">
        <v>234</v>
      </c>
      <c r="E48" s="38" t="s">
        <v>123</v>
      </c>
      <c r="F48" s="38" t="s">
        <v>100</v>
      </c>
      <c r="G48" s="38" t="s">
        <v>173</v>
      </c>
      <c r="H48" s="0" t="n">
        <v>1</v>
      </c>
      <c r="I48" s="39" t="n">
        <v>2200</v>
      </c>
      <c r="J48" s="40" t="n">
        <v>0.15</v>
      </c>
      <c r="K48" s="39" t="n">
        <v>1870</v>
      </c>
      <c r="L48" s="39" t="n">
        <v>1300</v>
      </c>
      <c r="M48" s="39" t="n">
        <v>570</v>
      </c>
      <c r="N48" s="38" t="s">
        <v>66</v>
      </c>
      <c r="O48" s="38" t="n">
        <f aca="false">YEAR(B48)</f>
        <v>2024</v>
      </c>
      <c r="P48" s="41" t="n">
        <f aca="false">DATE(YEAR(B48),MONTH(B48),1)</f>
        <v>45352</v>
      </c>
      <c r="Q48" s="0" t="str">
        <f aca="false">INDEX(Products!$C$2:$C$16,MATCH(E48,Products!$A$2:$A$16,0))</f>
        <v>Technology</v>
      </c>
      <c r="R48" s="0" t="str">
        <f aca="false">INDEX(Customers!$F$2:$F$101,MATCH(D48,Customers!$A$2:$A$101,0))</f>
        <v>South</v>
      </c>
      <c r="S48" s="0" t="str">
        <f aca="false">INDEX(Customers!$C$2:$C$101,MATCH(D48,Customers!$A$2:$A$101,0))</f>
        <v>Corporate</v>
      </c>
      <c r="T48" s="0" t="str">
        <f aca="false">INDEX(Customers!$D$2:$D$101,MATCH(D48,Customers!$A$2:$A$101,0))</f>
        <v>Bengaluru</v>
      </c>
    </row>
    <row r="49" customFormat="false" ht="15" hidden="false" customHeight="false" outlineLevel="0" collapsed="false">
      <c r="A49" s="0" t="s">
        <v>259</v>
      </c>
      <c r="B49" s="37" t="n">
        <v>45900</v>
      </c>
      <c r="C49" s="37" t="n">
        <v>45904</v>
      </c>
      <c r="D49" s="38" t="s">
        <v>260</v>
      </c>
      <c r="E49" s="38" t="s">
        <v>124</v>
      </c>
      <c r="F49" s="38" t="s">
        <v>101</v>
      </c>
      <c r="G49" s="38" t="s">
        <v>170</v>
      </c>
      <c r="H49" s="0" t="n">
        <v>1</v>
      </c>
      <c r="I49" s="39" t="n">
        <v>3000</v>
      </c>
      <c r="J49" s="40" t="n">
        <v>0</v>
      </c>
      <c r="K49" s="39" t="n">
        <v>3000</v>
      </c>
      <c r="L49" s="39" t="n">
        <v>1900</v>
      </c>
      <c r="M49" s="39" t="n">
        <v>1100</v>
      </c>
      <c r="N49" s="38" t="s">
        <v>66</v>
      </c>
      <c r="O49" s="38" t="n">
        <f aca="false">YEAR(B49)</f>
        <v>2025</v>
      </c>
      <c r="P49" s="41" t="n">
        <f aca="false">DATE(YEAR(B49),MONTH(B49),1)</f>
        <v>45870</v>
      </c>
      <c r="Q49" s="0" t="str">
        <f aca="false">INDEX(Products!$C$2:$C$16,MATCH(E49,Products!$A$2:$A$16,0))</f>
        <v>Technology</v>
      </c>
      <c r="R49" s="0" t="str">
        <f aca="false">INDEX(Customers!$F$2:$F$101,MATCH(D49,Customers!$A$2:$A$101,0))</f>
        <v>West</v>
      </c>
      <c r="S49" s="0" t="str">
        <f aca="false">INDEX(Customers!$C$2:$C$101,MATCH(D49,Customers!$A$2:$A$101,0))</f>
        <v>Small Business</v>
      </c>
      <c r="T49" s="0" t="str">
        <f aca="false">INDEX(Customers!$D$2:$D$101,MATCH(D49,Customers!$A$2:$A$101,0))</f>
        <v>Mumbai</v>
      </c>
    </row>
    <row r="50" customFormat="false" ht="15" hidden="false" customHeight="false" outlineLevel="0" collapsed="false">
      <c r="A50" s="0" t="s">
        <v>261</v>
      </c>
      <c r="B50" s="37" t="n">
        <v>45995</v>
      </c>
      <c r="C50" s="37" t="n">
        <v>45997</v>
      </c>
      <c r="D50" s="38" t="s">
        <v>227</v>
      </c>
      <c r="E50" s="38" t="s">
        <v>114</v>
      </c>
      <c r="F50" s="38" t="s">
        <v>102</v>
      </c>
      <c r="G50" s="38" t="s">
        <v>188</v>
      </c>
      <c r="H50" s="0" t="n">
        <v>6</v>
      </c>
      <c r="I50" s="39" t="n">
        <v>800</v>
      </c>
      <c r="J50" s="40" t="n">
        <v>0.25</v>
      </c>
      <c r="K50" s="39" t="n">
        <v>3600</v>
      </c>
      <c r="L50" s="39" t="n">
        <v>2520</v>
      </c>
      <c r="M50" s="39" t="n">
        <v>1080</v>
      </c>
      <c r="N50" s="38" t="s">
        <v>66</v>
      </c>
      <c r="O50" s="38" t="n">
        <f aca="false">YEAR(B50)</f>
        <v>2025</v>
      </c>
      <c r="P50" s="41" t="n">
        <f aca="false">DATE(YEAR(B50),MONTH(B50),1)</f>
        <v>45992</v>
      </c>
      <c r="Q50" s="0" t="str">
        <f aca="false">INDEX(Products!$C$2:$C$16,MATCH(E50,Products!$A$2:$A$16,0))</f>
        <v>Technology</v>
      </c>
      <c r="R50" s="0" t="str">
        <f aca="false">INDEX(Customers!$F$2:$F$101,MATCH(D50,Customers!$A$2:$A$101,0))</f>
        <v>North</v>
      </c>
      <c r="S50" s="0" t="str">
        <f aca="false">INDEX(Customers!$C$2:$C$101,MATCH(D50,Customers!$A$2:$A$101,0))</f>
        <v>Consumer</v>
      </c>
      <c r="T50" s="0" t="str">
        <f aca="false">INDEX(Customers!$D$2:$D$101,MATCH(D50,Customers!$A$2:$A$101,0))</f>
        <v>Delhi</v>
      </c>
    </row>
    <row r="51" customFormat="false" ht="15" hidden="false" customHeight="false" outlineLevel="0" collapsed="false">
      <c r="A51" s="0" t="s">
        <v>262</v>
      </c>
      <c r="B51" s="37" t="n">
        <v>45409</v>
      </c>
      <c r="C51" s="37" t="n">
        <v>45414</v>
      </c>
      <c r="D51" s="38" t="s">
        <v>177</v>
      </c>
      <c r="E51" s="38" t="s">
        <v>119</v>
      </c>
      <c r="F51" s="38" t="s">
        <v>101</v>
      </c>
      <c r="G51" s="38" t="s">
        <v>173</v>
      </c>
      <c r="H51" s="0" t="n">
        <v>1</v>
      </c>
      <c r="I51" s="39" t="n">
        <v>250</v>
      </c>
      <c r="J51" s="40" t="n">
        <v>0</v>
      </c>
      <c r="K51" s="39" t="n">
        <v>250</v>
      </c>
      <c r="L51" s="39" t="n">
        <v>120</v>
      </c>
      <c r="M51" s="39" t="n">
        <v>130</v>
      </c>
      <c r="N51" s="38" t="s">
        <v>66</v>
      </c>
      <c r="O51" s="38" t="n">
        <f aca="false">YEAR(B51)</f>
        <v>2024</v>
      </c>
      <c r="P51" s="41" t="n">
        <f aca="false">DATE(YEAR(B51),MONTH(B51),1)</f>
        <v>45383</v>
      </c>
      <c r="Q51" s="0" t="str">
        <f aca="false">INDEX(Products!$C$2:$C$16,MATCH(E51,Products!$A$2:$A$16,0))</f>
        <v>Office Supplies</v>
      </c>
      <c r="R51" s="0" t="str">
        <f aca="false">INDEX(Customers!$F$2:$F$101,MATCH(D51,Customers!$A$2:$A$101,0))</f>
        <v>North</v>
      </c>
      <c r="S51" s="0" t="str">
        <f aca="false">INDEX(Customers!$C$2:$C$101,MATCH(D51,Customers!$A$2:$A$101,0))</f>
        <v>Consumer</v>
      </c>
      <c r="T51" s="0" t="str">
        <f aca="false">INDEX(Customers!$D$2:$D$101,MATCH(D51,Customers!$A$2:$A$101,0))</f>
        <v>Gurugram</v>
      </c>
    </row>
    <row r="52" customFormat="false" ht="15" hidden="false" customHeight="false" outlineLevel="0" collapsed="false">
      <c r="A52" s="0" t="s">
        <v>263</v>
      </c>
      <c r="B52" s="37" t="n">
        <v>45606</v>
      </c>
      <c r="C52" s="37" t="n">
        <v>45611</v>
      </c>
      <c r="D52" s="38" t="s">
        <v>219</v>
      </c>
      <c r="E52" s="38" t="s">
        <v>125</v>
      </c>
      <c r="F52" s="38" t="s">
        <v>101</v>
      </c>
      <c r="G52" s="38" t="s">
        <v>185</v>
      </c>
      <c r="H52" s="0" t="n">
        <v>4</v>
      </c>
      <c r="I52" s="39" t="n">
        <v>600</v>
      </c>
      <c r="J52" s="40" t="n">
        <v>0.15</v>
      </c>
      <c r="K52" s="39" t="n">
        <v>2040</v>
      </c>
      <c r="L52" s="39" t="n">
        <v>1400</v>
      </c>
      <c r="M52" s="39" t="n">
        <v>640</v>
      </c>
      <c r="N52" s="38" t="s">
        <v>66</v>
      </c>
      <c r="O52" s="38" t="n">
        <f aca="false">YEAR(B52)</f>
        <v>2024</v>
      </c>
      <c r="P52" s="41" t="n">
        <f aca="false">DATE(YEAR(B52),MONTH(B52),1)</f>
        <v>45597</v>
      </c>
      <c r="Q52" s="0" t="str">
        <f aca="false">INDEX(Products!$C$2:$C$16,MATCH(E52,Products!$A$2:$A$16,0))</f>
        <v>Office Supplies</v>
      </c>
      <c r="R52" s="0" t="str">
        <f aca="false">INDEX(Customers!$F$2:$F$101,MATCH(D52,Customers!$A$2:$A$101,0))</f>
        <v>North</v>
      </c>
      <c r="S52" s="0" t="str">
        <f aca="false">INDEX(Customers!$C$2:$C$101,MATCH(D52,Customers!$A$2:$A$101,0))</f>
        <v>Small Business</v>
      </c>
      <c r="T52" s="0" t="str">
        <f aca="false">INDEX(Customers!$D$2:$D$101,MATCH(D52,Customers!$A$2:$A$101,0))</f>
        <v>Lucknow</v>
      </c>
    </row>
    <row r="53" customFormat="false" ht="15" hidden="false" customHeight="false" outlineLevel="0" collapsed="false">
      <c r="A53" s="0" t="s">
        <v>264</v>
      </c>
      <c r="B53" s="37" t="n">
        <v>46008</v>
      </c>
      <c r="C53" s="37" t="n">
        <v>46012</v>
      </c>
      <c r="D53" s="38" t="s">
        <v>182</v>
      </c>
      <c r="E53" s="38" t="s">
        <v>117</v>
      </c>
      <c r="F53" s="38" t="s">
        <v>102</v>
      </c>
      <c r="G53" s="38" t="s">
        <v>185</v>
      </c>
      <c r="H53" s="0" t="n">
        <v>8</v>
      </c>
      <c r="I53" s="39" t="n">
        <v>6500</v>
      </c>
      <c r="J53" s="40" t="n">
        <v>0.15</v>
      </c>
      <c r="K53" s="39" t="n">
        <v>44200</v>
      </c>
      <c r="L53" s="39" t="n">
        <v>33600</v>
      </c>
      <c r="M53" s="39" t="n">
        <v>10600</v>
      </c>
      <c r="N53" s="38" t="s">
        <v>66</v>
      </c>
      <c r="O53" s="38" t="n">
        <f aca="false">YEAR(B53)</f>
        <v>2025</v>
      </c>
      <c r="P53" s="41" t="n">
        <f aca="false">DATE(YEAR(B53),MONTH(B53),1)</f>
        <v>45992</v>
      </c>
      <c r="Q53" s="0" t="str">
        <f aca="false">INDEX(Products!$C$2:$C$16,MATCH(E53,Products!$A$2:$A$16,0))</f>
        <v>Furniture</v>
      </c>
      <c r="R53" s="0" t="str">
        <f aca="false">INDEX(Customers!$F$2:$F$101,MATCH(D53,Customers!$A$2:$A$101,0))</f>
        <v>North</v>
      </c>
      <c r="S53" s="0" t="str">
        <f aca="false">INDEX(Customers!$C$2:$C$101,MATCH(D53,Customers!$A$2:$A$101,0))</f>
        <v>Small Business</v>
      </c>
      <c r="T53" s="0" t="str">
        <f aca="false">INDEX(Customers!$D$2:$D$101,MATCH(D53,Customers!$A$2:$A$101,0))</f>
        <v>Gurugram</v>
      </c>
    </row>
    <row r="54" customFormat="false" ht="15" hidden="false" customHeight="false" outlineLevel="0" collapsed="false">
      <c r="A54" s="0" t="s">
        <v>265</v>
      </c>
      <c r="B54" s="37" t="n">
        <v>46202</v>
      </c>
      <c r="C54" s="37" t="n">
        <v>46206</v>
      </c>
      <c r="D54" s="38" t="s">
        <v>266</v>
      </c>
      <c r="E54" s="38" t="s">
        <v>113</v>
      </c>
      <c r="F54" s="38" t="s">
        <v>101</v>
      </c>
      <c r="G54" s="38" t="s">
        <v>178</v>
      </c>
      <c r="H54" s="0" t="n">
        <v>4</v>
      </c>
      <c r="I54" s="39" t="n">
        <v>45000</v>
      </c>
      <c r="J54" s="40" t="n">
        <v>0.15</v>
      </c>
      <c r="K54" s="39" t="n">
        <v>153000</v>
      </c>
      <c r="L54" s="39" t="n">
        <v>144000</v>
      </c>
      <c r="M54" s="39" t="n">
        <v>9000</v>
      </c>
      <c r="N54" s="38" t="s">
        <v>66</v>
      </c>
      <c r="O54" s="38" t="n">
        <f aca="false">YEAR(B54)</f>
        <v>2026</v>
      </c>
      <c r="P54" s="41" t="n">
        <f aca="false">DATE(YEAR(B54),MONTH(B54),1)</f>
        <v>46174</v>
      </c>
      <c r="Q54" s="0" t="str">
        <f aca="false">INDEX(Products!$C$2:$C$16,MATCH(E54,Products!$A$2:$A$16,0))</f>
        <v>Technology</v>
      </c>
      <c r="R54" s="0" t="str">
        <f aca="false">INDEX(Customers!$F$2:$F$101,MATCH(D54,Customers!$A$2:$A$101,0))</f>
        <v>West</v>
      </c>
      <c r="S54" s="0" t="str">
        <f aca="false">INDEX(Customers!$C$2:$C$101,MATCH(D54,Customers!$A$2:$A$101,0))</f>
        <v>Consumer</v>
      </c>
      <c r="T54" s="0" t="str">
        <f aca="false">INDEX(Customers!$D$2:$D$101,MATCH(D54,Customers!$A$2:$A$101,0))</f>
        <v>Pune</v>
      </c>
    </row>
    <row r="55" customFormat="false" ht="15" hidden="false" customHeight="false" outlineLevel="0" collapsed="false">
      <c r="A55" s="0" t="s">
        <v>267</v>
      </c>
      <c r="B55" s="37" t="n">
        <v>46173</v>
      </c>
      <c r="C55" s="37" t="n">
        <v>46178</v>
      </c>
      <c r="D55" s="38" t="s">
        <v>268</v>
      </c>
      <c r="E55" s="38" t="s">
        <v>126</v>
      </c>
      <c r="F55" s="38" t="s">
        <v>102</v>
      </c>
      <c r="G55" s="38" t="s">
        <v>170</v>
      </c>
      <c r="H55" s="0" t="n">
        <v>3</v>
      </c>
      <c r="I55" s="39" t="n">
        <v>1200</v>
      </c>
      <c r="J55" s="40" t="n">
        <v>0</v>
      </c>
      <c r="K55" s="39" t="n">
        <v>3600</v>
      </c>
      <c r="L55" s="39" t="n">
        <v>2100</v>
      </c>
      <c r="M55" s="39" t="n">
        <v>1500</v>
      </c>
      <c r="N55" s="38" t="s">
        <v>66</v>
      </c>
      <c r="O55" s="38" t="n">
        <f aca="false">YEAR(B55)</f>
        <v>2026</v>
      </c>
      <c r="P55" s="41" t="n">
        <f aca="false">DATE(YEAR(B55),MONTH(B55),1)</f>
        <v>46143</v>
      </c>
      <c r="Q55" s="0" t="str">
        <f aca="false">INDEX(Products!$C$2:$C$16,MATCH(E55,Products!$A$2:$A$16,0))</f>
        <v>Furniture</v>
      </c>
      <c r="R55" s="0" t="str">
        <f aca="false">INDEX(Customers!$F$2:$F$101,MATCH(D55,Customers!$A$2:$A$101,0))</f>
        <v>South</v>
      </c>
      <c r="S55" s="0" t="str">
        <f aca="false">INDEX(Customers!$C$2:$C$101,MATCH(D55,Customers!$A$2:$A$101,0))</f>
        <v>Consumer</v>
      </c>
      <c r="T55" s="0" t="str">
        <f aca="false">INDEX(Customers!$D$2:$D$101,MATCH(D55,Customers!$A$2:$A$101,0))</f>
        <v>Bengaluru</v>
      </c>
    </row>
    <row r="56" customFormat="false" ht="15" hidden="false" customHeight="false" outlineLevel="0" collapsed="false">
      <c r="A56" s="0" t="s">
        <v>269</v>
      </c>
      <c r="B56" s="37" t="n">
        <v>45471</v>
      </c>
      <c r="C56" s="37" t="n">
        <v>45475</v>
      </c>
      <c r="D56" s="38" t="s">
        <v>270</v>
      </c>
      <c r="E56" s="38" t="s">
        <v>125</v>
      </c>
      <c r="F56" s="38" t="s">
        <v>101</v>
      </c>
      <c r="G56" s="38" t="s">
        <v>173</v>
      </c>
      <c r="H56" s="0" t="n">
        <v>2</v>
      </c>
      <c r="I56" s="39" t="n">
        <v>600</v>
      </c>
      <c r="J56" s="40" t="n">
        <v>0.1</v>
      </c>
      <c r="K56" s="39" t="n">
        <v>1080</v>
      </c>
      <c r="L56" s="39" t="n">
        <v>700</v>
      </c>
      <c r="M56" s="39" t="n">
        <v>380</v>
      </c>
      <c r="N56" s="38" t="s">
        <v>147</v>
      </c>
      <c r="O56" s="38" t="n">
        <f aca="false">YEAR(B56)</f>
        <v>2024</v>
      </c>
      <c r="P56" s="41" t="n">
        <f aca="false">DATE(YEAR(B56),MONTH(B56),1)</f>
        <v>45444</v>
      </c>
      <c r="Q56" s="0" t="str">
        <f aca="false">INDEX(Products!$C$2:$C$16,MATCH(E56,Products!$A$2:$A$16,0))</f>
        <v>Office Supplies</v>
      </c>
      <c r="R56" s="0" t="str">
        <f aca="false">INDEX(Customers!$F$2:$F$101,MATCH(D56,Customers!$A$2:$A$101,0))</f>
        <v>West</v>
      </c>
      <c r="S56" s="0" t="str">
        <f aca="false">INDEX(Customers!$C$2:$C$101,MATCH(D56,Customers!$A$2:$A$101,0))</f>
        <v>Small Business</v>
      </c>
      <c r="T56" s="0" t="str">
        <f aca="false">INDEX(Customers!$D$2:$D$101,MATCH(D56,Customers!$A$2:$A$101,0))</f>
        <v>Pune</v>
      </c>
    </row>
    <row r="57" customFormat="false" ht="15" hidden="false" customHeight="false" outlineLevel="0" collapsed="false">
      <c r="A57" s="0" t="s">
        <v>271</v>
      </c>
      <c r="B57" s="37" t="n">
        <v>46125</v>
      </c>
      <c r="C57" s="37" t="n">
        <v>46129</v>
      </c>
      <c r="D57" s="38" t="s">
        <v>272</v>
      </c>
      <c r="E57" s="38" t="s">
        <v>123</v>
      </c>
      <c r="F57" s="38" t="s">
        <v>101</v>
      </c>
      <c r="G57" s="38" t="s">
        <v>185</v>
      </c>
      <c r="H57" s="0" t="n">
        <v>8</v>
      </c>
      <c r="I57" s="39" t="n">
        <v>2200</v>
      </c>
      <c r="J57" s="40" t="n">
        <v>0.1</v>
      </c>
      <c r="K57" s="39" t="n">
        <v>15840</v>
      </c>
      <c r="L57" s="39" t="n">
        <v>10400</v>
      </c>
      <c r="M57" s="39" t="n">
        <v>5440</v>
      </c>
      <c r="N57" s="38" t="s">
        <v>66</v>
      </c>
      <c r="O57" s="38" t="n">
        <f aca="false">YEAR(B57)</f>
        <v>2026</v>
      </c>
      <c r="P57" s="41" t="n">
        <f aca="false">DATE(YEAR(B57),MONTH(B57),1)</f>
        <v>46113</v>
      </c>
      <c r="Q57" s="0" t="str">
        <f aca="false">INDEX(Products!$C$2:$C$16,MATCH(E57,Products!$A$2:$A$16,0))</f>
        <v>Technology</v>
      </c>
      <c r="R57" s="0" t="str">
        <f aca="false">INDEX(Customers!$F$2:$F$101,MATCH(D57,Customers!$A$2:$A$101,0))</f>
        <v>West</v>
      </c>
      <c r="S57" s="0" t="str">
        <f aca="false">INDEX(Customers!$C$2:$C$101,MATCH(D57,Customers!$A$2:$A$101,0))</f>
        <v>Corporate</v>
      </c>
      <c r="T57" s="0" t="str">
        <f aca="false">INDEX(Customers!$D$2:$D$101,MATCH(D57,Customers!$A$2:$A$101,0))</f>
        <v>Ahmedabad</v>
      </c>
    </row>
    <row r="58" customFormat="false" ht="15" hidden="false" customHeight="false" outlineLevel="0" collapsed="false">
      <c r="A58" s="0" t="s">
        <v>273</v>
      </c>
      <c r="B58" s="37" t="n">
        <v>46170</v>
      </c>
      <c r="C58" s="37" t="n">
        <v>46172</v>
      </c>
      <c r="D58" s="38" t="s">
        <v>232</v>
      </c>
      <c r="E58" s="38" t="s">
        <v>114</v>
      </c>
      <c r="F58" s="38" t="s">
        <v>101</v>
      </c>
      <c r="G58" s="38" t="s">
        <v>170</v>
      </c>
      <c r="H58" s="0" t="n">
        <v>2</v>
      </c>
      <c r="I58" s="39" t="n">
        <v>800</v>
      </c>
      <c r="J58" s="40" t="n">
        <v>0.2</v>
      </c>
      <c r="K58" s="39" t="n">
        <v>1280</v>
      </c>
      <c r="L58" s="39" t="n">
        <v>840</v>
      </c>
      <c r="M58" s="39" t="n">
        <v>440</v>
      </c>
      <c r="N58" s="38" t="s">
        <v>66</v>
      </c>
      <c r="O58" s="38" t="n">
        <f aca="false">YEAR(B58)</f>
        <v>2026</v>
      </c>
      <c r="P58" s="41" t="n">
        <f aca="false">DATE(YEAR(B58),MONTH(B58),1)</f>
        <v>46143</v>
      </c>
      <c r="Q58" s="0" t="str">
        <f aca="false">INDEX(Products!$C$2:$C$16,MATCH(E58,Products!$A$2:$A$16,0))</f>
        <v>Technology</v>
      </c>
      <c r="R58" s="0" t="str">
        <f aca="false">INDEX(Customers!$F$2:$F$101,MATCH(D58,Customers!$A$2:$A$101,0))</f>
        <v>West</v>
      </c>
      <c r="S58" s="0" t="str">
        <f aca="false">INDEX(Customers!$C$2:$C$101,MATCH(D58,Customers!$A$2:$A$101,0))</f>
        <v>Consumer</v>
      </c>
      <c r="T58" s="0" t="str">
        <f aca="false">INDEX(Customers!$D$2:$D$101,MATCH(D58,Customers!$A$2:$A$101,0))</f>
        <v>Ahmedabad</v>
      </c>
    </row>
    <row r="59" customFormat="false" ht="15" hidden="false" customHeight="false" outlineLevel="0" collapsed="false">
      <c r="A59" s="0" t="s">
        <v>274</v>
      </c>
      <c r="B59" s="37" t="n">
        <v>46070</v>
      </c>
      <c r="C59" s="37" t="n">
        <v>46075</v>
      </c>
      <c r="D59" s="38" t="s">
        <v>251</v>
      </c>
      <c r="E59" s="38" t="s">
        <v>126</v>
      </c>
      <c r="F59" s="38" t="s">
        <v>101</v>
      </c>
      <c r="G59" s="38" t="s">
        <v>170</v>
      </c>
      <c r="H59" s="0" t="n">
        <v>1</v>
      </c>
      <c r="I59" s="39" t="n">
        <v>1200</v>
      </c>
      <c r="J59" s="40" t="n">
        <v>0</v>
      </c>
      <c r="K59" s="39" t="n">
        <v>1200</v>
      </c>
      <c r="L59" s="39" t="n">
        <v>700</v>
      </c>
      <c r="M59" s="39" t="n">
        <v>500</v>
      </c>
      <c r="N59" s="38" t="s">
        <v>66</v>
      </c>
      <c r="O59" s="38" t="n">
        <f aca="false">YEAR(B59)</f>
        <v>2026</v>
      </c>
      <c r="P59" s="41" t="n">
        <f aca="false">DATE(YEAR(B59),MONTH(B59),1)</f>
        <v>46054</v>
      </c>
      <c r="Q59" s="0" t="str">
        <f aca="false">INDEX(Products!$C$2:$C$16,MATCH(E59,Products!$A$2:$A$16,0))</f>
        <v>Furniture</v>
      </c>
      <c r="R59" s="0" t="str">
        <f aca="false">INDEX(Customers!$F$2:$F$101,MATCH(D59,Customers!$A$2:$A$101,0))</f>
        <v>South</v>
      </c>
      <c r="S59" s="0" t="str">
        <f aca="false">INDEX(Customers!$C$2:$C$101,MATCH(D59,Customers!$A$2:$A$101,0))</f>
        <v>Corporate</v>
      </c>
      <c r="T59" s="0" t="str">
        <f aca="false">INDEX(Customers!$D$2:$D$101,MATCH(D59,Customers!$A$2:$A$101,0))</f>
        <v>Bengaluru</v>
      </c>
    </row>
    <row r="60" customFormat="false" ht="15" hidden="false" customHeight="false" outlineLevel="0" collapsed="false">
      <c r="A60" s="0" t="s">
        <v>275</v>
      </c>
      <c r="B60" s="37" t="n">
        <v>46177</v>
      </c>
      <c r="C60" s="37" t="n">
        <v>46182</v>
      </c>
      <c r="D60" s="38" t="s">
        <v>276</v>
      </c>
      <c r="E60" s="38" t="s">
        <v>119</v>
      </c>
      <c r="F60" s="38" t="s">
        <v>102</v>
      </c>
      <c r="G60" s="38" t="s">
        <v>188</v>
      </c>
      <c r="H60" s="0" t="n">
        <v>5</v>
      </c>
      <c r="I60" s="39" t="n">
        <v>250</v>
      </c>
      <c r="J60" s="40" t="n">
        <v>0</v>
      </c>
      <c r="K60" s="39" t="n">
        <v>1250</v>
      </c>
      <c r="L60" s="39" t="n">
        <v>600</v>
      </c>
      <c r="M60" s="39" t="n">
        <v>650</v>
      </c>
      <c r="N60" s="38" t="s">
        <v>66</v>
      </c>
      <c r="O60" s="38" t="n">
        <f aca="false">YEAR(B60)</f>
        <v>2026</v>
      </c>
      <c r="P60" s="41" t="n">
        <f aca="false">DATE(YEAR(B60),MONTH(B60),1)</f>
        <v>46174</v>
      </c>
      <c r="Q60" s="0" t="str">
        <f aca="false">INDEX(Products!$C$2:$C$16,MATCH(E60,Products!$A$2:$A$16,0))</f>
        <v>Office Supplies</v>
      </c>
      <c r="R60" s="0" t="str">
        <f aca="false">INDEX(Customers!$F$2:$F$101,MATCH(D60,Customers!$A$2:$A$101,0))</f>
        <v>North</v>
      </c>
      <c r="S60" s="0" t="str">
        <f aca="false">INDEX(Customers!$C$2:$C$101,MATCH(D60,Customers!$A$2:$A$101,0))</f>
        <v>Small Business</v>
      </c>
      <c r="T60" s="0" t="str">
        <f aca="false">INDEX(Customers!$D$2:$D$101,MATCH(D60,Customers!$A$2:$A$101,0))</f>
        <v>Lucknow</v>
      </c>
    </row>
    <row r="61" customFormat="false" ht="15" hidden="false" customHeight="false" outlineLevel="0" collapsed="false">
      <c r="A61" s="0" t="s">
        <v>277</v>
      </c>
      <c r="B61" s="37" t="n">
        <v>45822</v>
      </c>
      <c r="C61" s="37" t="n">
        <v>45825</v>
      </c>
      <c r="D61" s="38" t="s">
        <v>278</v>
      </c>
      <c r="E61" s="38" t="s">
        <v>116</v>
      </c>
      <c r="F61" s="38" t="s">
        <v>102</v>
      </c>
      <c r="G61" s="38" t="s">
        <v>185</v>
      </c>
      <c r="H61" s="0" t="n">
        <v>3</v>
      </c>
      <c r="I61" s="39" t="n">
        <v>12000</v>
      </c>
      <c r="J61" s="40" t="n">
        <v>0.1</v>
      </c>
      <c r="K61" s="39" t="n">
        <v>32400</v>
      </c>
      <c r="L61" s="39" t="n">
        <v>27000</v>
      </c>
      <c r="M61" s="39" t="n">
        <v>5400</v>
      </c>
      <c r="N61" s="38" t="s">
        <v>66</v>
      </c>
      <c r="O61" s="38" t="n">
        <f aca="false">YEAR(B61)</f>
        <v>2025</v>
      </c>
      <c r="P61" s="41" t="n">
        <f aca="false">DATE(YEAR(B61),MONTH(B61),1)</f>
        <v>45809</v>
      </c>
      <c r="Q61" s="0" t="str">
        <f aca="false">INDEX(Products!$C$2:$C$16,MATCH(E61,Products!$A$2:$A$16,0))</f>
        <v>Technology</v>
      </c>
      <c r="R61" s="0" t="str">
        <f aca="false">INDEX(Customers!$F$2:$F$101,MATCH(D61,Customers!$A$2:$A$101,0))</f>
        <v>South</v>
      </c>
      <c r="S61" s="0" t="str">
        <f aca="false">INDEX(Customers!$C$2:$C$101,MATCH(D61,Customers!$A$2:$A$101,0))</f>
        <v>Consumer</v>
      </c>
      <c r="T61" s="0" t="str">
        <f aca="false">INDEX(Customers!$D$2:$D$101,MATCH(D61,Customers!$A$2:$A$101,0))</f>
        <v>Hyderabad</v>
      </c>
    </row>
    <row r="62" customFormat="false" ht="15" hidden="false" customHeight="false" outlineLevel="0" collapsed="false">
      <c r="A62" s="0" t="s">
        <v>279</v>
      </c>
      <c r="B62" s="37" t="n">
        <v>45854</v>
      </c>
      <c r="C62" s="37" t="n">
        <v>45856</v>
      </c>
      <c r="D62" s="38" t="s">
        <v>280</v>
      </c>
      <c r="E62" s="38" t="s">
        <v>117</v>
      </c>
      <c r="F62" s="38" t="s">
        <v>102</v>
      </c>
      <c r="G62" s="38" t="s">
        <v>185</v>
      </c>
      <c r="H62" s="0" t="n">
        <v>6</v>
      </c>
      <c r="I62" s="39" t="n">
        <v>6500</v>
      </c>
      <c r="J62" s="40" t="n">
        <v>0.1</v>
      </c>
      <c r="K62" s="39" t="n">
        <v>35100</v>
      </c>
      <c r="L62" s="39" t="n">
        <v>25200</v>
      </c>
      <c r="M62" s="39" t="n">
        <v>9900</v>
      </c>
      <c r="N62" s="38" t="s">
        <v>66</v>
      </c>
      <c r="O62" s="38" t="n">
        <f aca="false">YEAR(B62)</f>
        <v>2025</v>
      </c>
      <c r="P62" s="41" t="n">
        <f aca="false">DATE(YEAR(B62),MONTH(B62),1)</f>
        <v>45839</v>
      </c>
      <c r="Q62" s="0" t="str">
        <f aca="false">INDEX(Products!$C$2:$C$16,MATCH(E62,Products!$A$2:$A$16,0))</f>
        <v>Furniture</v>
      </c>
      <c r="R62" s="0" t="str">
        <f aca="false">INDEX(Customers!$F$2:$F$101,MATCH(D62,Customers!$A$2:$A$101,0))</f>
        <v>North</v>
      </c>
      <c r="S62" s="0" t="str">
        <f aca="false">INDEX(Customers!$C$2:$C$101,MATCH(D62,Customers!$A$2:$A$101,0))</f>
        <v>Corporate</v>
      </c>
      <c r="T62" s="0" t="str">
        <f aca="false">INDEX(Customers!$D$2:$D$101,MATCH(D62,Customers!$A$2:$A$101,0))</f>
        <v>Jaipur</v>
      </c>
    </row>
    <row r="63" customFormat="false" ht="15" hidden="false" customHeight="false" outlineLevel="0" collapsed="false">
      <c r="A63" s="0" t="s">
        <v>281</v>
      </c>
      <c r="B63" s="37" t="n">
        <v>46110</v>
      </c>
      <c r="C63" s="37" t="n">
        <v>46112</v>
      </c>
      <c r="D63" s="38" t="s">
        <v>180</v>
      </c>
      <c r="E63" s="38" t="s">
        <v>122</v>
      </c>
      <c r="F63" s="38" t="s">
        <v>102</v>
      </c>
      <c r="G63" s="38" t="s">
        <v>178</v>
      </c>
      <c r="H63" s="0" t="n">
        <v>3</v>
      </c>
      <c r="I63" s="39" t="n">
        <v>5500</v>
      </c>
      <c r="J63" s="40" t="n">
        <v>0.05</v>
      </c>
      <c r="K63" s="39" t="n">
        <v>15675</v>
      </c>
      <c r="L63" s="39" t="n">
        <v>11100</v>
      </c>
      <c r="M63" s="39" t="n">
        <v>4575</v>
      </c>
      <c r="N63" s="38" t="s">
        <v>66</v>
      </c>
      <c r="O63" s="38" t="n">
        <f aca="false">YEAR(B63)</f>
        <v>2026</v>
      </c>
      <c r="P63" s="41" t="n">
        <f aca="false">DATE(YEAR(B63),MONTH(B63),1)</f>
        <v>46082</v>
      </c>
      <c r="Q63" s="0" t="str">
        <f aca="false">INDEX(Products!$C$2:$C$16,MATCH(E63,Products!$A$2:$A$16,0))</f>
        <v>Furniture</v>
      </c>
      <c r="R63" s="0" t="str">
        <f aca="false">INDEX(Customers!$F$2:$F$101,MATCH(D63,Customers!$A$2:$A$101,0))</f>
        <v>West</v>
      </c>
      <c r="S63" s="0" t="str">
        <f aca="false">INDEX(Customers!$C$2:$C$101,MATCH(D63,Customers!$A$2:$A$101,0))</f>
        <v>Corporate</v>
      </c>
      <c r="T63" s="0" t="str">
        <f aca="false">INDEX(Customers!$D$2:$D$101,MATCH(D63,Customers!$A$2:$A$101,0))</f>
        <v>Mumbai</v>
      </c>
    </row>
    <row r="64" customFormat="false" ht="15" hidden="false" customHeight="false" outlineLevel="0" collapsed="false">
      <c r="A64" s="0" t="s">
        <v>282</v>
      </c>
      <c r="B64" s="37" t="n">
        <v>46153</v>
      </c>
      <c r="C64" s="37" t="n">
        <v>46154</v>
      </c>
      <c r="D64" s="38" t="s">
        <v>283</v>
      </c>
      <c r="E64" s="38" t="s">
        <v>116</v>
      </c>
      <c r="F64" s="38" t="s">
        <v>102</v>
      </c>
      <c r="G64" s="38" t="s">
        <v>173</v>
      </c>
      <c r="H64" s="0" t="n">
        <v>2</v>
      </c>
      <c r="I64" s="39" t="n">
        <v>12000</v>
      </c>
      <c r="J64" s="40" t="n">
        <v>0</v>
      </c>
      <c r="K64" s="39" t="n">
        <v>24000</v>
      </c>
      <c r="L64" s="39" t="n">
        <v>18000</v>
      </c>
      <c r="M64" s="39" t="n">
        <v>6000</v>
      </c>
      <c r="N64" s="38" t="s">
        <v>66</v>
      </c>
      <c r="O64" s="38" t="n">
        <f aca="false">YEAR(B64)</f>
        <v>2026</v>
      </c>
      <c r="P64" s="41" t="n">
        <f aca="false">DATE(YEAR(B64),MONTH(B64),1)</f>
        <v>46143</v>
      </c>
      <c r="Q64" s="0" t="str">
        <f aca="false">INDEX(Products!$C$2:$C$16,MATCH(E64,Products!$A$2:$A$16,0))</f>
        <v>Technology</v>
      </c>
      <c r="R64" s="0" t="str">
        <f aca="false">INDEX(Customers!$F$2:$F$101,MATCH(D64,Customers!$A$2:$A$101,0))</f>
        <v>West</v>
      </c>
      <c r="S64" s="0" t="str">
        <f aca="false">INDEX(Customers!$C$2:$C$101,MATCH(D64,Customers!$A$2:$A$101,0))</f>
        <v>Small Business</v>
      </c>
      <c r="T64" s="0" t="str">
        <f aca="false">INDEX(Customers!$D$2:$D$101,MATCH(D64,Customers!$A$2:$A$101,0))</f>
        <v>Mumbai</v>
      </c>
    </row>
    <row r="65" customFormat="false" ht="15" hidden="false" customHeight="false" outlineLevel="0" collapsed="false">
      <c r="A65" s="0" t="s">
        <v>284</v>
      </c>
      <c r="B65" s="37" t="n">
        <v>45813</v>
      </c>
      <c r="C65" s="37" t="n">
        <v>45819</v>
      </c>
      <c r="D65" s="38" t="s">
        <v>285</v>
      </c>
      <c r="E65" s="38" t="s">
        <v>117</v>
      </c>
      <c r="F65" s="38" t="s">
        <v>101</v>
      </c>
      <c r="G65" s="38" t="s">
        <v>185</v>
      </c>
      <c r="H65" s="0" t="n">
        <v>1</v>
      </c>
      <c r="I65" s="39" t="n">
        <v>6500</v>
      </c>
      <c r="J65" s="40" t="n">
        <v>0.25</v>
      </c>
      <c r="K65" s="39" t="n">
        <v>4875</v>
      </c>
      <c r="L65" s="39" t="n">
        <v>4200</v>
      </c>
      <c r="M65" s="39" t="n">
        <v>675</v>
      </c>
      <c r="N65" s="38" t="s">
        <v>66</v>
      </c>
      <c r="O65" s="38" t="n">
        <f aca="false">YEAR(B65)</f>
        <v>2025</v>
      </c>
      <c r="P65" s="41" t="n">
        <f aca="false">DATE(YEAR(B65),MONTH(B65),1)</f>
        <v>45809</v>
      </c>
      <c r="Q65" s="0" t="str">
        <f aca="false">INDEX(Products!$C$2:$C$16,MATCH(E65,Products!$A$2:$A$16,0))</f>
        <v>Furniture</v>
      </c>
      <c r="R65" s="0" t="str">
        <f aca="false">INDEX(Customers!$F$2:$F$101,MATCH(D65,Customers!$A$2:$A$101,0))</f>
        <v>South</v>
      </c>
      <c r="S65" s="0" t="str">
        <f aca="false">INDEX(Customers!$C$2:$C$101,MATCH(D65,Customers!$A$2:$A$101,0))</f>
        <v>Small Business</v>
      </c>
      <c r="T65" s="0" t="str">
        <f aca="false">INDEX(Customers!$D$2:$D$101,MATCH(D65,Customers!$A$2:$A$101,0))</f>
        <v>Hyderabad</v>
      </c>
    </row>
    <row r="66" customFormat="false" ht="15" hidden="false" customHeight="false" outlineLevel="0" collapsed="false">
      <c r="A66" s="0" t="s">
        <v>286</v>
      </c>
      <c r="B66" s="37" t="n">
        <v>45684</v>
      </c>
      <c r="C66" s="37" t="n">
        <v>45686</v>
      </c>
      <c r="D66" s="38" t="s">
        <v>287</v>
      </c>
      <c r="E66" s="38" t="s">
        <v>115</v>
      </c>
      <c r="F66" s="38" t="s">
        <v>102</v>
      </c>
      <c r="G66" s="38" t="s">
        <v>173</v>
      </c>
      <c r="H66" s="0" t="n">
        <v>6</v>
      </c>
      <c r="I66" s="39" t="n">
        <v>1500</v>
      </c>
      <c r="J66" s="40" t="n">
        <v>0.15</v>
      </c>
      <c r="K66" s="39" t="n">
        <v>7650</v>
      </c>
      <c r="L66" s="39" t="n">
        <v>5100</v>
      </c>
      <c r="M66" s="39" t="n">
        <v>2550</v>
      </c>
      <c r="N66" s="38" t="s">
        <v>66</v>
      </c>
      <c r="O66" s="38" t="n">
        <f aca="false">YEAR(B66)</f>
        <v>2025</v>
      </c>
      <c r="P66" s="41" t="n">
        <f aca="false">DATE(YEAR(B66),MONTH(B66),1)</f>
        <v>45658</v>
      </c>
      <c r="Q66" s="0" t="str">
        <f aca="false">INDEX(Products!$C$2:$C$16,MATCH(E66,Products!$A$2:$A$16,0))</f>
        <v>Technology</v>
      </c>
      <c r="R66" s="0" t="str">
        <f aca="false">INDEX(Customers!$F$2:$F$101,MATCH(D66,Customers!$A$2:$A$101,0))</f>
        <v>South</v>
      </c>
      <c r="S66" s="0" t="str">
        <f aca="false">INDEX(Customers!$C$2:$C$101,MATCH(D66,Customers!$A$2:$A$101,0))</f>
        <v>Small Business</v>
      </c>
      <c r="T66" s="0" t="str">
        <f aca="false">INDEX(Customers!$D$2:$D$101,MATCH(D66,Customers!$A$2:$A$101,0))</f>
        <v>Chennai</v>
      </c>
    </row>
    <row r="67" customFormat="false" ht="15" hidden="false" customHeight="false" outlineLevel="0" collapsed="false">
      <c r="A67" s="0" t="s">
        <v>288</v>
      </c>
      <c r="B67" s="37" t="n">
        <v>46100</v>
      </c>
      <c r="C67" s="37" t="n">
        <v>46107</v>
      </c>
      <c r="D67" s="38" t="s">
        <v>194</v>
      </c>
      <c r="E67" s="38" t="s">
        <v>125</v>
      </c>
      <c r="F67" s="38" t="s">
        <v>102</v>
      </c>
      <c r="G67" s="38" t="s">
        <v>170</v>
      </c>
      <c r="H67" s="0" t="n">
        <v>2</v>
      </c>
      <c r="I67" s="39" t="n">
        <v>600</v>
      </c>
      <c r="J67" s="40" t="n">
        <v>0.25</v>
      </c>
      <c r="K67" s="39" t="n">
        <v>900</v>
      </c>
      <c r="L67" s="39" t="n">
        <v>700</v>
      </c>
      <c r="M67" s="39" t="n">
        <v>200</v>
      </c>
      <c r="N67" s="38" t="s">
        <v>66</v>
      </c>
      <c r="O67" s="38" t="n">
        <f aca="false">YEAR(B67)</f>
        <v>2026</v>
      </c>
      <c r="P67" s="41" t="n">
        <f aca="false">DATE(YEAR(B67),MONTH(B67),1)</f>
        <v>46082</v>
      </c>
      <c r="Q67" s="0" t="str">
        <f aca="false">INDEX(Products!$C$2:$C$16,MATCH(E67,Products!$A$2:$A$16,0))</f>
        <v>Office Supplies</v>
      </c>
      <c r="R67" s="0" t="str">
        <f aca="false">INDEX(Customers!$F$2:$F$101,MATCH(D67,Customers!$A$2:$A$101,0))</f>
        <v>North</v>
      </c>
      <c r="S67" s="0" t="str">
        <f aca="false">INDEX(Customers!$C$2:$C$101,MATCH(D67,Customers!$A$2:$A$101,0))</f>
        <v>Small Business</v>
      </c>
      <c r="T67" s="0" t="str">
        <f aca="false">INDEX(Customers!$D$2:$D$101,MATCH(D67,Customers!$A$2:$A$101,0))</f>
        <v>Gurugram</v>
      </c>
    </row>
    <row r="68" customFormat="false" ht="15" hidden="false" customHeight="false" outlineLevel="0" collapsed="false">
      <c r="A68" s="0" t="s">
        <v>289</v>
      </c>
      <c r="B68" s="37" t="n">
        <v>45597</v>
      </c>
      <c r="C68" s="37" t="n">
        <v>45604</v>
      </c>
      <c r="D68" s="38" t="s">
        <v>175</v>
      </c>
      <c r="E68" s="38" t="s">
        <v>124</v>
      </c>
      <c r="F68" s="38" t="s">
        <v>101</v>
      </c>
      <c r="G68" s="38" t="s">
        <v>173</v>
      </c>
      <c r="H68" s="0" t="n">
        <v>3</v>
      </c>
      <c r="I68" s="39" t="n">
        <v>3000</v>
      </c>
      <c r="J68" s="40" t="n">
        <v>0.2</v>
      </c>
      <c r="K68" s="39" t="n">
        <v>7200</v>
      </c>
      <c r="L68" s="39" t="n">
        <v>5700</v>
      </c>
      <c r="M68" s="39" t="n">
        <v>1500</v>
      </c>
      <c r="N68" s="38" t="s">
        <v>66</v>
      </c>
      <c r="O68" s="38" t="n">
        <f aca="false">YEAR(B68)</f>
        <v>2024</v>
      </c>
      <c r="P68" s="41" t="n">
        <f aca="false">DATE(YEAR(B68),MONTH(B68),1)</f>
        <v>45597</v>
      </c>
      <c r="Q68" s="0" t="str">
        <f aca="false">INDEX(Products!$C$2:$C$16,MATCH(E68,Products!$A$2:$A$16,0))</f>
        <v>Technology</v>
      </c>
      <c r="R68" s="0" t="str">
        <f aca="false">INDEX(Customers!$F$2:$F$101,MATCH(D68,Customers!$A$2:$A$101,0))</f>
        <v>North</v>
      </c>
      <c r="S68" s="0" t="str">
        <f aca="false">INDEX(Customers!$C$2:$C$101,MATCH(D68,Customers!$A$2:$A$101,0))</f>
        <v>Corporate</v>
      </c>
      <c r="T68" s="0" t="str">
        <f aca="false">INDEX(Customers!$D$2:$D$101,MATCH(D68,Customers!$A$2:$A$101,0))</f>
        <v>Jaipur</v>
      </c>
    </row>
    <row r="69" customFormat="false" ht="15" hidden="false" customHeight="false" outlineLevel="0" collapsed="false">
      <c r="A69" s="0" t="s">
        <v>290</v>
      </c>
      <c r="B69" s="37" t="n">
        <v>45632</v>
      </c>
      <c r="C69" s="37" t="n">
        <v>45637</v>
      </c>
      <c r="D69" s="38" t="s">
        <v>249</v>
      </c>
      <c r="E69" s="38" t="s">
        <v>118</v>
      </c>
      <c r="F69" s="38" t="s">
        <v>101</v>
      </c>
      <c r="G69" s="38" t="s">
        <v>170</v>
      </c>
      <c r="H69" s="0" t="n">
        <v>4</v>
      </c>
      <c r="I69" s="39" t="n">
        <v>9000</v>
      </c>
      <c r="J69" s="40" t="n">
        <v>0.1</v>
      </c>
      <c r="K69" s="39" t="n">
        <v>32400</v>
      </c>
      <c r="L69" s="39" t="n">
        <v>26000</v>
      </c>
      <c r="M69" s="39" t="n">
        <v>6400</v>
      </c>
      <c r="N69" s="38" t="s">
        <v>66</v>
      </c>
      <c r="O69" s="38" t="n">
        <f aca="false">YEAR(B69)</f>
        <v>2024</v>
      </c>
      <c r="P69" s="41" t="n">
        <f aca="false">DATE(YEAR(B69),MONTH(B69),1)</f>
        <v>45627</v>
      </c>
      <c r="Q69" s="0" t="str">
        <f aca="false">INDEX(Products!$C$2:$C$16,MATCH(E69,Products!$A$2:$A$16,0))</f>
        <v>Furniture</v>
      </c>
      <c r="R69" s="0" t="str">
        <f aca="false">INDEX(Customers!$F$2:$F$101,MATCH(D69,Customers!$A$2:$A$101,0))</f>
        <v>East</v>
      </c>
      <c r="S69" s="0" t="str">
        <f aca="false">INDEX(Customers!$C$2:$C$101,MATCH(D69,Customers!$A$2:$A$101,0))</f>
        <v>Consumer</v>
      </c>
      <c r="T69" s="0" t="str">
        <f aca="false">INDEX(Customers!$D$2:$D$101,MATCH(D69,Customers!$A$2:$A$101,0))</f>
        <v>Kolkata</v>
      </c>
    </row>
    <row r="70" customFormat="false" ht="15" hidden="false" customHeight="false" outlineLevel="0" collapsed="false">
      <c r="A70" s="0" t="s">
        <v>291</v>
      </c>
      <c r="B70" s="37" t="n">
        <v>45877</v>
      </c>
      <c r="C70" s="37" t="n">
        <v>45881</v>
      </c>
      <c r="D70" s="38" t="s">
        <v>184</v>
      </c>
      <c r="E70" s="38" t="s">
        <v>116</v>
      </c>
      <c r="F70" s="38" t="s">
        <v>101</v>
      </c>
      <c r="G70" s="38" t="s">
        <v>178</v>
      </c>
      <c r="H70" s="0" t="n">
        <v>1</v>
      </c>
      <c r="I70" s="39" t="n">
        <v>12000</v>
      </c>
      <c r="J70" s="40" t="n">
        <v>0.25</v>
      </c>
      <c r="K70" s="39" t="n">
        <v>9000</v>
      </c>
      <c r="L70" s="39" t="n">
        <v>9000</v>
      </c>
      <c r="M70" s="39" t="n">
        <v>0</v>
      </c>
      <c r="N70" s="38" t="s">
        <v>66</v>
      </c>
      <c r="O70" s="38" t="n">
        <f aca="false">YEAR(B70)</f>
        <v>2025</v>
      </c>
      <c r="P70" s="41" t="n">
        <f aca="false">DATE(YEAR(B70),MONTH(B70),1)</f>
        <v>45870</v>
      </c>
      <c r="Q70" s="0" t="str">
        <f aca="false">INDEX(Products!$C$2:$C$16,MATCH(E70,Products!$A$2:$A$16,0))</f>
        <v>Technology</v>
      </c>
      <c r="R70" s="0" t="str">
        <f aca="false">INDEX(Customers!$F$2:$F$101,MATCH(D70,Customers!$A$2:$A$101,0))</f>
        <v>West</v>
      </c>
      <c r="S70" s="0" t="str">
        <f aca="false">INDEX(Customers!$C$2:$C$101,MATCH(D70,Customers!$A$2:$A$101,0))</f>
        <v>Consumer</v>
      </c>
      <c r="T70" s="0" t="str">
        <f aca="false">INDEX(Customers!$D$2:$D$101,MATCH(D70,Customers!$A$2:$A$101,0))</f>
        <v>Ahmedabad</v>
      </c>
    </row>
    <row r="71" customFormat="false" ht="15" hidden="false" customHeight="false" outlineLevel="0" collapsed="false">
      <c r="A71" s="0" t="s">
        <v>292</v>
      </c>
      <c r="B71" s="37" t="n">
        <v>46227</v>
      </c>
      <c r="C71" s="37" t="n">
        <v>46234</v>
      </c>
      <c r="D71" s="38" t="s">
        <v>213</v>
      </c>
      <c r="E71" s="38" t="s">
        <v>124</v>
      </c>
      <c r="F71" s="38" t="s">
        <v>102</v>
      </c>
      <c r="G71" s="38" t="s">
        <v>173</v>
      </c>
      <c r="H71" s="0" t="n">
        <v>2</v>
      </c>
      <c r="I71" s="39" t="n">
        <v>3000</v>
      </c>
      <c r="J71" s="40" t="n">
        <v>0.2</v>
      </c>
      <c r="K71" s="39" t="n">
        <v>4800</v>
      </c>
      <c r="L71" s="39" t="n">
        <v>3800</v>
      </c>
      <c r="M71" s="39" t="n">
        <v>1000</v>
      </c>
      <c r="N71" s="38" t="s">
        <v>66</v>
      </c>
      <c r="O71" s="38" t="n">
        <f aca="false">YEAR(B71)</f>
        <v>2026</v>
      </c>
      <c r="P71" s="41" t="n">
        <f aca="false">DATE(YEAR(B71),MONTH(B71),1)</f>
        <v>46204</v>
      </c>
      <c r="Q71" s="0" t="str">
        <f aca="false">INDEX(Products!$C$2:$C$16,MATCH(E71,Products!$A$2:$A$16,0))</f>
        <v>Technology</v>
      </c>
      <c r="R71" s="0" t="str">
        <f aca="false">INDEX(Customers!$F$2:$F$101,MATCH(D71,Customers!$A$2:$A$101,0))</f>
        <v>North</v>
      </c>
      <c r="S71" s="0" t="str">
        <f aca="false">INDEX(Customers!$C$2:$C$101,MATCH(D71,Customers!$A$2:$A$101,0))</f>
        <v>Small Business</v>
      </c>
      <c r="T71" s="0" t="str">
        <f aca="false">INDEX(Customers!$D$2:$D$101,MATCH(D71,Customers!$A$2:$A$101,0))</f>
        <v>Gurugram</v>
      </c>
    </row>
    <row r="72" customFormat="false" ht="15" hidden="false" customHeight="false" outlineLevel="0" collapsed="false">
      <c r="A72" s="0" t="s">
        <v>293</v>
      </c>
      <c r="B72" s="37" t="n">
        <v>45806</v>
      </c>
      <c r="C72" s="37" t="n">
        <v>45811</v>
      </c>
      <c r="D72" s="38" t="s">
        <v>294</v>
      </c>
      <c r="E72" s="38" t="s">
        <v>115</v>
      </c>
      <c r="F72" s="38" t="s">
        <v>101</v>
      </c>
      <c r="G72" s="38" t="s">
        <v>178</v>
      </c>
      <c r="H72" s="0" t="n">
        <v>2</v>
      </c>
      <c r="I72" s="39" t="n">
        <v>1500</v>
      </c>
      <c r="J72" s="40" t="n">
        <v>0</v>
      </c>
      <c r="K72" s="39" t="n">
        <v>3000</v>
      </c>
      <c r="L72" s="39" t="n">
        <v>1700</v>
      </c>
      <c r="M72" s="39" t="n">
        <v>1300</v>
      </c>
      <c r="N72" s="38" t="s">
        <v>66</v>
      </c>
      <c r="O72" s="38" t="n">
        <f aca="false">YEAR(B72)</f>
        <v>2025</v>
      </c>
      <c r="P72" s="41" t="n">
        <f aca="false">DATE(YEAR(B72),MONTH(B72),1)</f>
        <v>45778</v>
      </c>
      <c r="Q72" s="0" t="str">
        <f aca="false">INDEX(Products!$C$2:$C$16,MATCH(E72,Products!$A$2:$A$16,0))</f>
        <v>Technology</v>
      </c>
      <c r="R72" s="0" t="str">
        <f aca="false">INDEX(Customers!$F$2:$F$101,MATCH(D72,Customers!$A$2:$A$101,0))</f>
        <v>South</v>
      </c>
      <c r="S72" s="0" t="str">
        <f aca="false">INDEX(Customers!$C$2:$C$101,MATCH(D72,Customers!$A$2:$A$101,0))</f>
        <v>Small Business</v>
      </c>
      <c r="T72" s="0" t="str">
        <f aca="false">INDEX(Customers!$D$2:$D$101,MATCH(D72,Customers!$A$2:$A$101,0))</f>
        <v>Chennai</v>
      </c>
    </row>
    <row r="73" customFormat="false" ht="15" hidden="false" customHeight="false" outlineLevel="0" collapsed="false">
      <c r="A73" s="0" t="s">
        <v>295</v>
      </c>
      <c r="B73" s="37" t="n">
        <v>46031</v>
      </c>
      <c r="C73" s="37" t="n">
        <v>46033</v>
      </c>
      <c r="D73" s="38" t="s">
        <v>227</v>
      </c>
      <c r="E73" s="38" t="s">
        <v>113</v>
      </c>
      <c r="F73" s="38" t="s">
        <v>100</v>
      </c>
      <c r="G73" s="38" t="s">
        <v>178</v>
      </c>
      <c r="H73" s="0" t="n">
        <v>2</v>
      </c>
      <c r="I73" s="39" t="n">
        <v>45000</v>
      </c>
      <c r="J73" s="40" t="n">
        <v>0.2</v>
      </c>
      <c r="K73" s="39" t="n">
        <v>72000</v>
      </c>
      <c r="L73" s="39" t="n">
        <v>72000</v>
      </c>
      <c r="M73" s="39" t="n">
        <v>0</v>
      </c>
      <c r="N73" s="38" t="s">
        <v>66</v>
      </c>
      <c r="O73" s="38" t="n">
        <f aca="false">YEAR(B73)</f>
        <v>2026</v>
      </c>
      <c r="P73" s="41" t="n">
        <f aca="false">DATE(YEAR(B73),MONTH(B73),1)</f>
        <v>46023</v>
      </c>
      <c r="Q73" s="0" t="str">
        <f aca="false">INDEX(Products!$C$2:$C$16,MATCH(E73,Products!$A$2:$A$16,0))</f>
        <v>Technology</v>
      </c>
      <c r="R73" s="0" t="str">
        <f aca="false">INDEX(Customers!$F$2:$F$101,MATCH(D73,Customers!$A$2:$A$101,0))</f>
        <v>North</v>
      </c>
      <c r="S73" s="0" t="str">
        <f aca="false">INDEX(Customers!$C$2:$C$101,MATCH(D73,Customers!$A$2:$A$101,0))</f>
        <v>Consumer</v>
      </c>
      <c r="T73" s="0" t="str">
        <f aca="false">INDEX(Customers!$D$2:$D$101,MATCH(D73,Customers!$A$2:$A$101,0))</f>
        <v>Delhi</v>
      </c>
    </row>
    <row r="74" customFormat="false" ht="15" hidden="false" customHeight="false" outlineLevel="0" collapsed="false">
      <c r="A74" s="0" t="s">
        <v>296</v>
      </c>
      <c r="B74" s="37" t="n">
        <v>45930</v>
      </c>
      <c r="C74" s="37" t="n">
        <v>45936</v>
      </c>
      <c r="D74" s="38" t="s">
        <v>234</v>
      </c>
      <c r="E74" s="38" t="s">
        <v>118</v>
      </c>
      <c r="F74" s="38" t="s">
        <v>101</v>
      </c>
      <c r="G74" s="38" t="s">
        <v>188</v>
      </c>
      <c r="H74" s="0" t="n">
        <v>2</v>
      </c>
      <c r="I74" s="39" t="n">
        <v>9000</v>
      </c>
      <c r="J74" s="40" t="n">
        <v>0</v>
      </c>
      <c r="K74" s="39" t="n">
        <v>18000</v>
      </c>
      <c r="L74" s="39" t="n">
        <v>13000</v>
      </c>
      <c r="M74" s="39" t="n">
        <v>5000</v>
      </c>
      <c r="N74" s="38" t="s">
        <v>66</v>
      </c>
      <c r="O74" s="38" t="n">
        <f aca="false">YEAR(B74)</f>
        <v>2025</v>
      </c>
      <c r="P74" s="41" t="n">
        <f aca="false">DATE(YEAR(B74),MONTH(B74),1)</f>
        <v>45901</v>
      </c>
      <c r="Q74" s="0" t="str">
        <f aca="false">INDEX(Products!$C$2:$C$16,MATCH(E74,Products!$A$2:$A$16,0))</f>
        <v>Furniture</v>
      </c>
      <c r="R74" s="0" t="str">
        <f aca="false">INDEX(Customers!$F$2:$F$101,MATCH(D74,Customers!$A$2:$A$101,0))</f>
        <v>South</v>
      </c>
      <c r="S74" s="0" t="str">
        <f aca="false">INDEX(Customers!$C$2:$C$101,MATCH(D74,Customers!$A$2:$A$101,0))</f>
        <v>Corporate</v>
      </c>
      <c r="T74" s="0" t="str">
        <f aca="false">INDEX(Customers!$D$2:$D$101,MATCH(D74,Customers!$A$2:$A$101,0))</f>
        <v>Bengaluru</v>
      </c>
    </row>
    <row r="75" customFormat="false" ht="15" hidden="false" customHeight="false" outlineLevel="0" collapsed="false">
      <c r="A75" s="0" t="s">
        <v>297</v>
      </c>
      <c r="B75" s="37" t="n">
        <v>46027</v>
      </c>
      <c r="C75" s="37" t="n">
        <v>46034</v>
      </c>
      <c r="D75" s="38" t="s">
        <v>298</v>
      </c>
      <c r="E75" s="38" t="s">
        <v>123</v>
      </c>
      <c r="F75" s="38" t="s">
        <v>100</v>
      </c>
      <c r="G75" s="38" t="s">
        <v>188</v>
      </c>
      <c r="H75" s="0" t="n">
        <v>2</v>
      </c>
      <c r="I75" s="39" t="n">
        <v>2200</v>
      </c>
      <c r="J75" s="40" t="n">
        <v>0.15</v>
      </c>
      <c r="K75" s="39" t="n">
        <v>3740</v>
      </c>
      <c r="L75" s="39" t="n">
        <v>2600</v>
      </c>
      <c r="M75" s="39" t="n">
        <v>1140</v>
      </c>
      <c r="N75" s="38" t="s">
        <v>66</v>
      </c>
      <c r="O75" s="38" t="n">
        <f aca="false">YEAR(B75)</f>
        <v>2026</v>
      </c>
      <c r="P75" s="41" t="n">
        <f aca="false">DATE(YEAR(B75),MONTH(B75),1)</f>
        <v>46023</v>
      </c>
      <c r="Q75" s="0" t="str">
        <f aca="false">INDEX(Products!$C$2:$C$16,MATCH(E75,Products!$A$2:$A$16,0))</f>
        <v>Technology</v>
      </c>
      <c r="R75" s="0" t="str">
        <f aca="false">INDEX(Customers!$F$2:$F$101,MATCH(D75,Customers!$A$2:$A$101,0))</f>
        <v>North</v>
      </c>
      <c r="S75" s="0" t="str">
        <f aca="false">INDEX(Customers!$C$2:$C$101,MATCH(D75,Customers!$A$2:$A$101,0))</f>
        <v>Consumer</v>
      </c>
      <c r="T75" s="0" t="str">
        <f aca="false">INDEX(Customers!$D$2:$D$101,MATCH(D75,Customers!$A$2:$A$101,0))</f>
        <v>Lucknow</v>
      </c>
    </row>
    <row r="76" customFormat="false" ht="15" hidden="false" customHeight="false" outlineLevel="0" collapsed="false">
      <c r="A76" s="0" t="s">
        <v>299</v>
      </c>
      <c r="B76" s="37" t="n">
        <v>46235</v>
      </c>
      <c r="C76" s="37" t="n">
        <v>46238</v>
      </c>
      <c r="D76" s="38" t="s">
        <v>180</v>
      </c>
      <c r="E76" s="38" t="s">
        <v>123</v>
      </c>
      <c r="F76" s="38" t="s">
        <v>100</v>
      </c>
      <c r="G76" s="38" t="s">
        <v>185</v>
      </c>
      <c r="H76" s="0" t="n">
        <v>10</v>
      </c>
      <c r="I76" s="39" t="n">
        <v>2200</v>
      </c>
      <c r="J76" s="40" t="n">
        <v>0.2</v>
      </c>
      <c r="K76" s="39" t="n">
        <v>17600</v>
      </c>
      <c r="L76" s="39" t="n">
        <v>13000</v>
      </c>
      <c r="M76" s="39" t="n">
        <v>4600</v>
      </c>
      <c r="N76" s="38" t="s">
        <v>147</v>
      </c>
      <c r="O76" s="38" t="n">
        <f aca="false">YEAR(B76)</f>
        <v>2026</v>
      </c>
      <c r="P76" s="41" t="n">
        <f aca="false">DATE(YEAR(B76),MONTH(B76),1)</f>
        <v>46235</v>
      </c>
      <c r="Q76" s="0" t="str">
        <f aca="false">INDEX(Products!$C$2:$C$16,MATCH(E76,Products!$A$2:$A$16,0))</f>
        <v>Technology</v>
      </c>
      <c r="R76" s="0" t="str">
        <f aca="false">INDEX(Customers!$F$2:$F$101,MATCH(D76,Customers!$A$2:$A$101,0))</f>
        <v>West</v>
      </c>
      <c r="S76" s="0" t="str">
        <f aca="false">INDEX(Customers!$C$2:$C$101,MATCH(D76,Customers!$A$2:$A$101,0))</f>
        <v>Corporate</v>
      </c>
      <c r="T76" s="0" t="str">
        <f aca="false">INDEX(Customers!$D$2:$D$101,MATCH(D76,Customers!$A$2:$A$101,0))</f>
        <v>Mumbai</v>
      </c>
    </row>
    <row r="77" customFormat="false" ht="15" hidden="false" customHeight="false" outlineLevel="0" collapsed="false">
      <c r="A77" s="0" t="s">
        <v>300</v>
      </c>
      <c r="B77" s="37" t="n">
        <v>46012</v>
      </c>
      <c r="C77" s="37" t="n">
        <v>46019</v>
      </c>
      <c r="D77" s="38" t="s">
        <v>270</v>
      </c>
      <c r="E77" s="38" t="s">
        <v>123</v>
      </c>
      <c r="F77" s="38" t="s">
        <v>102</v>
      </c>
      <c r="G77" s="38" t="s">
        <v>170</v>
      </c>
      <c r="H77" s="0" t="n">
        <v>1</v>
      </c>
      <c r="I77" s="39" t="n">
        <v>2200</v>
      </c>
      <c r="J77" s="40" t="n">
        <v>0</v>
      </c>
      <c r="K77" s="39" t="n">
        <v>2200</v>
      </c>
      <c r="L77" s="39" t="n">
        <v>1300</v>
      </c>
      <c r="M77" s="39" t="n">
        <v>900</v>
      </c>
      <c r="N77" s="38" t="s">
        <v>66</v>
      </c>
      <c r="O77" s="38" t="n">
        <f aca="false">YEAR(B77)</f>
        <v>2025</v>
      </c>
      <c r="P77" s="41" t="n">
        <f aca="false">DATE(YEAR(B77),MONTH(B77),1)</f>
        <v>45992</v>
      </c>
      <c r="Q77" s="0" t="str">
        <f aca="false">INDEX(Products!$C$2:$C$16,MATCH(E77,Products!$A$2:$A$16,0))</f>
        <v>Technology</v>
      </c>
      <c r="R77" s="0" t="str">
        <f aca="false">INDEX(Customers!$F$2:$F$101,MATCH(D77,Customers!$A$2:$A$101,0))</f>
        <v>West</v>
      </c>
      <c r="S77" s="0" t="str">
        <f aca="false">INDEX(Customers!$C$2:$C$101,MATCH(D77,Customers!$A$2:$A$101,0))</f>
        <v>Small Business</v>
      </c>
      <c r="T77" s="0" t="str">
        <f aca="false">INDEX(Customers!$D$2:$D$101,MATCH(D77,Customers!$A$2:$A$101,0))</f>
        <v>Pune</v>
      </c>
    </row>
    <row r="78" customFormat="false" ht="15" hidden="false" customHeight="false" outlineLevel="0" collapsed="false">
      <c r="A78" s="0" t="s">
        <v>301</v>
      </c>
      <c r="B78" s="37" t="n">
        <v>46107</v>
      </c>
      <c r="C78" s="37" t="n">
        <v>46108</v>
      </c>
      <c r="D78" s="38" t="s">
        <v>302</v>
      </c>
      <c r="E78" s="38" t="s">
        <v>118</v>
      </c>
      <c r="F78" s="38" t="s">
        <v>101</v>
      </c>
      <c r="G78" s="38" t="s">
        <v>173</v>
      </c>
      <c r="H78" s="0" t="n">
        <v>1</v>
      </c>
      <c r="I78" s="39" t="n">
        <v>9000</v>
      </c>
      <c r="J78" s="40" t="n">
        <v>0.05</v>
      </c>
      <c r="K78" s="39" t="n">
        <v>8550</v>
      </c>
      <c r="L78" s="39" t="n">
        <v>6500</v>
      </c>
      <c r="M78" s="39" t="n">
        <v>2050</v>
      </c>
      <c r="N78" s="38" t="s">
        <v>66</v>
      </c>
      <c r="O78" s="38" t="n">
        <f aca="false">YEAR(B78)</f>
        <v>2026</v>
      </c>
      <c r="P78" s="41" t="n">
        <f aca="false">DATE(YEAR(B78),MONTH(B78),1)</f>
        <v>46082</v>
      </c>
      <c r="Q78" s="0" t="str">
        <f aca="false">INDEX(Products!$C$2:$C$16,MATCH(E78,Products!$A$2:$A$16,0))</f>
        <v>Furniture</v>
      </c>
      <c r="R78" s="0" t="str">
        <f aca="false">INDEX(Customers!$F$2:$F$101,MATCH(D78,Customers!$A$2:$A$101,0))</f>
        <v>East</v>
      </c>
      <c r="S78" s="0" t="str">
        <f aca="false">INDEX(Customers!$C$2:$C$101,MATCH(D78,Customers!$A$2:$A$101,0))</f>
        <v>Consumer</v>
      </c>
      <c r="T78" s="0" t="str">
        <f aca="false">INDEX(Customers!$D$2:$D$101,MATCH(D78,Customers!$A$2:$A$101,0))</f>
        <v>Bhubaneswar</v>
      </c>
    </row>
    <row r="79" customFormat="false" ht="15" hidden="false" customHeight="false" outlineLevel="0" collapsed="false">
      <c r="A79" s="0" t="s">
        <v>303</v>
      </c>
      <c r="B79" s="37" t="n">
        <v>45990</v>
      </c>
      <c r="C79" s="37" t="n">
        <v>45997</v>
      </c>
      <c r="D79" s="38" t="s">
        <v>198</v>
      </c>
      <c r="E79" s="38" t="s">
        <v>122</v>
      </c>
      <c r="F79" s="38" t="s">
        <v>100</v>
      </c>
      <c r="G79" s="38" t="s">
        <v>188</v>
      </c>
      <c r="H79" s="0" t="n">
        <v>1</v>
      </c>
      <c r="I79" s="39" t="n">
        <v>5500</v>
      </c>
      <c r="J79" s="40" t="n">
        <v>0</v>
      </c>
      <c r="K79" s="39" t="n">
        <v>5500</v>
      </c>
      <c r="L79" s="39" t="n">
        <v>3700</v>
      </c>
      <c r="M79" s="39" t="n">
        <v>1800</v>
      </c>
      <c r="N79" s="38" t="s">
        <v>66</v>
      </c>
      <c r="O79" s="38" t="n">
        <f aca="false">YEAR(B79)</f>
        <v>2025</v>
      </c>
      <c r="P79" s="41" t="n">
        <f aca="false">DATE(YEAR(B79),MONTH(B79),1)</f>
        <v>45962</v>
      </c>
      <c r="Q79" s="0" t="str">
        <f aca="false">INDEX(Products!$C$2:$C$16,MATCH(E79,Products!$A$2:$A$16,0))</f>
        <v>Furniture</v>
      </c>
      <c r="R79" s="0" t="str">
        <f aca="false">INDEX(Customers!$F$2:$F$101,MATCH(D79,Customers!$A$2:$A$101,0))</f>
        <v>North</v>
      </c>
      <c r="S79" s="0" t="str">
        <f aca="false">INDEX(Customers!$C$2:$C$101,MATCH(D79,Customers!$A$2:$A$101,0))</f>
        <v>Consumer</v>
      </c>
      <c r="T79" s="0" t="str">
        <f aca="false">INDEX(Customers!$D$2:$D$101,MATCH(D79,Customers!$A$2:$A$101,0))</f>
        <v>Gurugram</v>
      </c>
    </row>
    <row r="80" customFormat="false" ht="15" hidden="false" customHeight="false" outlineLevel="0" collapsed="false">
      <c r="A80" s="0" t="s">
        <v>304</v>
      </c>
      <c r="B80" s="37" t="n">
        <v>45538</v>
      </c>
      <c r="C80" s="37" t="n">
        <v>45542</v>
      </c>
      <c r="D80" s="38" t="s">
        <v>305</v>
      </c>
      <c r="E80" s="38" t="s">
        <v>123</v>
      </c>
      <c r="F80" s="38" t="s">
        <v>100</v>
      </c>
      <c r="G80" s="38" t="s">
        <v>185</v>
      </c>
      <c r="H80" s="0" t="n">
        <v>6</v>
      </c>
      <c r="I80" s="39" t="n">
        <v>2200</v>
      </c>
      <c r="J80" s="40" t="n">
        <v>0</v>
      </c>
      <c r="K80" s="39" t="n">
        <v>13200</v>
      </c>
      <c r="L80" s="39" t="n">
        <v>7800</v>
      </c>
      <c r="M80" s="39" t="n">
        <v>5400</v>
      </c>
      <c r="N80" s="38" t="s">
        <v>66</v>
      </c>
      <c r="O80" s="38" t="n">
        <f aca="false">YEAR(B80)</f>
        <v>2024</v>
      </c>
      <c r="P80" s="41" t="n">
        <f aca="false">DATE(YEAR(B80),MONTH(B80),1)</f>
        <v>45536</v>
      </c>
      <c r="Q80" s="0" t="str">
        <f aca="false">INDEX(Products!$C$2:$C$16,MATCH(E80,Products!$A$2:$A$16,0))</f>
        <v>Technology</v>
      </c>
      <c r="R80" s="0" t="str">
        <f aca="false">INDEX(Customers!$F$2:$F$101,MATCH(D80,Customers!$A$2:$A$101,0))</f>
        <v>South</v>
      </c>
      <c r="S80" s="0" t="str">
        <f aca="false">INDEX(Customers!$C$2:$C$101,MATCH(D80,Customers!$A$2:$A$101,0))</f>
        <v>Consumer</v>
      </c>
      <c r="T80" s="0" t="str">
        <f aca="false">INDEX(Customers!$D$2:$D$101,MATCH(D80,Customers!$A$2:$A$101,0))</f>
        <v>Chennai</v>
      </c>
    </row>
    <row r="81" customFormat="false" ht="15" hidden="false" customHeight="false" outlineLevel="0" collapsed="false">
      <c r="A81" s="0" t="s">
        <v>306</v>
      </c>
      <c r="B81" s="37" t="n">
        <v>45974</v>
      </c>
      <c r="C81" s="37" t="n">
        <v>45975</v>
      </c>
      <c r="D81" s="38" t="s">
        <v>227</v>
      </c>
      <c r="E81" s="38" t="s">
        <v>117</v>
      </c>
      <c r="F81" s="38" t="s">
        <v>101</v>
      </c>
      <c r="G81" s="38" t="s">
        <v>188</v>
      </c>
      <c r="H81" s="0" t="n">
        <v>6</v>
      </c>
      <c r="I81" s="39" t="n">
        <v>6500</v>
      </c>
      <c r="J81" s="40" t="n">
        <v>0.1</v>
      </c>
      <c r="K81" s="39" t="n">
        <v>35100</v>
      </c>
      <c r="L81" s="39" t="n">
        <v>25200</v>
      </c>
      <c r="M81" s="39" t="n">
        <v>9900</v>
      </c>
      <c r="N81" s="38" t="s">
        <v>66</v>
      </c>
      <c r="O81" s="38" t="n">
        <f aca="false">YEAR(B81)</f>
        <v>2025</v>
      </c>
      <c r="P81" s="41" t="n">
        <f aca="false">DATE(YEAR(B81),MONTH(B81),1)</f>
        <v>45962</v>
      </c>
      <c r="Q81" s="0" t="str">
        <f aca="false">INDEX(Products!$C$2:$C$16,MATCH(E81,Products!$A$2:$A$16,0))</f>
        <v>Furniture</v>
      </c>
      <c r="R81" s="0" t="str">
        <f aca="false">INDEX(Customers!$F$2:$F$101,MATCH(D81,Customers!$A$2:$A$101,0))</f>
        <v>North</v>
      </c>
      <c r="S81" s="0" t="str">
        <f aca="false">INDEX(Customers!$C$2:$C$101,MATCH(D81,Customers!$A$2:$A$101,0))</f>
        <v>Consumer</v>
      </c>
      <c r="T81" s="0" t="str">
        <f aca="false">INDEX(Customers!$D$2:$D$101,MATCH(D81,Customers!$A$2:$A$101,0))</f>
        <v>Delhi</v>
      </c>
    </row>
    <row r="82" customFormat="false" ht="15" hidden="false" customHeight="false" outlineLevel="0" collapsed="false">
      <c r="A82" s="0" t="s">
        <v>307</v>
      </c>
      <c r="B82" s="37" t="n">
        <v>45893</v>
      </c>
      <c r="C82" s="37" t="n">
        <v>45896</v>
      </c>
      <c r="D82" s="38" t="s">
        <v>172</v>
      </c>
      <c r="E82" s="38" t="s">
        <v>118</v>
      </c>
      <c r="F82" s="38" t="s">
        <v>102</v>
      </c>
      <c r="G82" s="38" t="s">
        <v>170</v>
      </c>
      <c r="H82" s="0" t="n">
        <v>3</v>
      </c>
      <c r="I82" s="39" t="n">
        <v>9000</v>
      </c>
      <c r="J82" s="40" t="n">
        <v>0.1</v>
      </c>
      <c r="K82" s="39" t="n">
        <v>24300</v>
      </c>
      <c r="L82" s="39" t="n">
        <v>19500</v>
      </c>
      <c r="M82" s="39" t="n">
        <v>4800</v>
      </c>
      <c r="N82" s="38" t="s">
        <v>66</v>
      </c>
      <c r="O82" s="38" t="n">
        <f aca="false">YEAR(B82)</f>
        <v>2025</v>
      </c>
      <c r="P82" s="41" t="n">
        <f aca="false">DATE(YEAR(B82),MONTH(B82),1)</f>
        <v>45870</v>
      </c>
      <c r="Q82" s="0" t="str">
        <f aca="false">INDEX(Products!$C$2:$C$16,MATCH(E82,Products!$A$2:$A$16,0))</f>
        <v>Furniture</v>
      </c>
      <c r="R82" s="0" t="str">
        <f aca="false">INDEX(Customers!$F$2:$F$101,MATCH(D82,Customers!$A$2:$A$101,0))</f>
        <v>East</v>
      </c>
      <c r="S82" s="0" t="str">
        <f aca="false">INDEX(Customers!$C$2:$C$101,MATCH(D82,Customers!$A$2:$A$101,0))</f>
        <v>Consumer</v>
      </c>
      <c r="T82" s="0" t="str">
        <f aca="false">INDEX(Customers!$D$2:$D$101,MATCH(D82,Customers!$A$2:$A$101,0))</f>
        <v>Bhubaneswar</v>
      </c>
    </row>
    <row r="83" customFormat="false" ht="15" hidden="false" customHeight="false" outlineLevel="0" collapsed="false">
      <c r="A83" s="0" t="s">
        <v>308</v>
      </c>
      <c r="B83" s="37" t="n">
        <v>45685</v>
      </c>
      <c r="C83" s="37" t="n">
        <v>45692</v>
      </c>
      <c r="D83" s="38" t="s">
        <v>253</v>
      </c>
      <c r="E83" s="38" t="s">
        <v>116</v>
      </c>
      <c r="F83" s="38" t="s">
        <v>101</v>
      </c>
      <c r="G83" s="38" t="s">
        <v>188</v>
      </c>
      <c r="H83" s="0" t="n">
        <v>2</v>
      </c>
      <c r="I83" s="39" t="n">
        <v>12000</v>
      </c>
      <c r="J83" s="40" t="n">
        <v>0</v>
      </c>
      <c r="K83" s="39" t="n">
        <v>24000</v>
      </c>
      <c r="L83" s="39" t="n">
        <v>18000</v>
      </c>
      <c r="M83" s="39" t="n">
        <v>6000</v>
      </c>
      <c r="N83" s="38" t="s">
        <v>66</v>
      </c>
      <c r="O83" s="38" t="n">
        <f aca="false">YEAR(B83)</f>
        <v>2025</v>
      </c>
      <c r="P83" s="41" t="n">
        <f aca="false">DATE(YEAR(B83),MONTH(B83),1)</f>
        <v>45658</v>
      </c>
      <c r="Q83" s="0" t="str">
        <f aca="false">INDEX(Products!$C$2:$C$16,MATCH(E83,Products!$A$2:$A$16,0))</f>
        <v>Technology</v>
      </c>
      <c r="R83" s="0" t="str">
        <f aca="false">INDEX(Customers!$F$2:$F$101,MATCH(D83,Customers!$A$2:$A$101,0))</f>
        <v>East</v>
      </c>
      <c r="S83" s="0" t="str">
        <f aca="false">INDEX(Customers!$C$2:$C$101,MATCH(D83,Customers!$A$2:$A$101,0))</f>
        <v>Small Business</v>
      </c>
      <c r="T83" s="0" t="str">
        <f aca="false">INDEX(Customers!$D$2:$D$101,MATCH(D83,Customers!$A$2:$A$101,0))</f>
        <v>Bhubaneswar</v>
      </c>
    </row>
    <row r="84" customFormat="false" ht="15" hidden="false" customHeight="false" outlineLevel="0" collapsed="false">
      <c r="A84" s="0" t="s">
        <v>309</v>
      </c>
      <c r="B84" s="37" t="n">
        <v>45594</v>
      </c>
      <c r="C84" s="37" t="n">
        <v>45595</v>
      </c>
      <c r="D84" s="38" t="s">
        <v>310</v>
      </c>
      <c r="E84" s="38" t="s">
        <v>124</v>
      </c>
      <c r="F84" s="38" t="s">
        <v>101</v>
      </c>
      <c r="G84" s="38" t="s">
        <v>170</v>
      </c>
      <c r="H84" s="0" t="n">
        <v>8</v>
      </c>
      <c r="I84" s="39" t="n">
        <v>3000</v>
      </c>
      <c r="J84" s="40" t="n">
        <v>0.2</v>
      </c>
      <c r="K84" s="39" t="n">
        <v>19200</v>
      </c>
      <c r="L84" s="39" t="n">
        <v>15200</v>
      </c>
      <c r="M84" s="39" t="n">
        <v>4000</v>
      </c>
      <c r="N84" s="38" t="s">
        <v>66</v>
      </c>
      <c r="O84" s="38" t="n">
        <f aca="false">YEAR(B84)</f>
        <v>2024</v>
      </c>
      <c r="P84" s="41" t="n">
        <f aca="false">DATE(YEAR(B84),MONTH(B84),1)</f>
        <v>45566</v>
      </c>
      <c r="Q84" s="0" t="str">
        <f aca="false">INDEX(Products!$C$2:$C$16,MATCH(E84,Products!$A$2:$A$16,0))</f>
        <v>Technology</v>
      </c>
      <c r="R84" s="0" t="str">
        <f aca="false">INDEX(Customers!$F$2:$F$101,MATCH(D84,Customers!$A$2:$A$101,0))</f>
        <v>South</v>
      </c>
      <c r="S84" s="0" t="str">
        <f aca="false">INDEX(Customers!$C$2:$C$101,MATCH(D84,Customers!$A$2:$A$101,0))</f>
        <v>Small Business</v>
      </c>
      <c r="T84" s="0" t="str">
        <f aca="false">INDEX(Customers!$D$2:$D$101,MATCH(D84,Customers!$A$2:$A$101,0))</f>
        <v>Hyderabad</v>
      </c>
    </row>
    <row r="85" customFormat="false" ht="15" hidden="false" customHeight="false" outlineLevel="0" collapsed="false">
      <c r="A85" s="0" t="s">
        <v>311</v>
      </c>
      <c r="B85" s="37" t="n">
        <v>46054</v>
      </c>
      <c r="C85" s="37" t="n">
        <v>46055</v>
      </c>
      <c r="D85" s="38" t="s">
        <v>312</v>
      </c>
      <c r="E85" s="38" t="s">
        <v>125</v>
      </c>
      <c r="F85" s="38" t="s">
        <v>101</v>
      </c>
      <c r="G85" s="38" t="s">
        <v>170</v>
      </c>
      <c r="H85" s="0" t="n">
        <v>6</v>
      </c>
      <c r="I85" s="39" t="n">
        <v>600</v>
      </c>
      <c r="J85" s="40" t="n">
        <v>0.2</v>
      </c>
      <c r="K85" s="39" t="n">
        <v>2880</v>
      </c>
      <c r="L85" s="39" t="n">
        <v>2100</v>
      </c>
      <c r="M85" s="39" t="n">
        <v>780</v>
      </c>
      <c r="N85" s="38" t="s">
        <v>66</v>
      </c>
      <c r="O85" s="38" t="n">
        <f aca="false">YEAR(B85)</f>
        <v>2026</v>
      </c>
      <c r="P85" s="41" t="n">
        <f aca="false">DATE(YEAR(B85),MONTH(B85),1)</f>
        <v>46054</v>
      </c>
      <c r="Q85" s="0" t="str">
        <f aca="false">INDEX(Products!$C$2:$C$16,MATCH(E85,Products!$A$2:$A$16,0))</f>
        <v>Office Supplies</v>
      </c>
      <c r="R85" s="0" t="str">
        <f aca="false">INDEX(Customers!$F$2:$F$101,MATCH(D85,Customers!$A$2:$A$101,0))</f>
        <v>North</v>
      </c>
      <c r="S85" s="0" t="str">
        <f aca="false">INDEX(Customers!$C$2:$C$101,MATCH(D85,Customers!$A$2:$A$101,0))</f>
        <v>Corporate</v>
      </c>
      <c r="T85" s="0" t="str">
        <f aca="false">INDEX(Customers!$D$2:$D$101,MATCH(D85,Customers!$A$2:$A$101,0))</f>
        <v>Delhi</v>
      </c>
    </row>
    <row r="86" customFormat="false" ht="15" hidden="false" customHeight="false" outlineLevel="0" collapsed="false">
      <c r="A86" s="0" t="s">
        <v>313</v>
      </c>
      <c r="B86" s="37" t="n">
        <v>46113</v>
      </c>
      <c r="C86" s="37" t="n">
        <v>46116</v>
      </c>
      <c r="D86" s="38" t="s">
        <v>314</v>
      </c>
      <c r="E86" s="38" t="s">
        <v>122</v>
      </c>
      <c r="F86" s="38" t="s">
        <v>102</v>
      </c>
      <c r="G86" s="38" t="s">
        <v>170</v>
      </c>
      <c r="H86" s="0" t="n">
        <v>1</v>
      </c>
      <c r="I86" s="39" t="n">
        <v>5500</v>
      </c>
      <c r="J86" s="40" t="n">
        <v>0</v>
      </c>
      <c r="K86" s="39" t="n">
        <v>5500</v>
      </c>
      <c r="L86" s="39" t="n">
        <v>3700</v>
      </c>
      <c r="M86" s="39" t="n">
        <v>1800</v>
      </c>
      <c r="N86" s="38" t="s">
        <v>66</v>
      </c>
      <c r="O86" s="38" t="n">
        <f aca="false">YEAR(B86)</f>
        <v>2026</v>
      </c>
      <c r="P86" s="41" t="n">
        <f aca="false">DATE(YEAR(B86),MONTH(B86),1)</f>
        <v>46113</v>
      </c>
      <c r="Q86" s="0" t="str">
        <f aca="false">INDEX(Products!$C$2:$C$16,MATCH(E86,Products!$A$2:$A$16,0))</f>
        <v>Furniture</v>
      </c>
      <c r="R86" s="0" t="str">
        <f aca="false">INDEX(Customers!$F$2:$F$101,MATCH(D86,Customers!$A$2:$A$101,0))</f>
        <v>North</v>
      </c>
      <c r="S86" s="0" t="str">
        <f aca="false">INDEX(Customers!$C$2:$C$101,MATCH(D86,Customers!$A$2:$A$101,0))</f>
        <v>Consumer</v>
      </c>
      <c r="T86" s="0" t="str">
        <f aca="false">INDEX(Customers!$D$2:$D$101,MATCH(D86,Customers!$A$2:$A$101,0))</f>
        <v>Gurugram</v>
      </c>
    </row>
    <row r="87" customFormat="false" ht="15" hidden="false" customHeight="false" outlineLevel="0" collapsed="false">
      <c r="A87" s="0" t="s">
        <v>315</v>
      </c>
      <c r="B87" s="37" t="n">
        <v>45967</v>
      </c>
      <c r="C87" s="37" t="n">
        <v>45973</v>
      </c>
      <c r="D87" s="38" t="s">
        <v>316</v>
      </c>
      <c r="E87" s="38" t="s">
        <v>125</v>
      </c>
      <c r="F87" s="38" t="s">
        <v>100</v>
      </c>
      <c r="G87" s="38" t="s">
        <v>178</v>
      </c>
      <c r="H87" s="0" t="n">
        <v>5</v>
      </c>
      <c r="I87" s="39" t="n">
        <v>600</v>
      </c>
      <c r="J87" s="40" t="n">
        <v>0.2</v>
      </c>
      <c r="K87" s="39" t="n">
        <v>2400</v>
      </c>
      <c r="L87" s="39" t="n">
        <v>1750</v>
      </c>
      <c r="M87" s="39" t="n">
        <v>650</v>
      </c>
      <c r="N87" s="38" t="s">
        <v>66</v>
      </c>
      <c r="O87" s="38" t="n">
        <f aca="false">YEAR(B87)</f>
        <v>2025</v>
      </c>
      <c r="P87" s="41" t="n">
        <f aca="false">DATE(YEAR(B87),MONTH(B87),1)</f>
        <v>45962</v>
      </c>
      <c r="Q87" s="0" t="str">
        <f aca="false">INDEX(Products!$C$2:$C$16,MATCH(E87,Products!$A$2:$A$16,0))</f>
        <v>Office Supplies</v>
      </c>
      <c r="R87" s="0" t="str">
        <f aca="false">INDEX(Customers!$F$2:$F$101,MATCH(D87,Customers!$A$2:$A$101,0))</f>
        <v>West</v>
      </c>
      <c r="S87" s="0" t="str">
        <f aca="false">INDEX(Customers!$C$2:$C$101,MATCH(D87,Customers!$A$2:$A$101,0))</f>
        <v>Corporate</v>
      </c>
      <c r="T87" s="0" t="str">
        <f aca="false">INDEX(Customers!$D$2:$D$101,MATCH(D87,Customers!$A$2:$A$101,0))</f>
        <v>Ahmedabad</v>
      </c>
    </row>
    <row r="88" customFormat="false" ht="15" hidden="false" customHeight="false" outlineLevel="0" collapsed="false">
      <c r="A88" s="0" t="s">
        <v>317</v>
      </c>
      <c r="B88" s="37" t="n">
        <v>45885</v>
      </c>
      <c r="C88" s="37" t="n">
        <v>45888</v>
      </c>
      <c r="D88" s="38" t="s">
        <v>172</v>
      </c>
      <c r="E88" s="38" t="s">
        <v>113</v>
      </c>
      <c r="F88" s="38" t="s">
        <v>101</v>
      </c>
      <c r="G88" s="38" t="s">
        <v>170</v>
      </c>
      <c r="H88" s="0" t="n">
        <v>4</v>
      </c>
      <c r="I88" s="39" t="n">
        <v>45000</v>
      </c>
      <c r="J88" s="40" t="n">
        <v>0</v>
      </c>
      <c r="K88" s="39" t="n">
        <v>180000</v>
      </c>
      <c r="L88" s="39" t="n">
        <v>144000</v>
      </c>
      <c r="M88" s="39" t="n">
        <v>36000</v>
      </c>
      <c r="N88" s="38" t="s">
        <v>66</v>
      </c>
      <c r="O88" s="38" t="n">
        <f aca="false">YEAR(B88)</f>
        <v>2025</v>
      </c>
      <c r="P88" s="41" t="n">
        <f aca="false">DATE(YEAR(B88),MONTH(B88),1)</f>
        <v>45870</v>
      </c>
      <c r="Q88" s="0" t="str">
        <f aca="false">INDEX(Products!$C$2:$C$16,MATCH(E88,Products!$A$2:$A$16,0))</f>
        <v>Technology</v>
      </c>
      <c r="R88" s="0" t="str">
        <f aca="false">INDEX(Customers!$F$2:$F$101,MATCH(D88,Customers!$A$2:$A$101,0))</f>
        <v>East</v>
      </c>
      <c r="S88" s="0" t="str">
        <f aca="false">INDEX(Customers!$C$2:$C$101,MATCH(D88,Customers!$A$2:$A$101,0))</f>
        <v>Consumer</v>
      </c>
      <c r="T88" s="0" t="str">
        <f aca="false">INDEX(Customers!$D$2:$D$101,MATCH(D88,Customers!$A$2:$A$101,0))</f>
        <v>Bhubaneswar</v>
      </c>
    </row>
    <row r="89" customFormat="false" ht="15" hidden="false" customHeight="false" outlineLevel="0" collapsed="false">
      <c r="A89" s="0" t="s">
        <v>318</v>
      </c>
      <c r="B89" s="37" t="n">
        <v>45427</v>
      </c>
      <c r="C89" s="37" t="n">
        <v>45434</v>
      </c>
      <c r="D89" s="38" t="s">
        <v>246</v>
      </c>
      <c r="E89" s="38" t="s">
        <v>116</v>
      </c>
      <c r="F89" s="38" t="s">
        <v>102</v>
      </c>
      <c r="G89" s="38" t="s">
        <v>188</v>
      </c>
      <c r="H89" s="0" t="n">
        <v>2</v>
      </c>
      <c r="I89" s="39" t="n">
        <v>12000</v>
      </c>
      <c r="J89" s="40" t="n">
        <v>0.05</v>
      </c>
      <c r="K89" s="39" t="n">
        <v>22800</v>
      </c>
      <c r="L89" s="39" t="n">
        <v>18000</v>
      </c>
      <c r="M89" s="39" t="n">
        <v>4800</v>
      </c>
      <c r="N89" s="38" t="s">
        <v>146</v>
      </c>
      <c r="O89" s="38" t="n">
        <f aca="false">YEAR(B89)</f>
        <v>2024</v>
      </c>
      <c r="P89" s="41" t="n">
        <f aca="false">DATE(YEAR(B89),MONTH(B89),1)</f>
        <v>45413</v>
      </c>
      <c r="Q89" s="0" t="str">
        <f aca="false">INDEX(Products!$C$2:$C$16,MATCH(E89,Products!$A$2:$A$16,0))</f>
        <v>Technology</v>
      </c>
      <c r="R89" s="0" t="str">
        <f aca="false">INDEX(Customers!$F$2:$F$101,MATCH(D89,Customers!$A$2:$A$101,0))</f>
        <v>North</v>
      </c>
      <c r="S89" s="0" t="str">
        <f aca="false">INDEX(Customers!$C$2:$C$101,MATCH(D89,Customers!$A$2:$A$101,0))</f>
        <v>Consumer</v>
      </c>
      <c r="T89" s="0" t="str">
        <f aca="false">INDEX(Customers!$D$2:$D$101,MATCH(D89,Customers!$A$2:$A$101,0))</f>
        <v>Jaipur</v>
      </c>
    </row>
    <row r="90" customFormat="false" ht="15" hidden="false" customHeight="false" outlineLevel="0" collapsed="false">
      <c r="A90" s="0" t="s">
        <v>319</v>
      </c>
      <c r="B90" s="37" t="n">
        <v>46227</v>
      </c>
      <c r="C90" s="37" t="n">
        <v>46234</v>
      </c>
      <c r="D90" s="38" t="s">
        <v>219</v>
      </c>
      <c r="E90" s="38" t="s">
        <v>117</v>
      </c>
      <c r="F90" s="38" t="s">
        <v>101</v>
      </c>
      <c r="G90" s="38" t="s">
        <v>170</v>
      </c>
      <c r="H90" s="0" t="n">
        <v>8</v>
      </c>
      <c r="I90" s="39" t="n">
        <v>6500</v>
      </c>
      <c r="J90" s="40" t="n">
        <v>0.25</v>
      </c>
      <c r="K90" s="39" t="n">
        <v>39000</v>
      </c>
      <c r="L90" s="39" t="n">
        <v>33600</v>
      </c>
      <c r="M90" s="39" t="n">
        <v>5400</v>
      </c>
      <c r="N90" s="38" t="s">
        <v>66</v>
      </c>
      <c r="O90" s="38" t="n">
        <f aca="false">YEAR(B90)</f>
        <v>2026</v>
      </c>
      <c r="P90" s="41" t="n">
        <f aca="false">DATE(YEAR(B90),MONTH(B90),1)</f>
        <v>46204</v>
      </c>
      <c r="Q90" s="0" t="str">
        <f aca="false">INDEX(Products!$C$2:$C$16,MATCH(E90,Products!$A$2:$A$16,0))</f>
        <v>Furniture</v>
      </c>
      <c r="R90" s="0" t="str">
        <f aca="false">INDEX(Customers!$F$2:$F$101,MATCH(D90,Customers!$A$2:$A$101,0))</f>
        <v>North</v>
      </c>
      <c r="S90" s="0" t="str">
        <f aca="false">INDEX(Customers!$C$2:$C$101,MATCH(D90,Customers!$A$2:$A$101,0))</f>
        <v>Small Business</v>
      </c>
      <c r="T90" s="0" t="str">
        <f aca="false">INDEX(Customers!$D$2:$D$101,MATCH(D90,Customers!$A$2:$A$101,0))</f>
        <v>Lucknow</v>
      </c>
    </row>
    <row r="91" customFormat="false" ht="15" hidden="false" customHeight="false" outlineLevel="0" collapsed="false">
      <c r="A91" s="0" t="s">
        <v>320</v>
      </c>
      <c r="B91" s="37" t="n">
        <v>45436</v>
      </c>
      <c r="C91" s="37" t="n">
        <v>45443</v>
      </c>
      <c r="D91" s="38" t="s">
        <v>187</v>
      </c>
      <c r="E91" s="38" t="s">
        <v>114</v>
      </c>
      <c r="F91" s="38" t="s">
        <v>102</v>
      </c>
      <c r="G91" s="38" t="s">
        <v>185</v>
      </c>
      <c r="H91" s="0" t="n">
        <v>8</v>
      </c>
      <c r="I91" s="39" t="n">
        <v>800</v>
      </c>
      <c r="J91" s="40" t="n">
        <v>0.25</v>
      </c>
      <c r="K91" s="39" t="n">
        <v>4800</v>
      </c>
      <c r="L91" s="39" t="n">
        <v>3360</v>
      </c>
      <c r="M91" s="39" t="n">
        <v>1440</v>
      </c>
      <c r="N91" s="38" t="s">
        <v>146</v>
      </c>
      <c r="O91" s="38" t="n">
        <f aca="false">YEAR(B91)</f>
        <v>2024</v>
      </c>
      <c r="P91" s="41" t="n">
        <f aca="false">DATE(YEAR(B91),MONTH(B91),1)</f>
        <v>45413</v>
      </c>
      <c r="Q91" s="0" t="str">
        <f aca="false">INDEX(Products!$C$2:$C$16,MATCH(E91,Products!$A$2:$A$16,0))</f>
        <v>Technology</v>
      </c>
      <c r="R91" s="0" t="str">
        <f aca="false">INDEX(Customers!$F$2:$F$101,MATCH(D91,Customers!$A$2:$A$101,0))</f>
        <v>South</v>
      </c>
      <c r="S91" s="0" t="str">
        <f aca="false">INDEX(Customers!$C$2:$C$101,MATCH(D91,Customers!$A$2:$A$101,0))</f>
        <v>Consumer</v>
      </c>
      <c r="T91" s="0" t="str">
        <f aca="false">INDEX(Customers!$D$2:$D$101,MATCH(D91,Customers!$A$2:$A$101,0))</f>
        <v>Bengaluru</v>
      </c>
    </row>
    <row r="92" customFormat="false" ht="15" hidden="false" customHeight="false" outlineLevel="0" collapsed="false">
      <c r="A92" s="0" t="s">
        <v>321</v>
      </c>
      <c r="B92" s="37" t="n">
        <v>45384</v>
      </c>
      <c r="C92" s="37" t="n">
        <v>45391</v>
      </c>
      <c r="D92" s="38" t="s">
        <v>322</v>
      </c>
      <c r="E92" s="38" t="s">
        <v>118</v>
      </c>
      <c r="F92" s="38" t="s">
        <v>102</v>
      </c>
      <c r="G92" s="38" t="s">
        <v>178</v>
      </c>
      <c r="H92" s="0" t="n">
        <v>2</v>
      </c>
      <c r="I92" s="39" t="n">
        <v>9000</v>
      </c>
      <c r="J92" s="40" t="n">
        <v>0.05</v>
      </c>
      <c r="K92" s="39" t="n">
        <v>17100</v>
      </c>
      <c r="L92" s="39" t="n">
        <v>13000</v>
      </c>
      <c r="M92" s="39" t="n">
        <v>4100</v>
      </c>
      <c r="N92" s="38" t="s">
        <v>66</v>
      </c>
      <c r="O92" s="38" t="n">
        <f aca="false">YEAR(B92)</f>
        <v>2024</v>
      </c>
      <c r="P92" s="41" t="n">
        <f aca="false">DATE(YEAR(B92),MONTH(B92),1)</f>
        <v>45383</v>
      </c>
      <c r="Q92" s="0" t="str">
        <f aca="false">INDEX(Products!$C$2:$C$16,MATCH(E92,Products!$A$2:$A$16,0))</f>
        <v>Furniture</v>
      </c>
      <c r="R92" s="0" t="str">
        <f aca="false">INDEX(Customers!$F$2:$F$101,MATCH(D92,Customers!$A$2:$A$101,0))</f>
        <v>North</v>
      </c>
      <c r="S92" s="0" t="str">
        <f aca="false">INDEX(Customers!$C$2:$C$101,MATCH(D92,Customers!$A$2:$A$101,0))</f>
        <v>Consumer</v>
      </c>
      <c r="T92" s="0" t="str">
        <f aca="false">INDEX(Customers!$D$2:$D$101,MATCH(D92,Customers!$A$2:$A$101,0))</f>
        <v>Jaipur</v>
      </c>
    </row>
    <row r="93" customFormat="false" ht="15" hidden="false" customHeight="false" outlineLevel="0" collapsed="false">
      <c r="A93" s="0" t="s">
        <v>323</v>
      </c>
      <c r="B93" s="37" t="n">
        <v>45980</v>
      </c>
      <c r="C93" s="37" t="n">
        <v>45983</v>
      </c>
      <c r="D93" s="38" t="s">
        <v>268</v>
      </c>
      <c r="E93" s="38" t="s">
        <v>124</v>
      </c>
      <c r="F93" s="38" t="s">
        <v>102</v>
      </c>
      <c r="G93" s="38" t="s">
        <v>170</v>
      </c>
      <c r="H93" s="0" t="n">
        <v>3</v>
      </c>
      <c r="I93" s="39" t="n">
        <v>3000</v>
      </c>
      <c r="J93" s="40" t="n">
        <v>0.25</v>
      </c>
      <c r="K93" s="39" t="n">
        <v>6750</v>
      </c>
      <c r="L93" s="39" t="n">
        <v>5700</v>
      </c>
      <c r="M93" s="39" t="n">
        <v>1050</v>
      </c>
      <c r="N93" s="38" t="s">
        <v>66</v>
      </c>
      <c r="O93" s="38" t="n">
        <f aca="false">YEAR(B93)</f>
        <v>2025</v>
      </c>
      <c r="P93" s="41" t="n">
        <f aca="false">DATE(YEAR(B93),MONTH(B93),1)</f>
        <v>45962</v>
      </c>
      <c r="Q93" s="0" t="str">
        <f aca="false">INDEX(Products!$C$2:$C$16,MATCH(E93,Products!$A$2:$A$16,0))</f>
        <v>Technology</v>
      </c>
      <c r="R93" s="0" t="str">
        <f aca="false">INDEX(Customers!$F$2:$F$101,MATCH(D93,Customers!$A$2:$A$101,0))</f>
        <v>South</v>
      </c>
      <c r="S93" s="0" t="str">
        <f aca="false">INDEX(Customers!$C$2:$C$101,MATCH(D93,Customers!$A$2:$A$101,0))</f>
        <v>Consumer</v>
      </c>
      <c r="T93" s="0" t="str">
        <f aca="false">INDEX(Customers!$D$2:$D$101,MATCH(D93,Customers!$A$2:$A$101,0))</f>
        <v>Bengaluru</v>
      </c>
    </row>
    <row r="94" customFormat="false" ht="15" hidden="false" customHeight="false" outlineLevel="0" collapsed="false">
      <c r="A94" s="0" t="s">
        <v>324</v>
      </c>
      <c r="B94" s="37" t="n">
        <v>45317</v>
      </c>
      <c r="C94" s="37" t="n">
        <v>45322</v>
      </c>
      <c r="D94" s="38" t="s">
        <v>314</v>
      </c>
      <c r="E94" s="38" t="s">
        <v>120</v>
      </c>
      <c r="F94" s="38" t="s">
        <v>101</v>
      </c>
      <c r="G94" s="38" t="s">
        <v>188</v>
      </c>
      <c r="H94" s="0" t="n">
        <v>5</v>
      </c>
      <c r="I94" s="39" t="n">
        <v>400</v>
      </c>
      <c r="J94" s="40" t="n">
        <v>0.15</v>
      </c>
      <c r="K94" s="39" t="n">
        <v>1700</v>
      </c>
      <c r="L94" s="39" t="n">
        <v>1300</v>
      </c>
      <c r="M94" s="39" t="n">
        <v>400</v>
      </c>
      <c r="N94" s="38" t="s">
        <v>66</v>
      </c>
      <c r="O94" s="38" t="n">
        <f aca="false">YEAR(B94)</f>
        <v>2024</v>
      </c>
      <c r="P94" s="41" t="n">
        <f aca="false">DATE(YEAR(B94),MONTH(B94),1)</f>
        <v>45292</v>
      </c>
      <c r="Q94" s="0" t="str">
        <f aca="false">INDEX(Products!$C$2:$C$16,MATCH(E94,Products!$A$2:$A$16,0))</f>
        <v>Office Supplies</v>
      </c>
      <c r="R94" s="0" t="str">
        <f aca="false">INDEX(Customers!$F$2:$F$101,MATCH(D94,Customers!$A$2:$A$101,0))</f>
        <v>North</v>
      </c>
      <c r="S94" s="0" t="str">
        <f aca="false">INDEX(Customers!$C$2:$C$101,MATCH(D94,Customers!$A$2:$A$101,0))</f>
        <v>Consumer</v>
      </c>
      <c r="T94" s="0" t="str">
        <f aca="false">INDEX(Customers!$D$2:$D$101,MATCH(D94,Customers!$A$2:$A$101,0))</f>
        <v>Gurugram</v>
      </c>
    </row>
    <row r="95" customFormat="false" ht="15" hidden="false" customHeight="false" outlineLevel="0" collapsed="false">
      <c r="A95" s="0" t="s">
        <v>325</v>
      </c>
      <c r="B95" s="37" t="n">
        <v>46135</v>
      </c>
      <c r="C95" s="37" t="n">
        <v>46139</v>
      </c>
      <c r="D95" s="38" t="s">
        <v>326</v>
      </c>
      <c r="E95" s="38" t="s">
        <v>123</v>
      </c>
      <c r="F95" s="38" t="s">
        <v>102</v>
      </c>
      <c r="G95" s="38" t="s">
        <v>185</v>
      </c>
      <c r="H95" s="0" t="n">
        <v>6</v>
      </c>
      <c r="I95" s="39" t="n">
        <v>2200</v>
      </c>
      <c r="J95" s="40" t="n">
        <v>0.05</v>
      </c>
      <c r="K95" s="39" t="n">
        <v>12540</v>
      </c>
      <c r="L95" s="39" t="n">
        <v>7800</v>
      </c>
      <c r="M95" s="39" t="n">
        <v>4740</v>
      </c>
      <c r="N95" s="38" t="s">
        <v>66</v>
      </c>
      <c r="O95" s="38" t="n">
        <f aca="false">YEAR(B95)</f>
        <v>2026</v>
      </c>
      <c r="P95" s="41" t="n">
        <f aca="false">DATE(YEAR(B95),MONTH(B95),1)</f>
        <v>46113</v>
      </c>
      <c r="Q95" s="0" t="str">
        <f aca="false">INDEX(Products!$C$2:$C$16,MATCH(E95,Products!$A$2:$A$16,0))</f>
        <v>Technology</v>
      </c>
      <c r="R95" s="0" t="str">
        <f aca="false">INDEX(Customers!$F$2:$F$101,MATCH(D95,Customers!$A$2:$A$101,0))</f>
        <v>North</v>
      </c>
      <c r="S95" s="0" t="str">
        <f aca="false">INDEX(Customers!$C$2:$C$101,MATCH(D95,Customers!$A$2:$A$101,0))</f>
        <v>Consumer</v>
      </c>
      <c r="T95" s="0" t="str">
        <f aca="false">INDEX(Customers!$D$2:$D$101,MATCH(D95,Customers!$A$2:$A$101,0))</f>
        <v>Gurugram</v>
      </c>
    </row>
    <row r="96" customFormat="false" ht="15" hidden="false" customHeight="false" outlineLevel="0" collapsed="false">
      <c r="A96" s="0" t="s">
        <v>327</v>
      </c>
      <c r="B96" s="37" t="n">
        <v>45603</v>
      </c>
      <c r="C96" s="37" t="n">
        <v>45607</v>
      </c>
      <c r="D96" s="38" t="s">
        <v>302</v>
      </c>
      <c r="E96" s="38" t="s">
        <v>113</v>
      </c>
      <c r="F96" s="38" t="s">
        <v>102</v>
      </c>
      <c r="G96" s="38" t="s">
        <v>173</v>
      </c>
      <c r="H96" s="0" t="n">
        <v>1</v>
      </c>
      <c r="I96" s="39" t="n">
        <v>45000</v>
      </c>
      <c r="J96" s="40" t="n">
        <v>0</v>
      </c>
      <c r="K96" s="39" t="n">
        <v>45000</v>
      </c>
      <c r="L96" s="39" t="n">
        <v>36000</v>
      </c>
      <c r="M96" s="39" t="n">
        <v>9000</v>
      </c>
      <c r="N96" s="38" t="s">
        <v>66</v>
      </c>
      <c r="O96" s="38" t="n">
        <f aca="false">YEAR(B96)</f>
        <v>2024</v>
      </c>
      <c r="P96" s="41" t="n">
        <f aca="false">DATE(YEAR(B96),MONTH(B96),1)</f>
        <v>45597</v>
      </c>
      <c r="Q96" s="0" t="str">
        <f aca="false">INDEX(Products!$C$2:$C$16,MATCH(E96,Products!$A$2:$A$16,0))</f>
        <v>Technology</v>
      </c>
      <c r="R96" s="0" t="str">
        <f aca="false">INDEX(Customers!$F$2:$F$101,MATCH(D96,Customers!$A$2:$A$101,0))</f>
        <v>East</v>
      </c>
      <c r="S96" s="0" t="str">
        <f aca="false">INDEX(Customers!$C$2:$C$101,MATCH(D96,Customers!$A$2:$A$101,0))</f>
        <v>Consumer</v>
      </c>
      <c r="T96" s="0" t="str">
        <f aca="false">INDEX(Customers!$D$2:$D$101,MATCH(D96,Customers!$A$2:$A$101,0))</f>
        <v>Bhubaneswar</v>
      </c>
    </row>
    <row r="97" customFormat="false" ht="15" hidden="false" customHeight="false" outlineLevel="0" collapsed="false">
      <c r="A97" s="0" t="s">
        <v>328</v>
      </c>
      <c r="B97" s="37" t="n">
        <v>46264</v>
      </c>
      <c r="C97" s="37" t="n">
        <v>46270</v>
      </c>
      <c r="D97" s="38" t="s">
        <v>329</v>
      </c>
      <c r="E97" s="38" t="s">
        <v>123</v>
      </c>
      <c r="F97" s="38" t="s">
        <v>101</v>
      </c>
      <c r="G97" s="38" t="s">
        <v>188</v>
      </c>
      <c r="H97" s="0" t="n">
        <v>3</v>
      </c>
      <c r="I97" s="39" t="n">
        <v>2200</v>
      </c>
      <c r="J97" s="40" t="n">
        <v>0.15</v>
      </c>
      <c r="K97" s="39" t="n">
        <v>5610</v>
      </c>
      <c r="L97" s="39" t="n">
        <v>3900</v>
      </c>
      <c r="M97" s="39" t="n">
        <v>1710</v>
      </c>
      <c r="N97" s="38" t="s">
        <v>66</v>
      </c>
      <c r="O97" s="38" t="n">
        <f aca="false">YEAR(B97)</f>
        <v>2026</v>
      </c>
      <c r="P97" s="41" t="n">
        <f aca="false">DATE(YEAR(B97),MONTH(B97),1)</f>
        <v>46235</v>
      </c>
      <c r="Q97" s="0" t="str">
        <f aca="false">INDEX(Products!$C$2:$C$16,MATCH(E97,Products!$A$2:$A$16,0))</f>
        <v>Technology</v>
      </c>
      <c r="R97" s="0" t="str">
        <f aca="false">INDEX(Customers!$F$2:$F$101,MATCH(D97,Customers!$A$2:$A$101,0))</f>
        <v>West</v>
      </c>
      <c r="S97" s="0" t="str">
        <f aca="false">INDEX(Customers!$C$2:$C$101,MATCH(D97,Customers!$A$2:$A$101,0))</f>
        <v>Corporate</v>
      </c>
      <c r="T97" s="0" t="str">
        <f aca="false">INDEX(Customers!$D$2:$D$101,MATCH(D97,Customers!$A$2:$A$101,0))</f>
        <v>Pune</v>
      </c>
    </row>
    <row r="98" customFormat="false" ht="15" hidden="false" customHeight="false" outlineLevel="0" collapsed="false">
      <c r="A98" s="0" t="s">
        <v>330</v>
      </c>
      <c r="B98" s="37" t="n">
        <v>45716</v>
      </c>
      <c r="C98" s="37" t="n">
        <v>45722</v>
      </c>
      <c r="D98" s="38" t="s">
        <v>331</v>
      </c>
      <c r="E98" s="38" t="s">
        <v>127</v>
      </c>
      <c r="F98" s="38" t="s">
        <v>102</v>
      </c>
      <c r="G98" s="38" t="s">
        <v>185</v>
      </c>
      <c r="H98" s="0" t="n">
        <v>1</v>
      </c>
      <c r="I98" s="39" t="n">
        <v>18000</v>
      </c>
      <c r="J98" s="40" t="n">
        <v>0.1</v>
      </c>
      <c r="K98" s="39" t="n">
        <v>16200</v>
      </c>
      <c r="L98" s="39" t="n">
        <v>14000</v>
      </c>
      <c r="M98" s="39" t="n">
        <v>2200</v>
      </c>
      <c r="N98" s="38" t="s">
        <v>146</v>
      </c>
      <c r="O98" s="38" t="n">
        <f aca="false">YEAR(B98)</f>
        <v>2025</v>
      </c>
      <c r="P98" s="41" t="n">
        <f aca="false">DATE(YEAR(B98),MONTH(B98),1)</f>
        <v>45689</v>
      </c>
      <c r="Q98" s="0" t="str">
        <f aca="false">INDEX(Products!$C$2:$C$16,MATCH(E98,Products!$A$2:$A$16,0))</f>
        <v>Technology</v>
      </c>
      <c r="R98" s="0" t="str">
        <f aca="false">INDEX(Customers!$F$2:$F$101,MATCH(D98,Customers!$A$2:$A$101,0))</f>
        <v>North</v>
      </c>
      <c r="S98" s="0" t="str">
        <f aca="false">INDEX(Customers!$C$2:$C$101,MATCH(D98,Customers!$A$2:$A$101,0))</f>
        <v>Corporate</v>
      </c>
      <c r="T98" s="0" t="str">
        <f aca="false">INDEX(Customers!$D$2:$D$101,MATCH(D98,Customers!$A$2:$A$101,0))</f>
        <v>Delhi</v>
      </c>
    </row>
    <row r="99" customFormat="false" ht="15" hidden="false" customHeight="false" outlineLevel="0" collapsed="false">
      <c r="A99" s="0" t="s">
        <v>332</v>
      </c>
      <c r="B99" s="37" t="n">
        <v>45998</v>
      </c>
      <c r="C99" s="37" t="n">
        <v>46001</v>
      </c>
      <c r="D99" s="38" t="s">
        <v>194</v>
      </c>
      <c r="E99" s="38" t="s">
        <v>113</v>
      </c>
      <c r="F99" s="38" t="s">
        <v>100</v>
      </c>
      <c r="G99" s="38" t="s">
        <v>170</v>
      </c>
      <c r="H99" s="0" t="n">
        <v>1</v>
      </c>
      <c r="I99" s="39" t="n">
        <v>45000</v>
      </c>
      <c r="J99" s="40" t="n">
        <v>0.1</v>
      </c>
      <c r="K99" s="39" t="n">
        <v>40500</v>
      </c>
      <c r="L99" s="39" t="n">
        <v>36000</v>
      </c>
      <c r="M99" s="39" t="n">
        <v>4500</v>
      </c>
      <c r="N99" s="38" t="s">
        <v>66</v>
      </c>
      <c r="O99" s="38" t="n">
        <f aca="false">YEAR(B99)</f>
        <v>2025</v>
      </c>
      <c r="P99" s="41" t="n">
        <f aca="false">DATE(YEAR(B99),MONTH(B99),1)</f>
        <v>45992</v>
      </c>
      <c r="Q99" s="0" t="str">
        <f aca="false">INDEX(Products!$C$2:$C$16,MATCH(E99,Products!$A$2:$A$16,0))</f>
        <v>Technology</v>
      </c>
      <c r="R99" s="0" t="str">
        <f aca="false">INDEX(Customers!$F$2:$F$101,MATCH(D99,Customers!$A$2:$A$101,0))</f>
        <v>North</v>
      </c>
      <c r="S99" s="0" t="str">
        <f aca="false">INDEX(Customers!$C$2:$C$101,MATCH(D99,Customers!$A$2:$A$101,0))</f>
        <v>Small Business</v>
      </c>
      <c r="T99" s="0" t="str">
        <f aca="false">INDEX(Customers!$D$2:$D$101,MATCH(D99,Customers!$A$2:$A$101,0))</f>
        <v>Gurugram</v>
      </c>
    </row>
    <row r="100" customFormat="false" ht="15" hidden="false" customHeight="false" outlineLevel="0" collapsed="false">
      <c r="A100" s="0" t="s">
        <v>333</v>
      </c>
      <c r="B100" s="37" t="n">
        <v>45849</v>
      </c>
      <c r="C100" s="37" t="n">
        <v>45855</v>
      </c>
      <c r="D100" s="38" t="s">
        <v>312</v>
      </c>
      <c r="E100" s="38" t="s">
        <v>118</v>
      </c>
      <c r="F100" s="38" t="s">
        <v>101</v>
      </c>
      <c r="G100" s="38" t="s">
        <v>173</v>
      </c>
      <c r="H100" s="0" t="n">
        <v>2</v>
      </c>
      <c r="I100" s="39" t="n">
        <v>9000</v>
      </c>
      <c r="J100" s="40" t="n">
        <v>0.1</v>
      </c>
      <c r="K100" s="39" t="n">
        <v>16200</v>
      </c>
      <c r="L100" s="39" t="n">
        <v>13000</v>
      </c>
      <c r="M100" s="39" t="n">
        <v>3200</v>
      </c>
      <c r="N100" s="38" t="s">
        <v>146</v>
      </c>
      <c r="O100" s="38" t="n">
        <f aca="false">YEAR(B100)</f>
        <v>2025</v>
      </c>
      <c r="P100" s="41" t="n">
        <f aca="false">DATE(YEAR(B100),MONTH(B100),1)</f>
        <v>45839</v>
      </c>
      <c r="Q100" s="0" t="str">
        <f aca="false">INDEX(Products!$C$2:$C$16,MATCH(E100,Products!$A$2:$A$16,0))</f>
        <v>Furniture</v>
      </c>
      <c r="R100" s="0" t="str">
        <f aca="false">INDEX(Customers!$F$2:$F$101,MATCH(D100,Customers!$A$2:$A$101,0))</f>
        <v>North</v>
      </c>
      <c r="S100" s="0" t="str">
        <f aca="false">INDEX(Customers!$C$2:$C$101,MATCH(D100,Customers!$A$2:$A$101,0))</f>
        <v>Corporate</v>
      </c>
      <c r="T100" s="0" t="str">
        <f aca="false">INDEX(Customers!$D$2:$D$101,MATCH(D100,Customers!$A$2:$A$101,0))</f>
        <v>Delhi</v>
      </c>
    </row>
    <row r="101" customFormat="false" ht="15" hidden="false" customHeight="false" outlineLevel="0" collapsed="false">
      <c r="A101" s="0" t="s">
        <v>334</v>
      </c>
      <c r="B101" s="37" t="n">
        <v>45970</v>
      </c>
      <c r="C101" s="37" t="n">
        <v>45972</v>
      </c>
      <c r="D101" s="38" t="s">
        <v>227</v>
      </c>
      <c r="E101" s="38" t="s">
        <v>114</v>
      </c>
      <c r="F101" s="38" t="s">
        <v>100</v>
      </c>
      <c r="G101" s="38" t="s">
        <v>178</v>
      </c>
      <c r="H101" s="0" t="n">
        <v>3</v>
      </c>
      <c r="I101" s="39" t="n">
        <v>800</v>
      </c>
      <c r="J101" s="40" t="n">
        <v>0.15</v>
      </c>
      <c r="K101" s="39" t="n">
        <v>2040</v>
      </c>
      <c r="L101" s="39" t="n">
        <v>1260</v>
      </c>
      <c r="M101" s="39" t="n">
        <v>780</v>
      </c>
      <c r="N101" s="38" t="s">
        <v>66</v>
      </c>
      <c r="O101" s="38" t="n">
        <f aca="false">YEAR(B101)</f>
        <v>2025</v>
      </c>
      <c r="P101" s="41" t="n">
        <f aca="false">DATE(YEAR(B101),MONTH(B101),1)</f>
        <v>45962</v>
      </c>
      <c r="Q101" s="0" t="str">
        <f aca="false">INDEX(Products!$C$2:$C$16,MATCH(E101,Products!$A$2:$A$16,0))</f>
        <v>Technology</v>
      </c>
      <c r="R101" s="0" t="str">
        <f aca="false">INDEX(Customers!$F$2:$F$101,MATCH(D101,Customers!$A$2:$A$101,0))</f>
        <v>North</v>
      </c>
      <c r="S101" s="0" t="str">
        <f aca="false">INDEX(Customers!$C$2:$C$101,MATCH(D101,Customers!$A$2:$A$101,0))</f>
        <v>Consumer</v>
      </c>
      <c r="T101" s="0" t="str">
        <f aca="false">INDEX(Customers!$D$2:$D$101,MATCH(D101,Customers!$A$2:$A$101,0))</f>
        <v>Delhi</v>
      </c>
    </row>
    <row r="102" customFormat="false" ht="15" hidden="false" customHeight="false" outlineLevel="0" collapsed="false">
      <c r="A102" s="0" t="s">
        <v>335</v>
      </c>
      <c r="B102" s="37" t="n">
        <v>46097</v>
      </c>
      <c r="C102" s="37" t="n">
        <v>46102</v>
      </c>
      <c r="D102" s="38" t="s">
        <v>230</v>
      </c>
      <c r="E102" s="38" t="s">
        <v>115</v>
      </c>
      <c r="F102" s="38" t="s">
        <v>102</v>
      </c>
      <c r="G102" s="38" t="s">
        <v>173</v>
      </c>
      <c r="H102" s="0" t="n">
        <v>1</v>
      </c>
      <c r="I102" s="39" t="n">
        <v>1500</v>
      </c>
      <c r="J102" s="40" t="n">
        <v>0.25</v>
      </c>
      <c r="K102" s="39" t="n">
        <v>1125</v>
      </c>
      <c r="L102" s="39" t="n">
        <v>850</v>
      </c>
      <c r="M102" s="39" t="n">
        <v>275</v>
      </c>
      <c r="N102" s="38" t="s">
        <v>66</v>
      </c>
      <c r="O102" s="38" t="n">
        <f aca="false">YEAR(B102)</f>
        <v>2026</v>
      </c>
      <c r="P102" s="41" t="n">
        <f aca="false">DATE(YEAR(B102),MONTH(B102),1)</f>
        <v>46082</v>
      </c>
      <c r="Q102" s="0" t="str">
        <f aca="false">INDEX(Products!$C$2:$C$16,MATCH(E102,Products!$A$2:$A$16,0))</f>
        <v>Technology</v>
      </c>
      <c r="R102" s="0" t="str">
        <f aca="false">INDEX(Customers!$F$2:$F$101,MATCH(D102,Customers!$A$2:$A$101,0))</f>
        <v>East</v>
      </c>
      <c r="S102" s="0" t="str">
        <f aca="false">INDEX(Customers!$C$2:$C$101,MATCH(D102,Customers!$A$2:$A$101,0))</f>
        <v>Consumer</v>
      </c>
      <c r="T102" s="0" t="str">
        <f aca="false">INDEX(Customers!$D$2:$D$101,MATCH(D102,Customers!$A$2:$A$101,0))</f>
        <v>Kolkata</v>
      </c>
    </row>
    <row r="103" customFormat="false" ht="15" hidden="false" customHeight="false" outlineLevel="0" collapsed="false">
      <c r="A103" s="0" t="s">
        <v>336</v>
      </c>
      <c r="B103" s="37" t="n">
        <v>46084</v>
      </c>
      <c r="C103" s="37" t="n">
        <v>46086</v>
      </c>
      <c r="D103" s="38" t="s">
        <v>314</v>
      </c>
      <c r="E103" s="38" t="s">
        <v>118</v>
      </c>
      <c r="F103" s="38" t="s">
        <v>100</v>
      </c>
      <c r="G103" s="38" t="s">
        <v>170</v>
      </c>
      <c r="H103" s="0" t="n">
        <v>4</v>
      </c>
      <c r="I103" s="39" t="n">
        <v>9000</v>
      </c>
      <c r="J103" s="40" t="n">
        <v>0.15</v>
      </c>
      <c r="K103" s="39" t="n">
        <v>30600</v>
      </c>
      <c r="L103" s="39" t="n">
        <v>26000</v>
      </c>
      <c r="M103" s="39" t="n">
        <v>4600</v>
      </c>
      <c r="N103" s="38" t="s">
        <v>66</v>
      </c>
      <c r="O103" s="38" t="n">
        <f aca="false">YEAR(B103)</f>
        <v>2026</v>
      </c>
      <c r="P103" s="41" t="n">
        <f aca="false">DATE(YEAR(B103),MONTH(B103),1)</f>
        <v>46082</v>
      </c>
      <c r="Q103" s="0" t="str">
        <f aca="false">INDEX(Products!$C$2:$C$16,MATCH(E103,Products!$A$2:$A$16,0))</f>
        <v>Furniture</v>
      </c>
      <c r="R103" s="0" t="str">
        <f aca="false">INDEX(Customers!$F$2:$F$101,MATCH(D103,Customers!$A$2:$A$101,0))</f>
        <v>North</v>
      </c>
      <c r="S103" s="0" t="str">
        <f aca="false">INDEX(Customers!$C$2:$C$101,MATCH(D103,Customers!$A$2:$A$101,0))</f>
        <v>Consumer</v>
      </c>
      <c r="T103" s="0" t="str">
        <f aca="false">INDEX(Customers!$D$2:$D$101,MATCH(D103,Customers!$A$2:$A$101,0))</f>
        <v>Gurugram</v>
      </c>
    </row>
    <row r="104" customFormat="false" ht="15" hidden="false" customHeight="false" outlineLevel="0" collapsed="false">
      <c r="A104" s="0" t="s">
        <v>337</v>
      </c>
      <c r="B104" s="37" t="n">
        <v>45845</v>
      </c>
      <c r="C104" s="37" t="n">
        <v>45848</v>
      </c>
      <c r="D104" s="38" t="s">
        <v>338</v>
      </c>
      <c r="E104" s="38" t="s">
        <v>115</v>
      </c>
      <c r="F104" s="38" t="s">
        <v>102</v>
      </c>
      <c r="G104" s="38" t="s">
        <v>178</v>
      </c>
      <c r="H104" s="0" t="n">
        <v>4</v>
      </c>
      <c r="I104" s="39" t="n">
        <v>1500</v>
      </c>
      <c r="J104" s="40" t="n">
        <v>0</v>
      </c>
      <c r="K104" s="39" t="n">
        <v>6000</v>
      </c>
      <c r="L104" s="39" t="n">
        <v>3400</v>
      </c>
      <c r="M104" s="39" t="n">
        <v>2600</v>
      </c>
      <c r="N104" s="38" t="s">
        <v>66</v>
      </c>
      <c r="O104" s="38" t="n">
        <f aca="false">YEAR(B104)</f>
        <v>2025</v>
      </c>
      <c r="P104" s="41" t="n">
        <f aca="false">DATE(YEAR(B104),MONTH(B104),1)</f>
        <v>45839</v>
      </c>
      <c r="Q104" s="0" t="str">
        <f aca="false">INDEX(Products!$C$2:$C$16,MATCH(E104,Products!$A$2:$A$16,0))</f>
        <v>Technology</v>
      </c>
      <c r="R104" s="0" t="str">
        <f aca="false">INDEX(Customers!$F$2:$F$101,MATCH(D104,Customers!$A$2:$A$101,0))</f>
        <v>East</v>
      </c>
      <c r="S104" s="0" t="str">
        <f aca="false">INDEX(Customers!$C$2:$C$101,MATCH(D104,Customers!$A$2:$A$101,0))</f>
        <v>Small Business</v>
      </c>
      <c r="T104" s="0" t="str">
        <f aca="false">INDEX(Customers!$D$2:$D$101,MATCH(D104,Customers!$A$2:$A$101,0))</f>
        <v>Bhubaneswar</v>
      </c>
    </row>
    <row r="105" customFormat="false" ht="15" hidden="false" customHeight="false" outlineLevel="0" collapsed="false">
      <c r="A105" s="0" t="s">
        <v>339</v>
      </c>
      <c r="B105" s="37" t="n">
        <v>46099</v>
      </c>
      <c r="C105" s="37" t="n">
        <v>46101</v>
      </c>
      <c r="D105" s="38" t="s">
        <v>202</v>
      </c>
      <c r="E105" s="38" t="s">
        <v>125</v>
      </c>
      <c r="F105" s="38" t="s">
        <v>100</v>
      </c>
      <c r="G105" s="38" t="s">
        <v>170</v>
      </c>
      <c r="H105" s="0" t="n">
        <v>3</v>
      </c>
      <c r="I105" s="39" t="n">
        <v>600</v>
      </c>
      <c r="J105" s="40" t="n">
        <v>0</v>
      </c>
      <c r="K105" s="39" t="n">
        <v>1800</v>
      </c>
      <c r="L105" s="39" t="n">
        <v>1050</v>
      </c>
      <c r="M105" s="39" t="n">
        <v>750</v>
      </c>
      <c r="N105" s="38" t="s">
        <v>66</v>
      </c>
      <c r="O105" s="38" t="n">
        <f aca="false">YEAR(B105)</f>
        <v>2026</v>
      </c>
      <c r="P105" s="41" t="n">
        <f aca="false">DATE(YEAR(B105),MONTH(B105),1)</f>
        <v>46082</v>
      </c>
      <c r="Q105" s="0" t="str">
        <f aca="false">INDEX(Products!$C$2:$C$16,MATCH(E105,Products!$A$2:$A$16,0))</f>
        <v>Office Supplies</v>
      </c>
      <c r="R105" s="0" t="str">
        <f aca="false">INDEX(Customers!$F$2:$F$101,MATCH(D105,Customers!$A$2:$A$101,0))</f>
        <v>South</v>
      </c>
      <c r="S105" s="0" t="str">
        <f aca="false">INDEX(Customers!$C$2:$C$101,MATCH(D105,Customers!$A$2:$A$101,0))</f>
        <v>Corporate</v>
      </c>
      <c r="T105" s="0" t="str">
        <f aca="false">INDEX(Customers!$D$2:$D$101,MATCH(D105,Customers!$A$2:$A$101,0))</f>
        <v>Hyderabad</v>
      </c>
    </row>
    <row r="106" customFormat="false" ht="15" hidden="false" customHeight="false" outlineLevel="0" collapsed="false">
      <c r="A106" s="0" t="s">
        <v>340</v>
      </c>
      <c r="B106" s="37" t="n">
        <v>45830</v>
      </c>
      <c r="C106" s="37" t="n">
        <v>45831</v>
      </c>
      <c r="D106" s="38" t="s">
        <v>341</v>
      </c>
      <c r="E106" s="38" t="s">
        <v>119</v>
      </c>
      <c r="F106" s="38" t="s">
        <v>101</v>
      </c>
      <c r="G106" s="38" t="s">
        <v>170</v>
      </c>
      <c r="H106" s="0" t="n">
        <v>4</v>
      </c>
      <c r="I106" s="39" t="n">
        <v>250</v>
      </c>
      <c r="J106" s="40" t="n">
        <v>0.1</v>
      </c>
      <c r="K106" s="39" t="n">
        <v>900</v>
      </c>
      <c r="L106" s="39" t="n">
        <v>480</v>
      </c>
      <c r="M106" s="39" t="n">
        <v>420</v>
      </c>
      <c r="N106" s="38" t="s">
        <v>66</v>
      </c>
      <c r="O106" s="38" t="n">
        <f aca="false">YEAR(B106)</f>
        <v>2025</v>
      </c>
      <c r="P106" s="41" t="n">
        <f aca="false">DATE(YEAR(B106),MONTH(B106),1)</f>
        <v>45809</v>
      </c>
      <c r="Q106" s="0" t="str">
        <f aca="false">INDEX(Products!$C$2:$C$16,MATCH(E106,Products!$A$2:$A$16,0))</f>
        <v>Office Supplies</v>
      </c>
      <c r="R106" s="0" t="str">
        <f aca="false">INDEX(Customers!$F$2:$F$101,MATCH(D106,Customers!$A$2:$A$101,0))</f>
        <v>North</v>
      </c>
      <c r="S106" s="0" t="str">
        <f aca="false">INDEX(Customers!$C$2:$C$101,MATCH(D106,Customers!$A$2:$A$101,0))</f>
        <v>Corporate</v>
      </c>
      <c r="T106" s="0" t="str">
        <f aca="false">INDEX(Customers!$D$2:$D$101,MATCH(D106,Customers!$A$2:$A$101,0))</f>
        <v>Delhi</v>
      </c>
    </row>
    <row r="107" customFormat="false" ht="15" hidden="false" customHeight="false" outlineLevel="0" collapsed="false">
      <c r="A107" s="0" t="s">
        <v>342</v>
      </c>
      <c r="B107" s="37" t="n">
        <v>45807</v>
      </c>
      <c r="C107" s="37" t="n">
        <v>45809</v>
      </c>
      <c r="D107" s="38" t="s">
        <v>343</v>
      </c>
      <c r="E107" s="38" t="s">
        <v>120</v>
      </c>
      <c r="F107" s="38" t="s">
        <v>102</v>
      </c>
      <c r="G107" s="38" t="s">
        <v>188</v>
      </c>
      <c r="H107" s="0" t="n">
        <v>8</v>
      </c>
      <c r="I107" s="39" t="n">
        <v>400</v>
      </c>
      <c r="J107" s="40" t="n">
        <v>0</v>
      </c>
      <c r="K107" s="39" t="n">
        <v>3200</v>
      </c>
      <c r="L107" s="39" t="n">
        <v>2080</v>
      </c>
      <c r="M107" s="39" t="n">
        <v>1120</v>
      </c>
      <c r="N107" s="38" t="s">
        <v>66</v>
      </c>
      <c r="O107" s="38" t="n">
        <f aca="false">YEAR(B107)</f>
        <v>2025</v>
      </c>
      <c r="P107" s="41" t="n">
        <f aca="false">DATE(YEAR(B107),MONTH(B107),1)</f>
        <v>45778</v>
      </c>
      <c r="Q107" s="0" t="str">
        <f aca="false">INDEX(Products!$C$2:$C$16,MATCH(E107,Products!$A$2:$A$16,0))</f>
        <v>Office Supplies</v>
      </c>
      <c r="R107" s="0" t="str">
        <f aca="false">INDEX(Customers!$F$2:$F$101,MATCH(D107,Customers!$A$2:$A$101,0))</f>
        <v>West</v>
      </c>
      <c r="S107" s="0" t="str">
        <f aca="false">INDEX(Customers!$C$2:$C$101,MATCH(D107,Customers!$A$2:$A$101,0))</f>
        <v>Consumer</v>
      </c>
      <c r="T107" s="0" t="str">
        <f aca="false">INDEX(Customers!$D$2:$D$101,MATCH(D107,Customers!$A$2:$A$101,0))</f>
        <v>Mumbai</v>
      </c>
    </row>
    <row r="108" customFormat="false" ht="15" hidden="false" customHeight="false" outlineLevel="0" collapsed="false">
      <c r="A108" s="0" t="s">
        <v>344</v>
      </c>
      <c r="B108" s="37" t="n">
        <v>45354</v>
      </c>
      <c r="C108" s="37" t="n">
        <v>45358</v>
      </c>
      <c r="D108" s="38" t="s">
        <v>345</v>
      </c>
      <c r="E108" s="38" t="s">
        <v>113</v>
      </c>
      <c r="F108" s="38" t="s">
        <v>102</v>
      </c>
      <c r="G108" s="38" t="s">
        <v>178</v>
      </c>
      <c r="H108" s="0" t="n">
        <v>5</v>
      </c>
      <c r="I108" s="39" t="n">
        <v>45000</v>
      </c>
      <c r="J108" s="40" t="n">
        <v>0.1</v>
      </c>
      <c r="K108" s="39" t="n">
        <v>202500</v>
      </c>
      <c r="L108" s="39" t="n">
        <v>180000</v>
      </c>
      <c r="M108" s="39" t="n">
        <v>22500</v>
      </c>
      <c r="N108" s="38" t="s">
        <v>66</v>
      </c>
      <c r="O108" s="38" t="n">
        <f aca="false">YEAR(B108)</f>
        <v>2024</v>
      </c>
      <c r="P108" s="41" t="n">
        <f aca="false">DATE(YEAR(B108),MONTH(B108),1)</f>
        <v>45352</v>
      </c>
      <c r="Q108" s="0" t="str">
        <f aca="false">INDEX(Products!$C$2:$C$16,MATCH(E108,Products!$A$2:$A$16,0))</f>
        <v>Technology</v>
      </c>
      <c r="R108" s="0" t="str">
        <f aca="false">INDEX(Customers!$F$2:$F$101,MATCH(D108,Customers!$A$2:$A$101,0))</f>
        <v>West</v>
      </c>
      <c r="S108" s="0" t="str">
        <f aca="false">INDEX(Customers!$C$2:$C$101,MATCH(D108,Customers!$A$2:$A$101,0))</f>
        <v>Consumer</v>
      </c>
      <c r="T108" s="0" t="str">
        <f aca="false">INDEX(Customers!$D$2:$D$101,MATCH(D108,Customers!$A$2:$A$101,0))</f>
        <v>Ahmedabad</v>
      </c>
    </row>
    <row r="109" customFormat="false" ht="15" hidden="false" customHeight="false" outlineLevel="0" collapsed="false">
      <c r="A109" s="0" t="s">
        <v>346</v>
      </c>
      <c r="B109" s="37" t="n">
        <v>46212</v>
      </c>
      <c r="C109" s="37" t="n">
        <v>46213</v>
      </c>
      <c r="D109" s="38" t="s">
        <v>172</v>
      </c>
      <c r="E109" s="38" t="s">
        <v>114</v>
      </c>
      <c r="F109" s="38" t="s">
        <v>100</v>
      </c>
      <c r="G109" s="38" t="s">
        <v>173</v>
      </c>
      <c r="H109" s="0" t="n">
        <v>2</v>
      </c>
      <c r="I109" s="39" t="n">
        <v>800</v>
      </c>
      <c r="J109" s="40" t="n">
        <v>0</v>
      </c>
      <c r="K109" s="39" t="n">
        <v>1600</v>
      </c>
      <c r="L109" s="39" t="n">
        <v>840</v>
      </c>
      <c r="M109" s="39" t="n">
        <v>760</v>
      </c>
      <c r="N109" s="38" t="s">
        <v>66</v>
      </c>
      <c r="O109" s="38" t="n">
        <f aca="false">YEAR(B109)</f>
        <v>2026</v>
      </c>
      <c r="P109" s="41" t="n">
        <f aca="false">DATE(YEAR(B109),MONTH(B109),1)</f>
        <v>46204</v>
      </c>
      <c r="Q109" s="0" t="str">
        <f aca="false">INDEX(Products!$C$2:$C$16,MATCH(E109,Products!$A$2:$A$16,0))</f>
        <v>Technology</v>
      </c>
      <c r="R109" s="0" t="str">
        <f aca="false">INDEX(Customers!$F$2:$F$101,MATCH(D109,Customers!$A$2:$A$101,0))</f>
        <v>East</v>
      </c>
      <c r="S109" s="0" t="str">
        <f aca="false">INDEX(Customers!$C$2:$C$101,MATCH(D109,Customers!$A$2:$A$101,0))</f>
        <v>Consumer</v>
      </c>
      <c r="T109" s="0" t="str">
        <f aca="false">INDEX(Customers!$D$2:$D$101,MATCH(D109,Customers!$A$2:$A$101,0))</f>
        <v>Bhubaneswar</v>
      </c>
    </row>
    <row r="110" customFormat="false" ht="15" hidden="false" customHeight="false" outlineLevel="0" collapsed="false">
      <c r="A110" s="0" t="s">
        <v>347</v>
      </c>
      <c r="B110" s="37" t="n">
        <v>45853</v>
      </c>
      <c r="C110" s="37" t="n">
        <v>45859</v>
      </c>
      <c r="D110" s="38" t="s">
        <v>348</v>
      </c>
      <c r="E110" s="38" t="s">
        <v>122</v>
      </c>
      <c r="F110" s="38" t="s">
        <v>102</v>
      </c>
      <c r="G110" s="38" t="s">
        <v>170</v>
      </c>
      <c r="H110" s="0" t="n">
        <v>2</v>
      </c>
      <c r="I110" s="39" t="n">
        <v>5500</v>
      </c>
      <c r="J110" s="40" t="n">
        <v>0.15</v>
      </c>
      <c r="K110" s="39" t="n">
        <v>9350</v>
      </c>
      <c r="L110" s="39" t="n">
        <v>7400</v>
      </c>
      <c r="M110" s="39" t="n">
        <v>1950</v>
      </c>
      <c r="N110" s="38" t="s">
        <v>66</v>
      </c>
      <c r="O110" s="38" t="n">
        <f aca="false">YEAR(B110)</f>
        <v>2025</v>
      </c>
      <c r="P110" s="41" t="n">
        <f aca="false">DATE(YEAR(B110),MONTH(B110),1)</f>
        <v>45839</v>
      </c>
      <c r="Q110" s="0" t="str">
        <f aca="false">INDEX(Products!$C$2:$C$16,MATCH(E110,Products!$A$2:$A$16,0))</f>
        <v>Furniture</v>
      </c>
      <c r="R110" s="0" t="str">
        <f aca="false">INDEX(Customers!$F$2:$F$101,MATCH(D110,Customers!$A$2:$A$101,0))</f>
        <v>East</v>
      </c>
      <c r="S110" s="0" t="str">
        <f aca="false">INDEX(Customers!$C$2:$C$101,MATCH(D110,Customers!$A$2:$A$101,0))</f>
        <v>Corporate</v>
      </c>
      <c r="T110" s="0" t="str">
        <f aca="false">INDEX(Customers!$D$2:$D$101,MATCH(D110,Customers!$A$2:$A$101,0))</f>
        <v>Kolkata</v>
      </c>
    </row>
    <row r="111" customFormat="false" ht="15" hidden="false" customHeight="false" outlineLevel="0" collapsed="false">
      <c r="A111" s="0" t="s">
        <v>349</v>
      </c>
      <c r="B111" s="37" t="n">
        <v>45393</v>
      </c>
      <c r="C111" s="37" t="n">
        <v>45400</v>
      </c>
      <c r="D111" s="38" t="s">
        <v>350</v>
      </c>
      <c r="E111" s="38" t="s">
        <v>119</v>
      </c>
      <c r="F111" s="38" t="s">
        <v>102</v>
      </c>
      <c r="G111" s="38" t="s">
        <v>188</v>
      </c>
      <c r="H111" s="0" t="n">
        <v>3</v>
      </c>
      <c r="I111" s="39" t="n">
        <v>250</v>
      </c>
      <c r="J111" s="40" t="n">
        <v>0.25</v>
      </c>
      <c r="K111" s="39" t="n">
        <v>562.5</v>
      </c>
      <c r="L111" s="39" t="n">
        <v>360</v>
      </c>
      <c r="M111" s="39" t="n">
        <v>202.5</v>
      </c>
      <c r="N111" s="38" t="s">
        <v>66</v>
      </c>
      <c r="O111" s="38" t="n">
        <f aca="false">YEAR(B111)</f>
        <v>2024</v>
      </c>
      <c r="P111" s="41" t="n">
        <f aca="false">DATE(YEAR(B111),MONTH(B111),1)</f>
        <v>45383</v>
      </c>
      <c r="Q111" s="0" t="str">
        <f aca="false">INDEX(Products!$C$2:$C$16,MATCH(E111,Products!$A$2:$A$16,0))</f>
        <v>Office Supplies</v>
      </c>
      <c r="R111" s="0" t="str">
        <f aca="false">INDEX(Customers!$F$2:$F$101,MATCH(D111,Customers!$A$2:$A$101,0))</f>
        <v>South</v>
      </c>
      <c r="S111" s="0" t="str">
        <f aca="false">INDEX(Customers!$C$2:$C$101,MATCH(D111,Customers!$A$2:$A$101,0))</f>
        <v>Consumer</v>
      </c>
      <c r="T111" s="0" t="str">
        <f aca="false">INDEX(Customers!$D$2:$D$101,MATCH(D111,Customers!$A$2:$A$101,0))</f>
        <v>Chennai</v>
      </c>
    </row>
    <row r="112" customFormat="false" ht="15" hidden="false" customHeight="false" outlineLevel="0" collapsed="false">
      <c r="A112" s="0" t="s">
        <v>351</v>
      </c>
      <c r="B112" s="37" t="n">
        <v>45754</v>
      </c>
      <c r="C112" s="37" t="n">
        <v>45756</v>
      </c>
      <c r="D112" s="38" t="s">
        <v>352</v>
      </c>
      <c r="E112" s="38" t="s">
        <v>119</v>
      </c>
      <c r="F112" s="38" t="s">
        <v>101</v>
      </c>
      <c r="G112" s="38" t="s">
        <v>185</v>
      </c>
      <c r="H112" s="0" t="n">
        <v>2</v>
      </c>
      <c r="I112" s="39" t="n">
        <v>250</v>
      </c>
      <c r="J112" s="40" t="n">
        <v>0.25</v>
      </c>
      <c r="K112" s="39" t="n">
        <v>375</v>
      </c>
      <c r="L112" s="39" t="n">
        <v>240</v>
      </c>
      <c r="M112" s="39" t="n">
        <v>135</v>
      </c>
      <c r="N112" s="38" t="s">
        <v>66</v>
      </c>
      <c r="O112" s="38" t="n">
        <f aca="false">YEAR(B112)</f>
        <v>2025</v>
      </c>
      <c r="P112" s="41" t="n">
        <f aca="false">DATE(YEAR(B112),MONTH(B112),1)</f>
        <v>45748</v>
      </c>
      <c r="Q112" s="0" t="str">
        <f aca="false">INDEX(Products!$C$2:$C$16,MATCH(E112,Products!$A$2:$A$16,0))</f>
        <v>Office Supplies</v>
      </c>
      <c r="R112" s="0" t="str">
        <f aca="false">INDEX(Customers!$F$2:$F$101,MATCH(D112,Customers!$A$2:$A$101,0))</f>
        <v>South</v>
      </c>
      <c r="S112" s="0" t="str">
        <f aca="false">INDEX(Customers!$C$2:$C$101,MATCH(D112,Customers!$A$2:$A$101,0))</f>
        <v>Small Business</v>
      </c>
      <c r="T112" s="0" t="str">
        <f aca="false">INDEX(Customers!$D$2:$D$101,MATCH(D112,Customers!$A$2:$A$101,0))</f>
        <v>Hyderabad</v>
      </c>
    </row>
    <row r="113" customFormat="false" ht="15" hidden="false" customHeight="false" outlineLevel="0" collapsed="false">
      <c r="A113" s="0" t="s">
        <v>353</v>
      </c>
      <c r="B113" s="37" t="n">
        <v>45729</v>
      </c>
      <c r="C113" s="37" t="n">
        <v>45732</v>
      </c>
      <c r="D113" s="38" t="s">
        <v>354</v>
      </c>
      <c r="E113" s="38" t="s">
        <v>118</v>
      </c>
      <c r="F113" s="38" t="s">
        <v>100</v>
      </c>
      <c r="G113" s="38" t="s">
        <v>185</v>
      </c>
      <c r="H113" s="0" t="n">
        <v>3</v>
      </c>
      <c r="I113" s="39" t="n">
        <v>9000</v>
      </c>
      <c r="J113" s="40" t="n">
        <v>0.05</v>
      </c>
      <c r="K113" s="39" t="n">
        <v>25650</v>
      </c>
      <c r="L113" s="39" t="n">
        <v>19500</v>
      </c>
      <c r="M113" s="39" t="n">
        <v>6150</v>
      </c>
      <c r="N113" s="38" t="s">
        <v>66</v>
      </c>
      <c r="O113" s="38" t="n">
        <f aca="false">YEAR(B113)</f>
        <v>2025</v>
      </c>
      <c r="P113" s="41" t="n">
        <f aca="false">DATE(YEAR(B113),MONTH(B113),1)</f>
        <v>45717</v>
      </c>
      <c r="Q113" s="0" t="str">
        <f aca="false">INDEX(Products!$C$2:$C$16,MATCH(E113,Products!$A$2:$A$16,0))</f>
        <v>Furniture</v>
      </c>
      <c r="R113" s="0" t="str">
        <f aca="false">INDEX(Customers!$F$2:$F$101,MATCH(D113,Customers!$A$2:$A$101,0))</f>
        <v>East</v>
      </c>
      <c r="S113" s="0" t="str">
        <f aca="false">INDEX(Customers!$C$2:$C$101,MATCH(D113,Customers!$A$2:$A$101,0))</f>
        <v>Small Business</v>
      </c>
      <c r="T113" s="0" t="str">
        <f aca="false">INDEX(Customers!$D$2:$D$101,MATCH(D113,Customers!$A$2:$A$101,0))</f>
        <v>Bhubaneswar</v>
      </c>
    </row>
    <row r="114" customFormat="false" ht="15" hidden="false" customHeight="false" outlineLevel="0" collapsed="false">
      <c r="A114" s="0" t="s">
        <v>355</v>
      </c>
      <c r="B114" s="37" t="n">
        <v>45734</v>
      </c>
      <c r="C114" s="37" t="n">
        <v>45735</v>
      </c>
      <c r="D114" s="38" t="s">
        <v>196</v>
      </c>
      <c r="E114" s="38" t="s">
        <v>114</v>
      </c>
      <c r="F114" s="38" t="s">
        <v>100</v>
      </c>
      <c r="G114" s="38" t="s">
        <v>188</v>
      </c>
      <c r="H114" s="0" t="n">
        <v>4</v>
      </c>
      <c r="I114" s="39" t="n">
        <v>800</v>
      </c>
      <c r="J114" s="40" t="n">
        <v>0.05</v>
      </c>
      <c r="K114" s="39" t="n">
        <v>3040</v>
      </c>
      <c r="L114" s="39" t="n">
        <v>1680</v>
      </c>
      <c r="M114" s="39" t="n">
        <v>1360</v>
      </c>
      <c r="N114" s="38" t="s">
        <v>66</v>
      </c>
      <c r="O114" s="38" t="n">
        <f aca="false">YEAR(B114)</f>
        <v>2025</v>
      </c>
      <c r="P114" s="41" t="n">
        <f aca="false">DATE(YEAR(B114),MONTH(B114),1)</f>
        <v>45717</v>
      </c>
      <c r="Q114" s="0" t="str">
        <f aca="false">INDEX(Products!$C$2:$C$16,MATCH(E114,Products!$A$2:$A$16,0))</f>
        <v>Technology</v>
      </c>
      <c r="R114" s="0" t="str">
        <f aca="false">INDEX(Customers!$F$2:$F$101,MATCH(D114,Customers!$A$2:$A$101,0))</f>
        <v>South</v>
      </c>
      <c r="S114" s="0" t="str">
        <f aca="false">INDEX(Customers!$C$2:$C$101,MATCH(D114,Customers!$A$2:$A$101,0))</f>
        <v>Consumer</v>
      </c>
      <c r="T114" s="0" t="str">
        <f aca="false">INDEX(Customers!$D$2:$D$101,MATCH(D114,Customers!$A$2:$A$101,0))</f>
        <v>Chennai</v>
      </c>
    </row>
    <row r="115" customFormat="false" ht="15" hidden="false" customHeight="false" outlineLevel="0" collapsed="false">
      <c r="A115" s="0" t="s">
        <v>356</v>
      </c>
      <c r="B115" s="37" t="n">
        <v>45629</v>
      </c>
      <c r="C115" s="37" t="n">
        <v>45635</v>
      </c>
      <c r="D115" s="38" t="s">
        <v>322</v>
      </c>
      <c r="E115" s="38" t="s">
        <v>121</v>
      </c>
      <c r="F115" s="38" t="s">
        <v>102</v>
      </c>
      <c r="G115" s="38" t="s">
        <v>185</v>
      </c>
      <c r="H115" s="0" t="n">
        <v>1</v>
      </c>
      <c r="I115" s="39" t="n">
        <v>180</v>
      </c>
      <c r="J115" s="40" t="n">
        <v>0.05</v>
      </c>
      <c r="K115" s="39" t="n">
        <v>171</v>
      </c>
      <c r="L115" s="39" t="n">
        <v>70</v>
      </c>
      <c r="M115" s="39" t="n">
        <v>101</v>
      </c>
      <c r="N115" s="38" t="s">
        <v>66</v>
      </c>
      <c r="O115" s="38" t="n">
        <f aca="false">YEAR(B115)</f>
        <v>2024</v>
      </c>
      <c r="P115" s="41" t="n">
        <f aca="false">DATE(YEAR(B115),MONTH(B115),1)</f>
        <v>45627</v>
      </c>
      <c r="Q115" s="0" t="str">
        <f aca="false">INDEX(Products!$C$2:$C$16,MATCH(E115,Products!$A$2:$A$16,0))</f>
        <v>Office Supplies</v>
      </c>
      <c r="R115" s="0" t="str">
        <f aca="false">INDEX(Customers!$F$2:$F$101,MATCH(D115,Customers!$A$2:$A$101,0))</f>
        <v>North</v>
      </c>
      <c r="S115" s="0" t="str">
        <f aca="false">INDEX(Customers!$C$2:$C$101,MATCH(D115,Customers!$A$2:$A$101,0))</f>
        <v>Consumer</v>
      </c>
      <c r="T115" s="0" t="str">
        <f aca="false">INDEX(Customers!$D$2:$D$101,MATCH(D115,Customers!$A$2:$A$101,0))</f>
        <v>Jaipur</v>
      </c>
    </row>
    <row r="116" customFormat="false" ht="15" hidden="false" customHeight="false" outlineLevel="0" collapsed="false">
      <c r="A116" s="0" t="s">
        <v>357</v>
      </c>
      <c r="B116" s="37" t="n">
        <v>46283</v>
      </c>
      <c r="C116" s="37" t="n">
        <v>46286</v>
      </c>
      <c r="D116" s="38" t="s">
        <v>316</v>
      </c>
      <c r="E116" s="38" t="s">
        <v>113</v>
      </c>
      <c r="F116" s="38" t="s">
        <v>100</v>
      </c>
      <c r="G116" s="38" t="s">
        <v>188</v>
      </c>
      <c r="H116" s="0" t="n">
        <v>3</v>
      </c>
      <c r="I116" s="39" t="n">
        <v>45000</v>
      </c>
      <c r="J116" s="40" t="n">
        <v>0.05</v>
      </c>
      <c r="K116" s="39" t="n">
        <v>128250</v>
      </c>
      <c r="L116" s="39" t="n">
        <v>108000</v>
      </c>
      <c r="M116" s="39" t="n">
        <v>20250</v>
      </c>
      <c r="N116" s="38" t="s">
        <v>66</v>
      </c>
      <c r="O116" s="38" t="n">
        <f aca="false">YEAR(B116)</f>
        <v>2026</v>
      </c>
      <c r="P116" s="41" t="n">
        <f aca="false">DATE(YEAR(B116),MONTH(B116),1)</f>
        <v>46266</v>
      </c>
      <c r="Q116" s="0" t="str">
        <f aca="false">INDEX(Products!$C$2:$C$16,MATCH(E116,Products!$A$2:$A$16,0))</f>
        <v>Technology</v>
      </c>
      <c r="R116" s="0" t="str">
        <f aca="false">INDEX(Customers!$F$2:$F$101,MATCH(D116,Customers!$A$2:$A$101,0))</f>
        <v>West</v>
      </c>
      <c r="S116" s="0" t="str">
        <f aca="false">INDEX(Customers!$C$2:$C$101,MATCH(D116,Customers!$A$2:$A$101,0))</f>
        <v>Corporate</v>
      </c>
      <c r="T116" s="0" t="str">
        <f aca="false">INDEX(Customers!$D$2:$D$101,MATCH(D116,Customers!$A$2:$A$101,0))</f>
        <v>Ahmedabad</v>
      </c>
    </row>
    <row r="117" customFormat="false" ht="15" hidden="false" customHeight="false" outlineLevel="0" collapsed="false">
      <c r="A117" s="0" t="s">
        <v>358</v>
      </c>
      <c r="B117" s="37" t="n">
        <v>45785</v>
      </c>
      <c r="C117" s="37" t="n">
        <v>45787</v>
      </c>
      <c r="D117" s="38" t="s">
        <v>331</v>
      </c>
      <c r="E117" s="38" t="s">
        <v>123</v>
      </c>
      <c r="F117" s="38" t="s">
        <v>102</v>
      </c>
      <c r="G117" s="38" t="s">
        <v>170</v>
      </c>
      <c r="H117" s="0" t="n">
        <v>5</v>
      </c>
      <c r="I117" s="39" t="n">
        <v>2200</v>
      </c>
      <c r="J117" s="40" t="n">
        <v>0.05</v>
      </c>
      <c r="K117" s="39" t="n">
        <v>10450</v>
      </c>
      <c r="L117" s="39" t="n">
        <v>6500</v>
      </c>
      <c r="M117" s="39" t="n">
        <v>3950</v>
      </c>
      <c r="N117" s="38" t="s">
        <v>66</v>
      </c>
      <c r="O117" s="38" t="n">
        <f aca="false">YEAR(B117)</f>
        <v>2025</v>
      </c>
      <c r="P117" s="41" t="n">
        <f aca="false">DATE(YEAR(B117),MONTH(B117),1)</f>
        <v>45778</v>
      </c>
      <c r="Q117" s="0" t="str">
        <f aca="false">INDEX(Products!$C$2:$C$16,MATCH(E117,Products!$A$2:$A$16,0))</f>
        <v>Technology</v>
      </c>
      <c r="R117" s="0" t="str">
        <f aca="false">INDEX(Customers!$F$2:$F$101,MATCH(D117,Customers!$A$2:$A$101,0))</f>
        <v>North</v>
      </c>
      <c r="S117" s="0" t="str">
        <f aca="false">INDEX(Customers!$C$2:$C$101,MATCH(D117,Customers!$A$2:$A$101,0))</f>
        <v>Corporate</v>
      </c>
      <c r="T117" s="0" t="str">
        <f aca="false">INDEX(Customers!$D$2:$D$101,MATCH(D117,Customers!$A$2:$A$101,0))</f>
        <v>Delhi</v>
      </c>
    </row>
    <row r="118" customFormat="false" ht="15" hidden="false" customHeight="false" outlineLevel="0" collapsed="false">
      <c r="A118" s="0" t="s">
        <v>359</v>
      </c>
      <c r="B118" s="37" t="n">
        <v>45523</v>
      </c>
      <c r="C118" s="37" t="n">
        <v>45530</v>
      </c>
      <c r="D118" s="38" t="s">
        <v>194</v>
      </c>
      <c r="E118" s="38" t="s">
        <v>122</v>
      </c>
      <c r="F118" s="38" t="s">
        <v>102</v>
      </c>
      <c r="G118" s="38" t="s">
        <v>188</v>
      </c>
      <c r="H118" s="0" t="n">
        <v>2</v>
      </c>
      <c r="I118" s="39" t="n">
        <v>5500</v>
      </c>
      <c r="J118" s="40" t="n">
        <v>0.15</v>
      </c>
      <c r="K118" s="39" t="n">
        <v>9350</v>
      </c>
      <c r="L118" s="39" t="n">
        <v>7400</v>
      </c>
      <c r="M118" s="39" t="n">
        <v>1950</v>
      </c>
      <c r="N118" s="38" t="s">
        <v>66</v>
      </c>
      <c r="O118" s="38" t="n">
        <f aca="false">YEAR(B118)</f>
        <v>2024</v>
      </c>
      <c r="P118" s="41" t="n">
        <f aca="false">DATE(YEAR(B118),MONTH(B118),1)</f>
        <v>45505</v>
      </c>
      <c r="Q118" s="0" t="str">
        <f aca="false">INDEX(Products!$C$2:$C$16,MATCH(E118,Products!$A$2:$A$16,0))</f>
        <v>Furniture</v>
      </c>
      <c r="R118" s="0" t="str">
        <f aca="false">INDEX(Customers!$F$2:$F$101,MATCH(D118,Customers!$A$2:$A$101,0))</f>
        <v>North</v>
      </c>
      <c r="S118" s="0" t="str">
        <f aca="false">INDEX(Customers!$C$2:$C$101,MATCH(D118,Customers!$A$2:$A$101,0))</f>
        <v>Small Business</v>
      </c>
      <c r="T118" s="0" t="str">
        <f aca="false">INDEX(Customers!$D$2:$D$101,MATCH(D118,Customers!$A$2:$A$101,0))</f>
        <v>Gurugram</v>
      </c>
    </row>
    <row r="119" customFormat="false" ht="15" hidden="false" customHeight="false" outlineLevel="0" collapsed="false">
      <c r="A119" s="0" t="s">
        <v>360</v>
      </c>
      <c r="B119" s="37" t="n">
        <v>45915</v>
      </c>
      <c r="C119" s="37" t="n">
        <v>45921</v>
      </c>
      <c r="D119" s="38" t="s">
        <v>322</v>
      </c>
      <c r="E119" s="38" t="s">
        <v>113</v>
      </c>
      <c r="F119" s="38" t="s">
        <v>100</v>
      </c>
      <c r="G119" s="38" t="s">
        <v>173</v>
      </c>
      <c r="H119" s="0" t="n">
        <v>5</v>
      </c>
      <c r="I119" s="39" t="n">
        <v>45000</v>
      </c>
      <c r="J119" s="40" t="n">
        <v>0.05</v>
      </c>
      <c r="K119" s="39" t="n">
        <v>213750</v>
      </c>
      <c r="L119" s="39" t="n">
        <v>180000</v>
      </c>
      <c r="M119" s="39" t="n">
        <v>33750</v>
      </c>
      <c r="N119" s="38" t="s">
        <v>66</v>
      </c>
      <c r="O119" s="38" t="n">
        <f aca="false">YEAR(B119)</f>
        <v>2025</v>
      </c>
      <c r="P119" s="41" t="n">
        <f aca="false">DATE(YEAR(B119),MONTH(B119),1)</f>
        <v>45901</v>
      </c>
      <c r="Q119" s="0" t="str">
        <f aca="false">INDEX(Products!$C$2:$C$16,MATCH(E119,Products!$A$2:$A$16,0))</f>
        <v>Technology</v>
      </c>
      <c r="R119" s="0" t="str">
        <f aca="false">INDEX(Customers!$F$2:$F$101,MATCH(D119,Customers!$A$2:$A$101,0))</f>
        <v>North</v>
      </c>
      <c r="S119" s="0" t="str">
        <f aca="false">INDEX(Customers!$C$2:$C$101,MATCH(D119,Customers!$A$2:$A$101,0))</f>
        <v>Consumer</v>
      </c>
      <c r="T119" s="0" t="str">
        <f aca="false">INDEX(Customers!$D$2:$D$101,MATCH(D119,Customers!$A$2:$A$101,0))</f>
        <v>Jaipur</v>
      </c>
    </row>
    <row r="120" customFormat="false" ht="15" hidden="false" customHeight="false" outlineLevel="0" collapsed="false">
      <c r="A120" s="0" t="s">
        <v>361</v>
      </c>
      <c r="B120" s="37" t="n">
        <v>46235</v>
      </c>
      <c r="C120" s="37" t="n">
        <v>46238</v>
      </c>
      <c r="D120" s="38" t="s">
        <v>270</v>
      </c>
      <c r="E120" s="38" t="s">
        <v>117</v>
      </c>
      <c r="F120" s="38" t="s">
        <v>100</v>
      </c>
      <c r="G120" s="38" t="s">
        <v>188</v>
      </c>
      <c r="H120" s="0" t="n">
        <v>2</v>
      </c>
      <c r="I120" s="39" t="n">
        <v>6500</v>
      </c>
      <c r="J120" s="40" t="n">
        <v>0</v>
      </c>
      <c r="K120" s="39" t="n">
        <v>13000</v>
      </c>
      <c r="L120" s="39" t="n">
        <v>8400</v>
      </c>
      <c r="M120" s="39" t="n">
        <v>4600</v>
      </c>
      <c r="N120" s="38" t="s">
        <v>66</v>
      </c>
      <c r="O120" s="38" t="n">
        <f aca="false">YEAR(B120)</f>
        <v>2026</v>
      </c>
      <c r="P120" s="41" t="n">
        <f aca="false">DATE(YEAR(B120),MONTH(B120),1)</f>
        <v>46235</v>
      </c>
      <c r="Q120" s="0" t="str">
        <f aca="false">INDEX(Products!$C$2:$C$16,MATCH(E120,Products!$A$2:$A$16,0))</f>
        <v>Furniture</v>
      </c>
      <c r="R120" s="0" t="str">
        <f aca="false">INDEX(Customers!$F$2:$F$101,MATCH(D120,Customers!$A$2:$A$101,0))</f>
        <v>West</v>
      </c>
      <c r="S120" s="0" t="str">
        <f aca="false">INDEX(Customers!$C$2:$C$101,MATCH(D120,Customers!$A$2:$A$101,0))</f>
        <v>Small Business</v>
      </c>
      <c r="T120" s="0" t="str">
        <f aca="false">INDEX(Customers!$D$2:$D$101,MATCH(D120,Customers!$A$2:$A$101,0))</f>
        <v>Pune</v>
      </c>
    </row>
    <row r="121" customFormat="false" ht="15" hidden="false" customHeight="false" outlineLevel="0" collapsed="false">
      <c r="A121" s="0" t="s">
        <v>362</v>
      </c>
      <c r="B121" s="37" t="n">
        <v>46050</v>
      </c>
      <c r="C121" s="37" t="n">
        <v>46056</v>
      </c>
      <c r="D121" s="38" t="s">
        <v>326</v>
      </c>
      <c r="E121" s="38" t="s">
        <v>115</v>
      </c>
      <c r="F121" s="38" t="s">
        <v>102</v>
      </c>
      <c r="G121" s="38" t="s">
        <v>188</v>
      </c>
      <c r="H121" s="0" t="n">
        <v>8</v>
      </c>
      <c r="I121" s="39" t="n">
        <v>1500</v>
      </c>
      <c r="J121" s="40" t="n">
        <v>0</v>
      </c>
      <c r="K121" s="39" t="n">
        <v>12000</v>
      </c>
      <c r="L121" s="39" t="n">
        <v>6800</v>
      </c>
      <c r="M121" s="39" t="n">
        <v>5200</v>
      </c>
      <c r="N121" s="38" t="s">
        <v>66</v>
      </c>
      <c r="O121" s="38" t="n">
        <f aca="false">YEAR(B121)</f>
        <v>2026</v>
      </c>
      <c r="P121" s="41" t="n">
        <f aca="false">DATE(YEAR(B121),MONTH(B121),1)</f>
        <v>46023</v>
      </c>
      <c r="Q121" s="0" t="str">
        <f aca="false">INDEX(Products!$C$2:$C$16,MATCH(E121,Products!$A$2:$A$16,0))</f>
        <v>Technology</v>
      </c>
      <c r="R121" s="0" t="str">
        <f aca="false">INDEX(Customers!$F$2:$F$101,MATCH(D121,Customers!$A$2:$A$101,0))</f>
        <v>North</v>
      </c>
      <c r="S121" s="0" t="str">
        <f aca="false">INDEX(Customers!$C$2:$C$101,MATCH(D121,Customers!$A$2:$A$101,0))</f>
        <v>Consumer</v>
      </c>
      <c r="T121" s="0" t="str">
        <f aca="false">INDEX(Customers!$D$2:$D$101,MATCH(D121,Customers!$A$2:$A$101,0))</f>
        <v>Gurugram</v>
      </c>
    </row>
    <row r="122" customFormat="false" ht="15" hidden="false" customHeight="false" outlineLevel="0" collapsed="false">
      <c r="A122" s="0" t="s">
        <v>363</v>
      </c>
      <c r="B122" s="37" t="n">
        <v>45641</v>
      </c>
      <c r="C122" s="37" t="n">
        <v>45643</v>
      </c>
      <c r="D122" s="38" t="s">
        <v>364</v>
      </c>
      <c r="E122" s="38" t="s">
        <v>120</v>
      </c>
      <c r="F122" s="38" t="s">
        <v>101</v>
      </c>
      <c r="G122" s="38" t="s">
        <v>188</v>
      </c>
      <c r="H122" s="0" t="n">
        <v>2</v>
      </c>
      <c r="I122" s="39" t="n">
        <v>400</v>
      </c>
      <c r="J122" s="40" t="n">
        <v>0.2</v>
      </c>
      <c r="K122" s="39" t="n">
        <v>640</v>
      </c>
      <c r="L122" s="39" t="n">
        <v>520</v>
      </c>
      <c r="M122" s="39" t="n">
        <v>120</v>
      </c>
      <c r="N122" s="38" t="s">
        <v>66</v>
      </c>
      <c r="O122" s="38" t="n">
        <f aca="false">YEAR(B122)</f>
        <v>2024</v>
      </c>
      <c r="P122" s="41" t="n">
        <f aca="false">DATE(YEAR(B122),MONTH(B122),1)</f>
        <v>45627</v>
      </c>
      <c r="Q122" s="0" t="str">
        <f aca="false">INDEX(Products!$C$2:$C$16,MATCH(E122,Products!$A$2:$A$16,0))</f>
        <v>Office Supplies</v>
      </c>
      <c r="R122" s="0" t="str">
        <f aca="false">INDEX(Customers!$F$2:$F$101,MATCH(D122,Customers!$A$2:$A$101,0))</f>
        <v>North</v>
      </c>
      <c r="S122" s="0" t="str">
        <f aca="false">INDEX(Customers!$C$2:$C$101,MATCH(D122,Customers!$A$2:$A$101,0))</f>
        <v>Corporate</v>
      </c>
      <c r="T122" s="0" t="str">
        <f aca="false">INDEX(Customers!$D$2:$D$101,MATCH(D122,Customers!$A$2:$A$101,0))</f>
        <v>Jaipur</v>
      </c>
    </row>
    <row r="123" customFormat="false" ht="15" hidden="false" customHeight="false" outlineLevel="0" collapsed="false">
      <c r="A123" s="0" t="s">
        <v>365</v>
      </c>
      <c r="B123" s="37" t="n">
        <v>45453</v>
      </c>
      <c r="C123" s="37" t="n">
        <v>45460</v>
      </c>
      <c r="D123" s="38" t="s">
        <v>278</v>
      </c>
      <c r="E123" s="38" t="s">
        <v>115</v>
      </c>
      <c r="F123" s="38" t="s">
        <v>100</v>
      </c>
      <c r="G123" s="38" t="s">
        <v>170</v>
      </c>
      <c r="H123" s="0" t="n">
        <v>3</v>
      </c>
      <c r="I123" s="39" t="n">
        <v>1500</v>
      </c>
      <c r="J123" s="40" t="n">
        <v>0.2</v>
      </c>
      <c r="K123" s="39" t="n">
        <v>3600</v>
      </c>
      <c r="L123" s="39" t="n">
        <v>2550</v>
      </c>
      <c r="M123" s="39" t="n">
        <v>1050</v>
      </c>
      <c r="N123" s="38" t="s">
        <v>66</v>
      </c>
      <c r="O123" s="38" t="n">
        <f aca="false">YEAR(B123)</f>
        <v>2024</v>
      </c>
      <c r="P123" s="41" t="n">
        <f aca="false">DATE(YEAR(B123),MONTH(B123),1)</f>
        <v>45444</v>
      </c>
      <c r="Q123" s="0" t="str">
        <f aca="false">INDEX(Products!$C$2:$C$16,MATCH(E123,Products!$A$2:$A$16,0))</f>
        <v>Technology</v>
      </c>
      <c r="R123" s="0" t="str">
        <f aca="false">INDEX(Customers!$F$2:$F$101,MATCH(D123,Customers!$A$2:$A$101,0))</f>
        <v>South</v>
      </c>
      <c r="S123" s="0" t="str">
        <f aca="false">INDEX(Customers!$C$2:$C$101,MATCH(D123,Customers!$A$2:$A$101,0))</f>
        <v>Consumer</v>
      </c>
      <c r="T123" s="0" t="str">
        <f aca="false">INDEX(Customers!$D$2:$D$101,MATCH(D123,Customers!$A$2:$A$101,0))</f>
        <v>Hyderabad</v>
      </c>
    </row>
    <row r="124" customFormat="false" ht="15" hidden="false" customHeight="false" outlineLevel="0" collapsed="false">
      <c r="A124" s="0" t="s">
        <v>366</v>
      </c>
      <c r="B124" s="37" t="n">
        <v>45913</v>
      </c>
      <c r="C124" s="37" t="n">
        <v>45917</v>
      </c>
      <c r="D124" s="38" t="s">
        <v>367</v>
      </c>
      <c r="E124" s="38" t="s">
        <v>120</v>
      </c>
      <c r="F124" s="38" t="s">
        <v>102</v>
      </c>
      <c r="G124" s="38" t="s">
        <v>178</v>
      </c>
      <c r="H124" s="0" t="n">
        <v>2</v>
      </c>
      <c r="I124" s="39" t="n">
        <v>400</v>
      </c>
      <c r="J124" s="40" t="n">
        <v>0</v>
      </c>
      <c r="K124" s="39" t="n">
        <v>800</v>
      </c>
      <c r="L124" s="39" t="n">
        <v>520</v>
      </c>
      <c r="M124" s="39" t="n">
        <v>280</v>
      </c>
      <c r="N124" s="38" t="s">
        <v>66</v>
      </c>
      <c r="O124" s="38" t="n">
        <f aca="false">YEAR(B124)</f>
        <v>2025</v>
      </c>
      <c r="P124" s="41" t="n">
        <f aca="false">DATE(YEAR(B124),MONTH(B124),1)</f>
        <v>45901</v>
      </c>
      <c r="Q124" s="0" t="str">
        <f aca="false">INDEX(Products!$C$2:$C$16,MATCH(E124,Products!$A$2:$A$16,0))</f>
        <v>Office Supplies</v>
      </c>
      <c r="R124" s="0" t="str">
        <f aca="false">INDEX(Customers!$F$2:$F$101,MATCH(D124,Customers!$A$2:$A$101,0))</f>
        <v>West</v>
      </c>
      <c r="S124" s="0" t="str">
        <f aca="false">INDEX(Customers!$C$2:$C$101,MATCH(D124,Customers!$A$2:$A$101,0))</f>
        <v>Corporate</v>
      </c>
      <c r="T124" s="0" t="str">
        <f aca="false">INDEX(Customers!$D$2:$D$101,MATCH(D124,Customers!$A$2:$A$101,0))</f>
        <v>Ahmedabad</v>
      </c>
    </row>
    <row r="125" customFormat="false" ht="15" hidden="false" customHeight="false" outlineLevel="0" collapsed="false">
      <c r="A125" s="0" t="s">
        <v>368</v>
      </c>
      <c r="B125" s="37" t="n">
        <v>45986</v>
      </c>
      <c r="C125" s="37" t="n">
        <v>45992</v>
      </c>
      <c r="D125" s="38" t="s">
        <v>369</v>
      </c>
      <c r="E125" s="38" t="s">
        <v>117</v>
      </c>
      <c r="F125" s="38" t="s">
        <v>102</v>
      </c>
      <c r="G125" s="38" t="s">
        <v>170</v>
      </c>
      <c r="H125" s="0" t="n">
        <v>3</v>
      </c>
      <c r="I125" s="39" t="n">
        <v>6500</v>
      </c>
      <c r="J125" s="40" t="n">
        <v>0.15</v>
      </c>
      <c r="K125" s="39" t="n">
        <v>16575</v>
      </c>
      <c r="L125" s="39" t="n">
        <v>12600</v>
      </c>
      <c r="M125" s="39" t="n">
        <v>3975</v>
      </c>
      <c r="N125" s="38" t="s">
        <v>66</v>
      </c>
      <c r="O125" s="38" t="n">
        <f aca="false">YEAR(B125)</f>
        <v>2025</v>
      </c>
      <c r="P125" s="41" t="n">
        <f aca="false">DATE(YEAR(B125),MONTH(B125),1)</f>
        <v>45962</v>
      </c>
      <c r="Q125" s="0" t="str">
        <f aca="false">INDEX(Products!$C$2:$C$16,MATCH(E125,Products!$A$2:$A$16,0))</f>
        <v>Furniture</v>
      </c>
      <c r="R125" s="0" t="str">
        <f aca="false">INDEX(Customers!$F$2:$F$101,MATCH(D125,Customers!$A$2:$A$101,0))</f>
        <v>West</v>
      </c>
      <c r="S125" s="0" t="str">
        <f aca="false">INDEX(Customers!$C$2:$C$101,MATCH(D125,Customers!$A$2:$A$101,0))</f>
        <v>Consumer</v>
      </c>
      <c r="T125" s="0" t="str">
        <f aca="false">INDEX(Customers!$D$2:$D$101,MATCH(D125,Customers!$A$2:$A$101,0))</f>
        <v>Mumbai</v>
      </c>
    </row>
    <row r="126" customFormat="false" ht="15" hidden="false" customHeight="false" outlineLevel="0" collapsed="false">
      <c r="A126" s="0" t="s">
        <v>370</v>
      </c>
      <c r="B126" s="37" t="n">
        <v>45348</v>
      </c>
      <c r="C126" s="37" t="n">
        <v>45349</v>
      </c>
      <c r="D126" s="38" t="s">
        <v>371</v>
      </c>
      <c r="E126" s="38" t="s">
        <v>122</v>
      </c>
      <c r="F126" s="38" t="s">
        <v>100</v>
      </c>
      <c r="G126" s="38" t="s">
        <v>170</v>
      </c>
      <c r="H126" s="0" t="n">
        <v>1</v>
      </c>
      <c r="I126" s="39" t="n">
        <v>5500</v>
      </c>
      <c r="J126" s="40" t="n">
        <v>0</v>
      </c>
      <c r="K126" s="39" t="n">
        <v>5500</v>
      </c>
      <c r="L126" s="39" t="n">
        <v>3700</v>
      </c>
      <c r="M126" s="39" t="n">
        <v>1800</v>
      </c>
      <c r="N126" s="38" t="s">
        <v>66</v>
      </c>
      <c r="O126" s="38" t="n">
        <f aca="false">YEAR(B126)</f>
        <v>2024</v>
      </c>
      <c r="P126" s="41" t="n">
        <f aca="false">DATE(YEAR(B126),MONTH(B126),1)</f>
        <v>45323</v>
      </c>
      <c r="Q126" s="0" t="str">
        <f aca="false">INDEX(Products!$C$2:$C$16,MATCH(E126,Products!$A$2:$A$16,0))</f>
        <v>Furniture</v>
      </c>
      <c r="R126" s="0" t="str">
        <f aca="false">INDEX(Customers!$F$2:$F$101,MATCH(D126,Customers!$A$2:$A$101,0))</f>
        <v>South</v>
      </c>
      <c r="S126" s="0" t="str">
        <f aca="false">INDEX(Customers!$C$2:$C$101,MATCH(D126,Customers!$A$2:$A$101,0))</f>
        <v>Consumer</v>
      </c>
      <c r="T126" s="0" t="str">
        <f aca="false">INDEX(Customers!$D$2:$D$101,MATCH(D126,Customers!$A$2:$A$101,0))</f>
        <v>Bengaluru</v>
      </c>
    </row>
    <row r="127" customFormat="false" ht="15" hidden="false" customHeight="false" outlineLevel="0" collapsed="false">
      <c r="A127" s="0" t="s">
        <v>372</v>
      </c>
      <c r="B127" s="37" t="n">
        <v>45801</v>
      </c>
      <c r="C127" s="37" t="n">
        <v>45807</v>
      </c>
      <c r="D127" s="38" t="s">
        <v>373</v>
      </c>
      <c r="E127" s="38" t="s">
        <v>113</v>
      </c>
      <c r="F127" s="38" t="s">
        <v>101</v>
      </c>
      <c r="G127" s="38" t="s">
        <v>188</v>
      </c>
      <c r="H127" s="0" t="n">
        <v>2</v>
      </c>
      <c r="I127" s="39" t="n">
        <v>45000</v>
      </c>
      <c r="J127" s="40" t="n">
        <v>0</v>
      </c>
      <c r="K127" s="39" t="n">
        <v>90000</v>
      </c>
      <c r="L127" s="39" t="n">
        <v>72000</v>
      </c>
      <c r="M127" s="39" t="n">
        <v>18000</v>
      </c>
      <c r="N127" s="38" t="s">
        <v>66</v>
      </c>
      <c r="O127" s="38" t="n">
        <f aca="false">YEAR(B127)</f>
        <v>2025</v>
      </c>
      <c r="P127" s="41" t="n">
        <f aca="false">DATE(YEAR(B127),MONTH(B127),1)</f>
        <v>45778</v>
      </c>
      <c r="Q127" s="0" t="str">
        <f aca="false">INDEX(Products!$C$2:$C$16,MATCH(E127,Products!$A$2:$A$16,0))</f>
        <v>Technology</v>
      </c>
      <c r="R127" s="0" t="str">
        <f aca="false">INDEX(Customers!$F$2:$F$101,MATCH(D127,Customers!$A$2:$A$101,0))</f>
        <v>West</v>
      </c>
      <c r="S127" s="0" t="str">
        <f aca="false">INDEX(Customers!$C$2:$C$101,MATCH(D127,Customers!$A$2:$A$101,0))</f>
        <v>Small Business</v>
      </c>
      <c r="T127" s="0" t="str">
        <f aca="false">INDEX(Customers!$D$2:$D$101,MATCH(D127,Customers!$A$2:$A$101,0))</f>
        <v>Pune</v>
      </c>
    </row>
    <row r="128" customFormat="false" ht="15" hidden="false" customHeight="false" outlineLevel="0" collapsed="false">
      <c r="A128" s="0" t="s">
        <v>374</v>
      </c>
      <c r="B128" s="37" t="n">
        <v>46145</v>
      </c>
      <c r="C128" s="37" t="n">
        <v>46151</v>
      </c>
      <c r="D128" s="38" t="s">
        <v>190</v>
      </c>
      <c r="E128" s="38" t="s">
        <v>121</v>
      </c>
      <c r="F128" s="38" t="s">
        <v>101</v>
      </c>
      <c r="G128" s="38" t="s">
        <v>178</v>
      </c>
      <c r="H128" s="0" t="n">
        <v>4</v>
      </c>
      <c r="I128" s="39" t="n">
        <v>180</v>
      </c>
      <c r="J128" s="40" t="n">
        <v>0</v>
      </c>
      <c r="K128" s="39" t="n">
        <v>720</v>
      </c>
      <c r="L128" s="39" t="n">
        <v>280</v>
      </c>
      <c r="M128" s="39" t="n">
        <v>440</v>
      </c>
      <c r="N128" s="38" t="s">
        <v>66</v>
      </c>
      <c r="O128" s="38" t="n">
        <f aca="false">YEAR(B128)</f>
        <v>2026</v>
      </c>
      <c r="P128" s="41" t="n">
        <f aca="false">DATE(YEAR(B128),MONTH(B128),1)</f>
        <v>46143</v>
      </c>
      <c r="Q128" s="0" t="str">
        <f aca="false">INDEX(Products!$C$2:$C$16,MATCH(E128,Products!$A$2:$A$16,0))</f>
        <v>Office Supplies</v>
      </c>
      <c r="R128" s="0" t="str">
        <f aca="false">INDEX(Customers!$F$2:$F$101,MATCH(D128,Customers!$A$2:$A$101,0))</f>
        <v>East</v>
      </c>
      <c r="S128" s="0" t="str">
        <f aca="false">INDEX(Customers!$C$2:$C$101,MATCH(D128,Customers!$A$2:$A$101,0))</f>
        <v>Corporate</v>
      </c>
      <c r="T128" s="0" t="str">
        <f aca="false">INDEX(Customers!$D$2:$D$101,MATCH(D128,Customers!$A$2:$A$101,0))</f>
        <v>Kolkata</v>
      </c>
    </row>
    <row r="129" customFormat="false" ht="15" hidden="false" customHeight="false" outlineLevel="0" collapsed="false">
      <c r="A129" s="0" t="s">
        <v>375</v>
      </c>
      <c r="B129" s="37" t="n">
        <v>45371</v>
      </c>
      <c r="C129" s="37" t="n">
        <v>45378</v>
      </c>
      <c r="D129" s="38" t="s">
        <v>227</v>
      </c>
      <c r="E129" s="38" t="s">
        <v>127</v>
      </c>
      <c r="F129" s="38" t="s">
        <v>102</v>
      </c>
      <c r="G129" s="38" t="s">
        <v>185</v>
      </c>
      <c r="H129" s="0" t="n">
        <v>2</v>
      </c>
      <c r="I129" s="39" t="n">
        <v>18000</v>
      </c>
      <c r="J129" s="40" t="n">
        <v>0.1</v>
      </c>
      <c r="K129" s="39" t="n">
        <v>32400</v>
      </c>
      <c r="L129" s="39" t="n">
        <v>28000</v>
      </c>
      <c r="M129" s="39" t="n">
        <v>4400</v>
      </c>
      <c r="N129" s="38" t="s">
        <v>66</v>
      </c>
      <c r="O129" s="38" t="n">
        <f aca="false">YEAR(B129)</f>
        <v>2024</v>
      </c>
      <c r="P129" s="41" t="n">
        <f aca="false">DATE(YEAR(B129),MONTH(B129),1)</f>
        <v>45352</v>
      </c>
      <c r="Q129" s="0" t="str">
        <f aca="false">INDEX(Products!$C$2:$C$16,MATCH(E129,Products!$A$2:$A$16,0))</f>
        <v>Technology</v>
      </c>
      <c r="R129" s="0" t="str">
        <f aca="false">INDEX(Customers!$F$2:$F$101,MATCH(D129,Customers!$A$2:$A$101,0))</f>
        <v>North</v>
      </c>
      <c r="S129" s="0" t="str">
        <f aca="false">INDEX(Customers!$C$2:$C$101,MATCH(D129,Customers!$A$2:$A$101,0))</f>
        <v>Consumer</v>
      </c>
      <c r="T129" s="0" t="str">
        <f aca="false">INDEX(Customers!$D$2:$D$101,MATCH(D129,Customers!$A$2:$A$101,0))</f>
        <v>Delhi</v>
      </c>
    </row>
    <row r="130" customFormat="false" ht="15" hidden="false" customHeight="false" outlineLevel="0" collapsed="false">
      <c r="A130" s="0" t="s">
        <v>376</v>
      </c>
      <c r="B130" s="37" t="n">
        <v>45409</v>
      </c>
      <c r="C130" s="37" t="n">
        <v>45413</v>
      </c>
      <c r="D130" s="38" t="s">
        <v>364</v>
      </c>
      <c r="E130" s="38" t="s">
        <v>117</v>
      </c>
      <c r="F130" s="38" t="s">
        <v>100</v>
      </c>
      <c r="G130" s="38" t="s">
        <v>188</v>
      </c>
      <c r="H130" s="0" t="n">
        <v>1</v>
      </c>
      <c r="I130" s="39" t="n">
        <v>6500</v>
      </c>
      <c r="J130" s="40" t="n">
        <v>0.05</v>
      </c>
      <c r="K130" s="39" t="n">
        <v>6175</v>
      </c>
      <c r="L130" s="39" t="n">
        <v>4200</v>
      </c>
      <c r="M130" s="39" t="n">
        <v>1975</v>
      </c>
      <c r="N130" s="38" t="s">
        <v>66</v>
      </c>
      <c r="O130" s="38" t="n">
        <f aca="false">YEAR(B130)</f>
        <v>2024</v>
      </c>
      <c r="P130" s="41" t="n">
        <f aca="false">DATE(YEAR(B130),MONTH(B130),1)</f>
        <v>45383</v>
      </c>
      <c r="Q130" s="0" t="str">
        <f aca="false">INDEX(Products!$C$2:$C$16,MATCH(E130,Products!$A$2:$A$16,0))</f>
        <v>Furniture</v>
      </c>
      <c r="R130" s="0" t="str">
        <f aca="false">INDEX(Customers!$F$2:$F$101,MATCH(D130,Customers!$A$2:$A$101,0))</f>
        <v>North</v>
      </c>
      <c r="S130" s="0" t="str">
        <f aca="false">INDEX(Customers!$C$2:$C$101,MATCH(D130,Customers!$A$2:$A$101,0))</f>
        <v>Corporate</v>
      </c>
      <c r="T130" s="0" t="str">
        <f aca="false">INDEX(Customers!$D$2:$D$101,MATCH(D130,Customers!$A$2:$A$101,0))</f>
        <v>Jaipur</v>
      </c>
    </row>
    <row r="131" customFormat="false" ht="15" hidden="false" customHeight="false" outlineLevel="0" collapsed="false">
      <c r="A131" s="0" t="s">
        <v>377</v>
      </c>
      <c r="B131" s="37" t="n">
        <v>45662</v>
      </c>
      <c r="C131" s="37" t="n">
        <v>45663</v>
      </c>
      <c r="D131" s="38" t="s">
        <v>182</v>
      </c>
      <c r="E131" s="38" t="s">
        <v>127</v>
      </c>
      <c r="F131" s="38" t="s">
        <v>100</v>
      </c>
      <c r="G131" s="38" t="s">
        <v>185</v>
      </c>
      <c r="H131" s="0" t="n">
        <v>2</v>
      </c>
      <c r="I131" s="39" t="n">
        <v>18000</v>
      </c>
      <c r="J131" s="40" t="n">
        <v>0</v>
      </c>
      <c r="K131" s="39" t="n">
        <v>36000</v>
      </c>
      <c r="L131" s="39" t="n">
        <v>28000</v>
      </c>
      <c r="M131" s="39" t="n">
        <v>8000</v>
      </c>
      <c r="N131" s="38" t="s">
        <v>66</v>
      </c>
      <c r="O131" s="38" t="n">
        <f aca="false">YEAR(B131)</f>
        <v>2025</v>
      </c>
      <c r="P131" s="41" t="n">
        <f aca="false">DATE(YEAR(B131),MONTH(B131),1)</f>
        <v>45658</v>
      </c>
      <c r="Q131" s="0" t="str">
        <f aca="false">INDEX(Products!$C$2:$C$16,MATCH(E131,Products!$A$2:$A$16,0))</f>
        <v>Technology</v>
      </c>
      <c r="R131" s="0" t="str">
        <f aca="false">INDEX(Customers!$F$2:$F$101,MATCH(D131,Customers!$A$2:$A$101,0))</f>
        <v>North</v>
      </c>
      <c r="S131" s="0" t="str">
        <f aca="false">INDEX(Customers!$C$2:$C$101,MATCH(D131,Customers!$A$2:$A$101,0))</f>
        <v>Small Business</v>
      </c>
      <c r="T131" s="0" t="str">
        <f aca="false">INDEX(Customers!$D$2:$D$101,MATCH(D131,Customers!$A$2:$A$101,0))</f>
        <v>Gurugram</v>
      </c>
    </row>
    <row r="132" customFormat="false" ht="15" hidden="false" customHeight="false" outlineLevel="0" collapsed="false">
      <c r="A132" s="0" t="s">
        <v>378</v>
      </c>
      <c r="B132" s="37" t="n">
        <v>45697</v>
      </c>
      <c r="C132" s="37" t="n">
        <v>45704</v>
      </c>
      <c r="D132" s="38" t="s">
        <v>379</v>
      </c>
      <c r="E132" s="38" t="s">
        <v>114</v>
      </c>
      <c r="F132" s="38" t="s">
        <v>100</v>
      </c>
      <c r="G132" s="38" t="s">
        <v>170</v>
      </c>
      <c r="H132" s="0" t="n">
        <v>2</v>
      </c>
      <c r="I132" s="39" t="n">
        <v>800</v>
      </c>
      <c r="J132" s="40" t="n">
        <v>0.05</v>
      </c>
      <c r="K132" s="39" t="n">
        <v>1520</v>
      </c>
      <c r="L132" s="39" t="n">
        <v>840</v>
      </c>
      <c r="M132" s="39" t="n">
        <v>680</v>
      </c>
      <c r="N132" s="38" t="s">
        <v>66</v>
      </c>
      <c r="O132" s="38" t="n">
        <f aca="false">YEAR(B132)</f>
        <v>2025</v>
      </c>
      <c r="P132" s="41" t="n">
        <f aca="false">DATE(YEAR(B132),MONTH(B132),1)</f>
        <v>45689</v>
      </c>
      <c r="Q132" s="0" t="str">
        <f aca="false">INDEX(Products!$C$2:$C$16,MATCH(E132,Products!$A$2:$A$16,0))</f>
        <v>Technology</v>
      </c>
      <c r="R132" s="0" t="str">
        <f aca="false">INDEX(Customers!$F$2:$F$101,MATCH(D132,Customers!$A$2:$A$101,0))</f>
        <v>North</v>
      </c>
      <c r="S132" s="0" t="str">
        <f aca="false">INDEX(Customers!$C$2:$C$101,MATCH(D132,Customers!$A$2:$A$101,0))</f>
        <v>Consumer</v>
      </c>
      <c r="T132" s="0" t="str">
        <f aca="false">INDEX(Customers!$D$2:$D$101,MATCH(D132,Customers!$A$2:$A$101,0))</f>
        <v>Lucknow</v>
      </c>
    </row>
    <row r="133" customFormat="false" ht="15" hidden="false" customHeight="false" outlineLevel="0" collapsed="false">
      <c r="A133" s="0" t="s">
        <v>380</v>
      </c>
      <c r="B133" s="37" t="n">
        <v>45940</v>
      </c>
      <c r="C133" s="37" t="n">
        <v>45941</v>
      </c>
      <c r="D133" s="38" t="s">
        <v>381</v>
      </c>
      <c r="E133" s="38" t="s">
        <v>121</v>
      </c>
      <c r="F133" s="38" t="s">
        <v>101</v>
      </c>
      <c r="G133" s="38" t="s">
        <v>170</v>
      </c>
      <c r="H133" s="0" t="n">
        <v>2</v>
      </c>
      <c r="I133" s="39" t="n">
        <v>180</v>
      </c>
      <c r="J133" s="40" t="n">
        <v>0</v>
      </c>
      <c r="K133" s="39" t="n">
        <v>360</v>
      </c>
      <c r="L133" s="39" t="n">
        <v>140</v>
      </c>
      <c r="M133" s="39" t="n">
        <v>220</v>
      </c>
      <c r="N133" s="38" t="s">
        <v>66</v>
      </c>
      <c r="O133" s="38" t="n">
        <f aca="false">YEAR(B133)</f>
        <v>2025</v>
      </c>
      <c r="P133" s="41" t="n">
        <f aca="false">DATE(YEAR(B133),MONTH(B133),1)</f>
        <v>45931</v>
      </c>
      <c r="Q133" s="0" t="str">
        <f aca="false">INDEX(Products!$C$2:$C$16,MATCH(E133,Products!$A$2:$A$16,0))</f>
        <v>Office Supplies</v>
      </c>
      <c r="R133" s="0" t="str">
        <f aca="false">INDEX(Customers!$F$2:$F$101,MATCH(D133,Customers!$A$2:$A$101,0))</f>
        <v>West</v>
      </c>
      <c r="S133" s="0" t="str">
        <f aca="false">INDEX(Customers!$C$2:$C$101,MATCH(D133,Customers!$A$2:$A$101,0))</f>
        <v>Consumer</v>
      </c>
      <c r="T133" s="0" t="str">
        <f aca="false">INDEX(Customers!$D$2:$D$101,MATCH(D133,Customers!$A$2:$A$101,0))</f>
        <v>Pune</v>
      </c>
    </row>
    <row r="134" customFormat="false" ht="15" hidden="false" customHeight="false" outlineLevel="0" collapsed="false">
      <c r="A134" s="0" t="s">
        <v>382</v>
      </c>
      <c r="B134" s="37" t="n">
        <v>45443</v>
      </c>
      <c r="C134" s="37" t="n">
        <v>45445</v>
      </c>
      <c r="D134" s="38" t="s">
        <v>345</v>
      </c>
      <c r="E134" s="38" t="s">
        <v>126</v>
      </c>
      <c r="F134" s="38" t="s">
        <v>100</v>
      </c>
      <c r="G134" s="38" t="s">
        <v>173</v>
      </c>
      <c r="H134" s="0" t="n">
        <v>1</v>
      </c>
      <c r="I134" s="39" t="n">
        <v>1200</v>
      </c>
      <c r="J134" s="40" t="n">
        <v>0.05</v>
      </c>
      <c r="K134" s="39" t="n">
        <v>1140</v>
      </c>
      <c r="L134" s="39" t="n">
        <v>700</v>
      </c>
      <c r="M134" s="39" t="n">
        <v>440</v>
      </c>
      <c r="N134" s="38" t="s">
        <v>66</v>
      </c>
      <c r="O134" s="38" t="n">
        <f aca="false">YEAR(B134)</f>
        <v>2024</v>
      </c>
      <c r="P134" s="41" t="n">
        <f aca="false">DATE(YEAR(B134),MONTH(B134),1)</f>
        <v>45413</v>
      </c>
      <c r="Q134" s="0" t="str">
        <f aca="false">INDEX(Products!$C$2:$C$16,MATCH(E134,Products!$A$2:$A$16,0))</f>
        <v>Furniture</v>
      </c>
      <c r="R134" s="0" t="str">
        <f aca="false">INDEX(Customers!$F$2:$F$101,MATCH(D134,Customers!$A$2:$A$101,0))</f>
        <v>West</v>
      </c>
      <c r="S134" s="0" t="str">
        <f aca="false">INDEX(Customers!$C$2:$C$101,MATCH(D134,Customers!$A$2:$A$101,0))</f>
        <v>Consumer</v>
      </c>
      <c r="T134" s="0" t="str">
        <f aca="false">INDEX(Customers!$D$2:$D$101,MATCH(D134,Customers!$A$2:$A$101,0))</f>
        <v>Ahmedabad</v>
      </c>
    </row>
    <row r="135" customFormat="false" ht="15" hidden="false" customHeight="false" outlineLevel="0" collapsed="false">
      <c r="A135" s="0" t="s">
        <v>383</v>
      </c>
      <c r="B135" s="37" t="n">
        <v>45963</v>
      </c>
      <c r="C135" s="37" t="n">
        <v>45964</v>
      </c>
      <c r="D135" s="38" t="s">
        <v>270</v>
      </c>
      <c r="E135" s="38" t="s">
        <v>125</v>
      </c>
      <c r="F135" s="38" t="s">
        <v>102</v>
      </c>
      <c r="G135" s="38" t="s">
        <v>185</v>
      </c>
      <c r="H135" s="0" t="n">
        <v>1</v>
      </c>
      <c r="I135" s="39" t="n">
        <v>600</v>
      </c>
      <c r="J135" s="40" t="n">
        <v>0.25</v>
      </c>
      <c r="K135" s="39" t="n">
        <v>450</v>
      </c>
      <c r="L135" s="39" t="n">
        <v>350</v>
      </c>
      <c r="M135" s="39" t="n">
        <v>100</v>
      </c>
      <c r="N135" s="38" t="s">
        <v>66</v>
      </c>
      <c r="O135" s="38" t="n">
        <f aca="false">YEAR(B135)</f>
        <v>2025</v>
      </c>
      <c r="P135" s="41" t="n">
        <f aca="false">DATE(YEAR(B135),MONTH(B135),1)</f>
        <v>45962</v>
      </c>
      <c r="Q135" s="0" t="str">
        <f aca="false">INDEX(Products!$C$2:$C$16,MATCH(E135,Products!$A$2:$A$16,0))</f>
        <v>Office Supplies</v>
      </c>
      <c r="R135" s="0" t="str">
        <f aca="false">INDEX(Customers!$F$2:$F$101,MATCH(D135,Customers!$A$2:$A$101,0))</f>
        <v>West</v>
      </c>
      <c r="S135" s="0" t="str">
        <f aca="false">INDEX(Customers!$C$2:$C$101,MATCH(D135,Customers!$A$2:$A$101,0))</f>
        <v>Small Business</v>
      </c>
      <c r="T135" s="0" t="str">
        <f aca="false">INDEX(Customers!$D$2:$D$101,MATCH(D135,Customers!$A$2:$A$101,0))</f>
        <v>Pune</v>
      </c>
    </row>
    <row r="136" customFormat="false" ht="15" hidden="false" customHeight="false" outlineLevel="0" collapsed="false">
      <c r="A136" s="0" t="s">
        <v>384</v>
      </c>
      <c r="B136" s="37" t="n">
        <v>45885</v>
      </c>
      <c r="C136" s="37" t="n">
        <v>45889</v>
      </c>
      <c r="D136" s="38" t="s">
        <v>224</v>
      </c>
      <c r="E136" s="38" t="s">
        <v>125</v>
      </c>
      <c r="F136" s="38" t="s">
        <v>102</v>
      </c>
      <c r="G136" s="38" t="s">
        <v>188</v>
      </c>
      <c r="H136" s="0" t="n">
        <v>3</v>
      </c>
      <c r="I136" s="39" t="n">
        <v>600</v>
      </c>
      <c r="J136" s="40" t="n">
        <v>0.15</v>
      </c>
      <c r="K136" s="39" t="n">
        <v>1530</v>
      </c>
      <c r="L136" s="39" t="n">
        <v>1050</v>
      </c>
      <c r="M136" s="39" t="n">
        <v>480</v>
      </c>
      <c r="N136" s="38" t="s">
        <v>66</v>
      </c>
      <c r="O136" s="38" t="n">
        <f aca="false">YEAR(B136)</f>
        <v>2025</v>
      </c>
      <c r="P136" s="41" t="n">
        <f aca="false">DATE(YEAR(B136),MONTH(B136),1)</f>
        <v>45870</v>
      </c>
      <c r="Q136" s="0" t="str">
        <f aca="false">INDEX(Products!$C$2:$C$16,MATCH(E136,Products!$A$2:$A$16,0))</f>
        <v>Office Supplies</v>
      </c>
      <c r="R136" s="0" t="str">
        <f aca="false">INDEX(Customers!$F$2:$F$101,MATCH(D136,Customers!$A$2:$A$101,0))</f>
        <v>North</v>
      </c>
      <c r="S136" s="0" t="str">
        <f aca="false">INDEX(Customers!$C$2:$C$101,MATCH(D136,Customers!$A$2:$A$101,0))</f>
        <v>Small Business</v>
      </c>
      <c r="T136" s="0" t="str">
        <f aca="false">INDEX(Customers!$D$2:$D$101,MATCH(D136,Customers!$A$2:$A$101,0))</f>
        <v>Jaipur</v>
      </c>
    </row>
    <row r="137" customFormat="false" ht="15" hidden="false" customHeight="false" outlineLevel="0" collapsed="false">
      <c r="A137" s="0" t="s">
        <v>385</v>
      </c>
      <c r="B137" s="37" t="n">
        <v>45446</v>
      </c>
      <c r="C137" s="37" t="n">
        <v>45450</v>
      </c>
      <c r="D137" s="38" t="s">
        <v>180</v>
      </c>
      <c r="E137" s="38" t="s">
        <v>118</v>
      </c>
      <c r="F137" s="38" t="s">
        <v>102</v>
      </c>
      <c r="G137" s="38" t="s">
        <v>170</v>
      </c>
      <c r="H137" s="0" t="n">
        <v>1</v>
      </c>
      <c r="I137" s="39" t="n">
        <v>9000</v>
      </c>
      <c r="J137" s="40" t="n">
        <v>0.1</v>
      </c>
      <c r="K137" s="39" t="n">
        <v>8100</v>
      </c>
      <c r="L137" s="39" t="n">
        <v>6500</v>
      </c>
      <c r="M137" s="39" t="n">
        <v>1600</v>
      </c>
      <c r="N137" s="38" t="s">
        <v>66</v>
      </c>
      <c r="O137" s="38" t="n">
        <f aca="false">YEAR(B137)</f>
        <v>2024</v>
      </c>
      <c r="P137" s="41" t="n">
        <f aca="false">DATE(YEAR(B137),MONTH(B137),1)</f>
        <v>45444</v>
      </c>
      <c r="Q137" s="0" t="str">
        <f aca="false">INDEX(Products!$C$2:$C$16,MATCH(E137,Products!$A$2:$A$16,0))</f>
        <v>Furniture</v>
      </c>
      <c r="R137" s="0" t="str">
        <f aca="false">INDEX(Customers!$F$2:$F$101,MATCH(D137,Customers!$A$2:$A$101,0))</f>
        <v>West</v>
      </c>
      <c r="S137" s="0" t="str">
        <f aca="false">INDEX(Customers!$C$2:$C$101,MATCH(D137,Customers!$A$2:$A$101,0))</f>
        <v>Corporate</v>
      </c>
      <c r="T137" s="0" t="str">
        <f aca="false">INDEX(Customers!$D$2:$D$101,MATCH(D137,Customers!$A$2:$A$101,0))</f>
        <v>Mumbai</v>
      </c>
    </row>
    <row r="138" customFormat="false" ht="15" hidden="false" customHeight="false" outlineLevel="0" collapsed="false">
      <c r="A138" s="0" t="s">
        <v>386</v>
      </c>
      <c r="B138" s="37" t="n">
        <v>45652</v>
      </c>
      <c r="C138" s="37" t="n">
        <v>45657</v>
      </c>
      <c r="D138" s="38" t="s">
        <v>244</v>
      </c>
      <c r="E138" s="38" t="s">
        <v>113</v>
      </c>
      <c r="F138" s="38" t="s">
        <v>101</v>
      </c>
      <c r="G138" s="38" t="s">
        <v>178</v>
      </c>
      <c r="H138" s="0" t="n">
        <v>1</v>
      </c>
      <c r="I138" s="39" t="n">
        <v>45000</v>
      </c>
      <c r="J138" s="40" t="n">
        <v>0.1</v>
      </c>
      <c r="K138" s="39" t="n">
        <v>40500</v>
      </c>
      <c r="L138" s="39" t="n">
        <v>36000</v>
      </c>
      <c r="M138" s="39" t="n">
        <v>4500</v>
      </c>
      <c r="N138" s="38" t="s">
        <v>66</v>
      </c>
      <c r="O138" s="38" t="n">
        <f aca="false">YEAR(B138)</f>
        <v>2024</v>
      </c>
      <c r="P138" s="41" t="n">
        <f aca="false">DATE(YEAR(B138),MONTH(B138),1)</f>
        <v>45627</v>
      </c>
      <c r="Q138" s="0" t="str">
        <f aca="false">INDEX(Products!$C$2:$C$16,MATCH(E138,Products!$A$2:$A$16,0))</f>
        <v>Technology</v>
      </c>
      <c r="R138" s="0" t="str">
        <f aca="false">INDEX(Customers!$F$2:$F$101,MATCH(D138,Customers!$A$2:$A$101,0))</f>
        <v>North</v>
      </c>
      <c r="S138" s="0" t="str">
        <f aca="false">INDEX(Customers!$C$2:$C$101,MATCH(D138,Customers!$A$2:$A$101,0))</f>
        <v>Consumer</v>
      </c>
      <c r="T138" s="0" t="str">
        <f aca="false">INDEX(Customers!$D$2:$D$101,MATCH(D138,Customers!$A$2:$A$101,0))</f>
        <v>Gurugram</v>
      </c>
    </row>
    <row r="139" customFormat="false" ht="15" hidden="false" customHeight="false" outlineLevel="0" collapsed="false">
      <c r="A139" s="0" t="s">
        <v>387</v>
      </c>
      <c r="B139" s="37" t="n">
        <v>45952</v>
      </c>
      <c r="C139" s="37" t="n">
        <v>45959</v>
      </c>
      <c r="D139" s="38" t="s">
        <v>175</v>
      </c>
      <c r="E139" s="38" t="s">
        <v>114</v>
      </c>
      <c r="F139" s="38" t="s">
        <v>102</v>
      </c>
      <c r="G139" s="38" t="s">
        <v>188</v>
      </c>
      <c r="H139" s="0" t="n">
        <v>8</v>
      </c>
      <c r="I139" s="39" t="n">
        <v>800</v>
      </c>
      <c r="J139" s="40" t="n">
        <v>0</v>
      </c>
      <c r="K139" s="39" t="n">
        <v>6400</v>
      </c>
      <c r="L139" s="39" t="n">
        <v>3360</v>
      </c>
      <c r="M139" s="39" t="n">
        <v>3040</v>
      </c>
      <c r="N139" s="38" t="s">
        <v>66</v>
      </c>
      <c r="O139" s="38" t="n">
        <f aca="false">YEAR(B139)</f>
        <v>2025</v>
      </c>
      <c r="P139" s="41" t="n">
        <f aca="false">DATE(YEAR(B139),MONTH(B139),1)</f>
        <v>45931</v>
      </c>
      <c r="Q139" s="0" t="str">
        <f aca="false">INDEX(Products!$C$2:$C$16,MATCH(E139,Products!$A$2:$A$16,0))</f>
        <v>Technology</v>
      </c>
      <c r="R139" s="0" t="str">
        <f aca="false">INDEX(Customers!$F$2:$F$101,MATCH(D139,Customers!$A$2:$A$101,0))</f>
        <v>North</v>
      </c>
      <c r="S139" s="0" t="str">
        <f aca="false">INDEX(Customers!$C$2:$C$101,MATCH(D139,Customers!$A$2:$A$101,0))</f>
        <v>Corporate</v>
      </c>
      <c r="T139" s="0" t="str">
        <f aca="false">INDEX(Customers!$D$2:$D$101,MATCH(D139,Customers!$A$2:$A$101,0))</f>
        <v>Jaipur</v>
      </c>
    </row>
    <row r="140" customFormat="false" ht="15" hidden="false" customHeight="false" outlineLevel="0" collapsed="false">
      <c r="A140" s="0" t="s">
        <v>388</v>
      </c>
      <c r="B140" s="37" t="n">
        <v>45859</v>
      </c>
      <c r="C140" s="37" t="n">
        <v>45866</v>
      </c>
      <c r="D140" s="38" t="s">
        <v>187</v>
      </c>
      <c r="E140" s="38" t="s">
        <v>122</v>
      </c>
      <c r="F140" s="38" t="s">
        <v>101</v>
      </c>
      <c r="G140" s="38" t="s">
        <v>188</v>
      </c>
      <c r="H140" s="0" t="n">
        <v>4</v>
      </c>
      <c r="I140" s="39" t="n">
        <v>5500</v>
      </c>
      <c r="J140" s="40" t="n">
        <v>0</v>
      </c>
      <c r="K140" s="39" t="n">
        <v>22000</v>
      </c>
      <c r="L140" s="39" t="n">
        <v>14800</v>
      </c>
      <c r="M140" s="39" t="n">
        <v>7200</v>
      </c>
      <c r="N140" s="38" t="s">
        <v>66</v>
      </c>
      <c r="O140" s="38" t="n">
        <f aca="false">YEAR(B140)</f>
        <v>2025</v>
      </c>
      <c r="P140" s="41" t="n">
        <f aca="false">DATE(YEAR(B140),MONTH(B140),1)</f>
        <v>45839</v>
      </c>
      <c r="Q140" s="0" t="str">
        <f aca="false">INDEX(Products!$C$2:$C$16,MATCH(E140,Products!$A$2:$A$16,0))</f>
        <v>Furniture</v>
      </c>
      <c r="R140" s="0" t="str">
        <f aca="false">INDEX(Customers!$F$2:$F$101,MATCH(D140,Customers!$A$2:$A$101,0))</f>
        <v>South</v>
      </c>
      <c r="S140" s="0" t="str">
        <f aca="false">INDEX(Customers!$C$2:$C$101,MATCH(D140,Customers!$A$2:$A$101,0))</f>
        <v>Consumer</v>
      </c>
      <c r="T140" s="0" t="str">
        <f aca="false">INDEX(Customers!$D$2:$D$101,MATCH(D140,Customers!$A$2:$A$101,0))</f>
        <v>Bengaluru</v>
      </c>
    </row>
    <row r="141" customFormat="false" ht="15" hidden="false" customHeight="false" outlineLevel="0" collapsed="false">
      <c r="A141" s="0" t="s">
        <v>389</v>
      </c>
      <c r="B141" s="37" t="n">
        <v>45779</v>
      </c>
      <c r="C141" s="37" t="n">
        <v>45784</v>
      </c>
      <c r="D141" s="38" t="s">
        <v>390</v>
      </c>
      <c r="E141" s="38" t="s">
        <v>122</v>
      </c>
      <c r="F141" s="38" t="s">
        <v>101</v>
      </c>
      <c r="G141" s="38" t="s">
        <v>178</v>
      </c>
      <c r="H141" s="0" t="n">
        <v>1</v>
      </c>
      <c r="I141" s="39" t="n">
        <v>5500</v>
      </c>
      <c r="J141" s="40" t="n">
        <v>0</v>
      </c>
      <c r="K141" s="39" t="n">
        <v>5500</v>
      </c>
      <c r="L141" s="39" t="n">
        <v>3700</v>
      </c>
      <c r="M141" s="39" t="n">
        <v>1800</v>
      </c>
      <c r="N141" s="38" t="s">
        <v>66</v>
      </c>
      <c r="O141" s="38" t="n">
        <f aca="false">YEAR(B141)</f>
        <v>2025</v>
      </c>
      <c r="P141" s="41" t="n">
        <f aca="false">DATE(YEAR(B141),MONTH(B141),1)</f>
        <v>45778</v>
      </c>
      <c r="Q141" s="0" t="str">
        <f aca="false">INDEX(Products!$C$2:$C$16,MATCH(E141,Products!$A$2:$A$16,0))</f>
        <v>Furniture</v>
      </c>
      <c r="R141" s="0" t="str">
        <f aca="false">INDEX(Customers!$F$2:$F$101,MATCH(D141,Customers!$A$2:$A$101,0))</f>
        <v>South</v>
      </c>
      <c r="S141" s="0" t="str">
        <f aca="false">INDEX(Customers!$C$2:$C$101,MATCH(D141,Customers!$A$2:$A$101,0))</f>
        <v>Consumer</v>
      </c>
      <c r="T141" s="0" t="str">
        <f aca="false">INDEX(Customers!$D$2:$D$101,MATCH(D141,Customers!$A$2:$A$101,0))</f>
        <v>Chennai</v>
      </c>
    </row>
    <row r="142" customFormat="false" ht="15" hidden="false" customHeight="false" outlineLevel="0" collapsed="false">
      <c r="A142" s="0" t="s">
        <v>391</v>
      </c>
      <c r="B142" s="37" t="n">
        <v>45378</v>
      </c>
      <c r="C142" s="37" t="n">
        <v>45383</v>
      </c>
      <c r="D142" s="38" t="s">
        <v>206</v>
      </c>
      <c r="E142" s="38" t="s">
        <v>124</v>
      </c>
      <c r="F142" s="38" t="s">
        <v>100</v>
      </c>
      <c r="G142" s="38" t="s">
        <v>185</v>
      </c>
      <c r="H142" s="0" t="n">
        <v>3</v>
      </c>
      <c r="I142" s="39" t="n">
        <v>3000</v>
      </c>
      <c r="J142" s="40" t="n">
        <v>0</v>
      </c>
      <c r="K142" s="39" t="n">
        <v>9000</v>
      </c>
      <c r="L142" s="39" t="n">
        <v>5700</v>
      </c>
      <c r="M142" s="39" t="n">
        <v>3300</v>
      </c>
      <c r="N142" s="38" t="s">
        <v>147</v>
      </c>
      <c r="O142" s="38" t="n">
        <f aca="false">YEAR(B142)</f>
        <v>2024</v>
      </c>
      <c r="P142" s="41" t="n">
        <f aca="false">DATE(YEAR(B142),MONTH(B142),1)</f>
        <v>45352</v>
      </c>
      <c r="Q142" s="0" t="str">
        <f aca="false">INDEX(Products!$C$2:$C$16,MATCH(E142,Products!$A$2:$A$16,0))</f>
        <v>Technology</v>
      </c>
      <c r="R142" s="0" t="str">
        <f aca="false">INDEX(Customers!$F$2:$F$101,MATCH(D142,Customers!$A$2:$A$101,0))</f>
        <v>West</v>
      </c>
      <c r="S142" s="0" t="str">
        <f aca="false">INDEX(Customers!$C$2:$C$101,MATCH(D142,Customers!$A$2:$A$101,0))</f>
        <v>Corporate</v>
      </c>
      <c r="T142" s="0" t="str">
        <f aca="false">INDEX(Customers!$D$2:$D$101,MATCH(D142,Customers!$A$2:$A$101,0))</f>
        <v>Pune</v>
      </c>
    </row>
    <row r="143" customFormat="false" ht="15" hidden="false" customHeight="false" outlineLevel="0" collapsed="false">
      <c r="A143" s="0" t="s">
        <v>392</v>
      </c>
      <c r="B143" s="37" t="n">
        <v>45916</v>
      </c>
      <c r="C143" s="37" t="n">
        <v>45918</v>
      </c>
      <c r="D143" s="38" t="s">
        <v>379</v>
      </c>
      <c r="E143" s="38" t="s">
        <v>121</v>
      </c>
      <c r="F143" s="38" t="s">
        <v>101</v>
      </c>
      <c r="G143" s="38" t="s">
        <v>185</v>
      </c>
      <c r="H143" s="0" t="n">
        <v>2</v>
      </c>
      <c r="I143" s="39" t="n">
        <v>180</v>
      </c>
      <c r="J143" s="40" t="n">
        <v>0.05</v>
      </c>
      <c r="K143" s="39" t="n">
        <v>342</v>
      </c>
      <c r="L143" s="39" t="n">
        <v>140</v>
      </c>
      <c r="M143" s="39" t="n">
        <v>202</v>
      </c>
      <c r="N143" s="38" t="s">
        <v>66</v>
      </c>
      <c r="O143" s="38" t="n">
        <f aca="false">YEAR(B143)</f>
        <v>2025</v>
      </c>
      <c r="P143" s="41" t="n">
        <f aca="false">DATE(YEAR(B143),MONTH(B143),1)</f>
        <v>45901</v>
      </c>
      <c r="Q143" s="0" t="str">
        <f aca="false">INDEX(Products!$C$2:$C$16,MATCH(E143,Products!$A$2:$A$16,0))</f>
        <v>Office Supplies</v>
      </c>
      <c r="R143" s="0" t="str">
        <f aca="false">INDEX(Customers!$F$2:$F$101,MATCH(D143,Customers!$A$2:$A$101,0))</f>
        <v>North</v>
      </c>
      <c r="S143" s="0" t="str">
        <f aca="false">INDEX(Customers!$C$2:$C$101,MATCH(D143,Customers!$A$2:$A$101,0))</f>
        <v>Consumer</v>
      </c>
      <c r="T143" s="0" t="str">
        <f aca="false">INDEX(Customers!$D$2:$D$101,MATCH(D143,Customers!$A$2:$A$101,0))</f>
        <v>Lucknow</v>
      </c>
    </row>
    <row r="144" customFormat="false" ht="15" hidden="false" customHeight="false" outlineLevel="0" collapsed="false">
      <c r="A144" s="0" t="s">
        <v>393</v>
      </c>
      <c r="B144" s="37" t="n">
        <v>45345</v>
      </c>
      <c r="C144" s="37" t="n">
        <v>45352</v>
      </c>
      <c r="D144" s="38" t="s">
        <v>268</v>
      </c>
      <c r="E144" s="38" t="s">
        <v>122</v>
      </c>
      <c r="F144" s="38" t="s">
        <v>100</v>
      </c>
      <c r="G144" s="38" t="s">
        <v>170</v>
      </c>
      <c r="H144" s="0" t="n">
        <v>3</v>
      </c>
      <c r="I144" s="39" t="n">
        <v>5500</v>
      </c>
      <c r="J144" s="40" t="n">
        <v>0.05</v>
      </c>
      <c r="K144" s="39" t="n">
        <v>15675</v>
      </c>
      <c r="L144" s="39" t="n">
        <v>11100</v>
      </c>
      <c r="M144" s="39" t="n">
        <v>4575</v>
      </c>
      <c r="N144" s="38" t="s">
        <v>66</v>
      </c>
      <c r="O144" s="38" t="n">
        <f aca="false">YEAR(B144)</f>
        <v>2024</v>
      </c>
      <c r="P144" s="41" t="n">
        <f aca="false">DATE(YEAR(B144),MONTH(B144),1)</f>
        <v>45323</v>
      </c>
      <c r="Q144" s="0" t="str">
        <f aca="false">INDEX(Products!$C$2:$C$16,MATCH(E144,Products!$A$2:$A$16,0))</f>
        <v>Furniture</v>
      </c>
      <c r="R144" s="0" t="str">
        <f aca="false">INDEX(Customers!$F$2:$F$101,MATCH(D144,Customers!$A$2:$A$101,0))</f>
        <v>South</v>
      </c>
      <c r="S144" s="0" t="str">
        <f aca="false">INDEX(Customers!$C$2:$C$101,MATCH(D144,Customers!$A$2:$A$101,0))</f>
        <v>Consumer</v>
      </c>
      <c r="T144" s="0" t="str">
        <f aca="false">INDEX(Customers!$D$2:$D$101,MATCH(D144,Customers!$A$2:$A$101,0))</f>
        <v>Bengaluru</v>
      </c>
    </row>
    <row r="145" customFormat="false" ht="15" hidden="false" customHeight="false" outlineLevel="0" collapsed="false">
      <c r="A145" s="0" t="s">
        <v>394</v>
      </c>
      <c r="B145" s="37" t="n">
        <v>45582</v>
      </c>
      <c r="C145" s="37" t="n">
        <v>45585</v>
      </c>
      <c r="D145" s="38" t="s">
        <v>268</v>
      </c>
      <c r="E145" s="38" t="s">
        <v>119</v>
      </c>
      <c r="F145" s="38" t="s">
        <v>102</v>
      </c>
      <c r="G145" s="38" t="s">
        <v>173</v>
      </c>
      <c r="H145" s="0" t="n">
        <v>4</v>
      </c>
      <c r="I145" s="39" t="n">
        <v>250</v>
      </c>
      <c r="J145" s="40" t="n">
        <v>0.2</v>
      </c>
      <c r="K145" s="39" t="n">
        <v>800</v>
      </c>
      <c r="L145" s="39" t="n">
        <v>480</v>
      </c>
      <c r="M145" s="39" t="n">
        <v>320</v>
      </c>
      <c r="N145" s="38" t="s">
        <v>66</v>
      </c>
      <c r="O145" s="38" t="n">
        <f aca="false">YEAR(B145)</f>
        <v>2024</v>
      </c>
      <c r="P145" s="41" t="n">
        <f aca="false">DATE(YEAR(B145),MONTH(B145),1)</f>
        <v>45566</v>
      </c>
      <c r="Q145" s="0" t="str">
        <f aca="false">INDEX(Products!$C$2:$C$16,MATCH(E145,Products!$A$2:$A$16,0))</f>
        <v>Office Supplies</v>
      </c>
      <c r="R145" s="0" t="str">
        <f aca="false">INDEX(Customers!$F$2:$F$101,MATCH(D145,Customers!$A$2:$A$101,0))</f>
        <v>South</v>
      </c>
      <c r="S145" s="0" t="str">
        <f aca="false">INDEX(Customers!$C$2:$C$101,MATCH(D145,Customers!$A$2:$A$101,0))</f>
        <v>Consumer</v>
      </c>
      <c r="T145" s="0" t="str">
        <f aca="false">INDEX(Customers!$D$2:$D$101,MATCH(D145,Customers!$A$2:$A$101,0))</f>
        <v>Bengaluru</v>
      </c>
    </row>
    <row r="146" customFormat="false" ht="15" hidden="false" customHeight="false" outlineLevel="0" collapsed="false">
      <c r="A146" s="0" t="s">
        <v>395</v>
      </c>
      <c r="B146" s="37" t="n">
        <v>45436</v>
      </c>
      <c r="C146" s="37" t="n">
        <v>45439</v>
      </c>
      <c r="D146" s="38" t="s">
        <v>200</v>
      </c>
      <c r="E146" s="38" t="s">
        <v>123</v>
      </c>
      <c r="F146" s="38" t="s">
        <v>102</v>
      </c>
      <c r="G146" s="38" t="s">
        <v>185</v>
      </c>
      <c r="H146" s="0" t="n">
        <v>2</v>
      </c>
      <c r="I146" s="39" t="n">
        <v>2200</v>
      </c>
      <c r="J146" s="40" t="n">
        <v>0.2</v>
      </c>
      <c r="K146" s="39" t="n">
        <v>3520</v>
      </c>
      <c r="L146" s="39" t="n">
        <v>2600</v>
      </c>
      <c r="M146" s="39" t="n">
        <v>920</v>
      </c>
      <c r="N146" s="38" t="s">
        <v>66</v>
      </c>
      <c r="O146" s="38" t="n">
        <f aca="false">YEAR(B146)</f>
        <v>2024</v>
      </c>
      <c r="P146" s="41" t="n">
        <f aca="false">DATE(YEAR(B146),MONTH(B146),1)</f>
        <v>45413</v>
      </c>
      <c r="Q146" s="0" t="str">
        <f aca="false">INDEX(Products!$C$2:$C$16,MATCH(E146,Products!$A$2:$A$16,0))</f>
        <v>Technology</v>
      </c>
      <c r="R146" s="0" t="str">
        <f aca="false">INDEX(Customers!$F$2:$F$101,MATCH(D146,Customers!$A$2:$A$101,0))</f>
        <v>West</v>
      </c>
      <c r="S146" s="0" t="str">
        <f aca="false">INDEX(Customers!$C$2:$C$101,MATCH(D146,Customers!$A$2:$A$101,0))</f>
        <v>Corporate</v>
      </c>
      <c r="T146" s="0" t="str">
        <f aca="false">INDEX(Customers!$D$2:$D$101,MATCH(D146,Customers!$A$2:$A$101,0))</f>
        <v>Mumbai</v>
      </c>
    </row>
    <row r="147" customFormat="false" ht="15" hidden="false" customHeight="false" outlineLevel="0" collapsed="false">
      <c r="A147" s="0" t="s">
        <v>396</v>
      </c>
      <c r="B147" s="37" t="n">
        <v>45609</v>
      </c>
      <c r="C147" s="37" t="n">
        <v>45614</v>
      </c>
      <c r="D147" s="38" t="s">
        <v>397</v>
      </c>
      <c r="E147" s="38" t="s">
        <v>114</v>
      </c>
      <c r="F147" s="38" t="s">
        <v>101</v>
      </c>
      <c r="G147" s="38" t="s">
        <v>173</v>
      </c>
      <c r="H147" s="0" t="n">
        <v>2</v>
      </c>
      <c r="I147" s="39" t="n">
        <v>800</v>
      </c>
      <c r="J147" s="40" t="n">
        <v>0.25</v>
      </c>
      <c r="K147" s="39" t="n">
        <v>1200</v>
      </c>
      <c r="L147" s="39" t="n">
        <v>840</v>
      </c>
      <c r="M147" s="39" t="n">
        <v>360</v>
      </c>
      <c r="N147" s="38" t="s">
        <v>66</v>
      </c>
      <c r="O147" s="38" t="n">
        <f aca="false">YEAR(B147)</f>
        <v>2024</v>
      </c>
      <c r="P147" s="41" t="n">
        <f aca="false">DATE(YEAR(B147),MONTH(B147),1)</f>
        <v>45597</v>
      </c>
      <c r="Q147" s="0" t="str">
        <f aca="false">INDEX(Products!$C$2:$C$16,MATCH(E147,Products!$A$2:$A$16,0))</f>
        <v>Technology</v>
      </c>
      <c r="R147" s="0" t="str">
        <f aca="false">INDEX(Customers!$F$2:$F$101,MATCH(D147,Customers!$A$2:$A$101,0))</f>
        <v>West</v>
      </c>
      <c r="S147" s="0" t="str">
        <f aca="false">INDEX(Customers!$C$2:$C$101,MATCH(D147,Customers!$A$2:$A$101,0))</f>
        <v>Consumer</v>
      </c>
      <c r="T147" s="0" t="str">
        <f aca="false">INDEX(Customers!$D$2:$D$101,MATCH(D147,Customers!$A$2:$A$101,0))</f>
        <v>Mumbai</v>
      </c>
    </row>
    <row r="148" customFormat="false" ht="15" hidden="false" customHeight="false" outlineLevel="0" collapsed="false">
      <c r="A148" s="0" t="s">
        <v>398</v>
      </c>
      <c r="B148" s="37" t="n">
        <v>46226</v>
      </c>
      <c r="C148" s="37" t="n">
        <v>46231</v>
      </c>
      <c r="D148" s="38" t="s">
        <v>341</v>
      </c>
      <c r="E148" s="38" t="s">
        <v>123</v>
      </c>
      <c r="F148" s="38" t="s">
        <v>101</v>
      </c>
      <c r="G148" s="38" t="s">
        <v>188</v>
      </c>
      <c r="H148" s="0" t="n">
        <v>1</v>
      </c>
      <c r="I148" s="39" t="n">
        <v>2200</v>
      </c>
      <c r="J148" s="40" t="n">
        <v>0.2</v>
      </c>
      <c r="K148" s="39" t="n">
        <v>1760</v>
      </c>
      <c r="L148" s="39" t="n">
        <v>1300</v>
      </c>
      <c r="M148" s="39" t="n">
        <v>460</v>
      </c>
      <c r="N148" s="38" t="s">
        <v>66</v>
      </c>
      <c r="O148" s="38" t="n">
        <f aca="false">YEAR(B148)</f>
        <v>2026</v>
      </c>
      <c r="P148" s="41" t="n">
        <f aca="false">DATE(YEAR(B148),MONTH(B148),1)</f>
        <v>46204</v>
      </c>
      <c r="Q148" s="0" t="str">
        <f aca="false">INDEX(Products!$C$2:$C$16,MATCH(E148,Products!$A$2:$A$16,0))</f>
        <v>Technology</v>
      </c>
      <c r="R148" s="0" t="str">
        <f aca="false">INDEX(Customers!$F$2:$F$101,MATCH(D148,Customers!$A$2:$A$101,0))</f>
        <v>North</v>
      </c>
      <c r="S148" s="0" t="str">
        <f aca="false">INDEX(Customers!$C$2:$C$101,MATCH(D148,Customers!$A$2:$A$101,0))</f>
        <v>Corporate</v>
      </c>
      <c r="T148" s="0" t="str">
        <f aca="false">INDEX(Customers!$D$2:$D$101,MATCH(D148,Customers!$A$2:$A$101,0))</f>
        <v>Delhi</v>
      </c>
    </row>
    <row r="149" customFormat="false" ht="15" hidden="false" customHeight="false" outlineLevel="0" collapsed="false">
      <c r="A149" s="0" t="s">
        <v>399</v>
      </c>
      <c r="B149" s="37" t="n">
        <v>45476</v>
      </c>
      <c r="C149" s="37" t="n">
        <v>45478</v>
      </c>
      <c r="D149" s="38" t="s">
        <v>400</v>
      </c>
      <c r="E149" s="38" t="s">
        <v>117</v>
      </c>
      <c r="F149" s="38" t="s">
        <v>101</v>
      </c>
      <c r="G149" s="38" t="s">
        <v>173</v>
      </c>
      <c r="H149" s="0" t="n">
        <v>2</v>
      </c>
      <c r="I149" s="39" t="n">
        <v>6500</v>
      </c>
      <c r="J149" s="40" t="n">
        <v>0.25</v>
      </c>
      <c r="K149" s="39" t="n">
        <v>9750</v>
      </c>
      <c r="L149" s="39" t="n">
        <v>8400</v>
      </c>
      <c r="M149" s="39" t="n">
        <v>1350</v>
      </c>
      <c r="N149" s="38" t="s">
        <v>66</v>
      </c>
      <c r="O149" s="38" t="n">
        <f aca="false">YEAR(B149)</f>
        <v>2024</v>
      </c>
      <c r="P149" s="41" t="n">
        <f aca="false">DATE(YEAR(B149),MONTH(B149),1)</f>
        <v>45474</v>
      </c>
      <c r="Q149" s="0" t="str">
        <f aca="false">INDEX(Products!$C$2:$C$16,MATCH(E149,Products!$A$2:$A$16,0))</f>
        <v>Furniture</v>
      </c>
      <c r="R149" s="0" t="str">
        <f aca="false">INDEX(Customers!$F$2:$F$101,MATCH(D149,Customers!$A$2:$A$101,0))</f>
        <v>North</v>
      </c>
      <c r="S149" s="0" t="str">
        <f aca="false">INDEX(Customers!$C$2:$C$101,MATCH(D149,Customers!$A$2:$A$101,0))</f>
        <v>Small Business</v>
      </c>
      <c r="T149" s="0" t="str">
        <f aca="false">INDEX(Customers!$D$2:$D$101,MATCH(D149,Customers!$A$2:$A$101,0))</f>
        <v>Lucknow</v>
      </c>
    </row>
    <row r="150" customFormat="false" ht="15" hidden="false" customHeight="false" outlineLevel="0" collapsed="false">
      <c r="A150" s="0" t="s">
        <v>401</v>
      </c>
      <c r="B150" s="37" t="n">
        <v>45371</v>
      </c>
      <c r="C150" s="37" t="n">
        <v>45374</v>
      </c>
      <c r="D150" s="38" t="s">
        <v>210</v>
      </c>
      <c r="E150" s="38" t="s">
        <v>115</v>
      </c>
      <c r="F150" s="38" t="s">
        <v>102</v>
      </c>
      <c r="G150" s="38" t="s">
        <v>188</v>
      </c>
      <c r="H150" s="0" t="n">
        <v>5</v>
      </c>
      <c r="I150" s="39" t="n">
        <v>1500</v>
      </c>
      <c r="J150" s="40" t="n">
        <v>0</v>
      </c>
      <c r="K150" s="39" t="n">
        <v>7500</v>
      </c>
      <c r="L150" s="39" t="n">
        <v>4250</v>
      </c>
      <c r="M150" s="39" t="n">
        <v>3250</v>
      </c>
      <c r="N150" s="38" t="s">
        <v>66</v>
      </c>
      <c r="O150" s="38" t="n">
        <f aca="false">YEAR(B150)</f>
        <v>2024</v>
      </c>
      <c r="P150" s="41" t="n">
        <f aca="false">DATE(YEAR(B150),MONTH(B150),1)</f>
        <v>45352</v>
      </c>
      <c r="Q150" s="0" t="str">
        <f aca="false">INDEX(Products!$C$2:$C$16,MATCH(E150,Products!$A$2:$A$16,0))</f>
        <v>Technology</v>
      </c>
      <c r="R150" s="0" t="str">
        <f aca="false">INDEX(Customers!$F$2:$F$101,MATCH(D150,Customers!$A$2:$A$101,0))</f>
        <v>North</v>
      </c>
      <c r="S150" s="0" t="str">
        <f aca="false">INDEX(Customers!$C$2:$C$101,MATCH(D150,Customers!$A$2:$A$101,0))</f>
        <v>Corporate</v>
      </c>
      <c r="T150" s="0" t="str">
        <f aca="false">INDEX(Customers!$D$2:$D$101,MATCH(D150,Customers!$A$2:$A$101,0))</f>
        <v>Jaipur</v>
      </c>
    </row>
    <row r="151" customFormat="false" ht="15" hidden="false" customHeight="false" outlineLevel="0" collapsed="false">
      <c r="A151" s="0" t="s">
        <v>402</v>
      </c>
      <c r="B151" s="37" t="n">
        <v>45969</v>
      </c>
      <c r="C151" s="37" t="n">
        <v>45972</v>
      </c>
      <c r="D151" s="38" t="s">
        <v>379</v>
      </c>
      <c r="E151" s="38" t="s">
        <v>113</v>
      </c>
      <c r="F151" s="38" t="s">
        <v>100</v>
      </c>
      <c r="G151" s="38" t="s">
        <v>188</v>
      </c>
      <c r="H151" s="0" t="n">
        <v>5</v>
      </c>
      <c r="I151" s="39" t="n">
        <v>45000</v>
      </c>
      <c r="J151" s="40" t="n">
        <v>0.15</v>
      </c>
      <c r="K151" s="39" t="n">
        <v>191250</v>
      </c>
      <c r="L151" s="39" t="n">
        <v>180000</v>
      </c>
      <c r="M151" s="39" t="n">
        <v>11250</v>
      </c>
      <c r="N151" s="38" t="s">
        <v>66</v>
      </c>
      <c r="O151" s="38" t="n">
        <f aca="false">YEAR(B151)</f>
        <v>2025</v>
      </c>
      <c r="P151" s="41" t="n">
        <f aca="false">DATE(YEAR(B151),MONTH(B151),1)</f>
        <v>45962</v>
      </c>
      <c r="Q151" s="0" t="str">
        <f aca="false">INDEX(Products!$C$2:$C$16,MATCH(E151,Products!$A$2:$A$16,0))</f>
        <v>Technology</v>
      </c>
      <c r="R151" s="0" t="str">
        <f aca="false">INDEX(Customers!$F$2:$F$101,MATCH(D151,Customers!$A$2:$A$101,0))</f>
        <v>North</v>
      </c>
      <c r="S151" s="0" t="str">
        <f aca="false">INDEX(Customers!$C$2:$C$101,MATCH(D151,Customers!$A$2:$A$101,0))</f>
        <v>Consumer</v>
      </c>
      <c r="T151" s="0" t="str">
        <f aca="false">INDEX(Customers!$D$2:$D$101,MATCH(D151,Customers!$A$2:$A$101,0))</f>
        <v>Lucknow</v>
      </c>
    </row>
    <row r="152" customFormat="false" ht="15" hidden="false" customHeight="false" outlineLevel="0" collapsed="false">
      <c r="A152" s="0" t="s">
        <v>403</v>
      </c>
      <c r="B152" s="37" t="n">
        <v>46143</v>
      </c>
      <c r="C152" s="37" t="n">
        <v>46149</v>
      </c>
      <c r="D152" s="38" t="s">
        <v>404</v>
      </c>
      <c r="E152" s="38" t="s">
        <v>115</v>
      </c>
      <c r="F152" s="38" t="s">
        <v>100</v>
      </c>
      <c r="G152" s="38" t="s">
        <v>185</v>
      </c>
      <c r="H152" s="0" t="n">
        <v>4</v>
      </c>
      <c r="I152" s="39" t="n">
        <v>1500</v>
      </c>
      <c r="J152" s="40" t="n">
        <v>0.25</v>
      </c>
      <c r="K152" s="39" t="n">
        <v>4500</v>
      </c>
      <c r="L152" s="39" t="n">
        <v>3400</v>
      </c>
      <c r="M152" s="39" t="n">
        <v>1100</v>
      </c>
      <c r="N152" s="38" t="s">
        <v>66</v>
      </c>
      <c r="O152" s="38" t="n">
        <f aca="false">YEAR(B152)</f>
        <v>2026</v>
      </c>
      <c r="P152" s="41" t="n">
        <f aca="false">DATE(YEAR(B152),MONTH(B152),1)</f>
        <v>46143</v>
      </c>
      <c r="Q152" s="0" t="str">
        <f aca="false">INDEX(Products!$C$2:$C$16,MATCH(E152,Products!$A$2:$A$16,0))</f>
        <v>Technology</v>
      </c>
      <c r="R152" s="0" t="str">
        <f aca="false">INDEX(Customers!$F$2:$F$101,MATCH(D152,Customers!$A$2:$A$101,0))</f>
        <v>West</v>
      </c>
      <c r="S152" s="0" t="str">
        <f aca="false">INDEX(Customers!$C$2:$C$101,MATCH(D152,Customers!$A$2:$A$101,0))</f>
        <v>Small Business</v>
      </c>
      <c r="T152" s="0" t="str">
        <f aca="false">INDEX(Customers!$D$2:$D$101,MATCH(D152,Customers!$A$2:$A$101,0))</f>
        <v>Mumbai</v>
      </c>
    </row>
    <row r="153" customFormat="false" ht="15" hidden="false" customHeight="false" outlineLevel="0" collapsed="false">
      <c r="A153" s="0" t="s">
        <v>405</v>
      </c>
      <c r="B153" s="37" t="n">
        <v>46028</v>
      </c>
      <c r="C153" s="37" t="n">
        <v>46030</v>
      </c>
      <c r="D153" s="38" t="s">
        <v>400</v>
      </c>
      <c r="E153" s="38" t="s">
        <v>123</v>
      </c>
      <c r="F153" s="38" t="s">
        <v>101</v>
      </c>
      <c r="G153" s="38" t="s">
        <v>185</v>
      </c>
      <c r="H153" s="0" t="n">
        <v>8</v>
      </c>
      <c r="I153" s="39" t="n">
        <v>2200</v>
      </c>
      <c r="J153" s="40" t="n">
        <v>0.15</v>
      </c>
      <c r="K153" s="39" t="n">
        <v>14960</v>
      </c>
      <c r="L153" s="39" t="n">
        <v>10400</v>
      </c>
      <c r="M153" s="39" t="n">
        <v>4560</v>
      </c>
      <c r="N153" s="38" t="s">
        <v>66</v>
      </c>
      <c r="O153" s="38" t="n">
        <f aca="false">YEAR(B153)</f>
        <v>2026</v>
      </c>
      <c r="P153" s="41" t="n">
        <f aca="false">DATE(YEAR(B153),MONTH(B153),1)</f>
        <v>46023</v>
      </c>
      <c r="Q153" s="0" t="str">
        <f aca="false">INDEX(Products!$C$2:$C$16,MATCH(E153,Products!$A$2:$A$16,0))</f>
        <v>Technology</v>
      </c>
      <c r="R153" s="0" t="str">
        <f aca="false">INDEX(Customers!$F$2:$F$101,MATCH(D153,Customers!$A$2:$A$101,0))</f>
        <v>North</v>
      </c>
      <c r="S153" s="0" t="str">
        <f aca="false">INDEX(Customers!$C$2:$C$101,MATCH(D153,Customers!$A$2:$A$101,0))</f>
        <v>Small Business</v>
      </c>
      <c r="T153" s="0" t="str">
        <f aca="false">INDEX(Customers!$D$2:$D$101,MATCH(D153,Customers!$A$2:$A$101,0))</f>
        <v>Lucknow</v>
      </c>
    </row>
    <row r="154" customFormat="false" ht="15" hidden="false" customHeight="false" outlineLevel="0" collapsed="false">
      <c r="A154" s="0" t="s">
        <v>406</v>
      </c>
      <c r="B154" s="37" t="n">
        <v>46280</v>
      </c>
      <c r="C154" s="37" t="n">
        <v>46287</v>
      </c>
      <c r="D154" s="38" t="s">
        <v>407</v>
      </c>
      <c r="E154" s="38" t="s">
        <v>117</v>
      </c>
      <c r="F154" s="38" t="s">
        <v>100</v>
      </c>
      <c r="G154" s="38" t="s">
        <v>170</v>
      </c>
      <c r="H154" s="0" t="n">
        <v>4</v>
      </c>
      <c r="I154" s="39" t="n">
        <v>6500</v>
      </c>
      <c r="J154" s="40" t="n">
        <v>0.25</v>
      </c>
      <c r="K154" s="39" t="n">
        <v>19500</v>
      </c>
      <c r="L154" s="39" t="n">
        <v>16800</v>
      </c>
      <c r="M154" s="39" t="n">
        <v>2700</v>
      </c>
      <c r="N154" s="38" t="s">
        <v>66</v>
      </c>
      <c r="O154" s="38" t="n">
        <f aca="false">YEAR(B154)</f>
        <v>2026</v>
      </c>
      <c r="P154" s="41" t="n">
        <f aca="false">DATE(YEAR(B154),MONTH(B154),1)</f>
        <v>46266</v>
      </c>
      <c r="Q154" s="0" t="str">
        <f aca="false">INDEX(Products!$C$2:$C$16,MATCH(E154,Products!$A$2:$A$16,0))</f>
        <v>Furniture</v>
      </c>
      <c r="R154" s="0" t="str">
        <f aca="false">INDEX(Customers!$F$2:$F$101,MATCH(D154,Customers!$A$2:$A$101,0))</f>
        <v>North</v>
      </c>
      <c r="S154" s="0" t="str">
        <f aca="false">INDEX(Customers!$C$2:$C$101,MATCH(D154,Customers!$A$2:$A$101,0))</f>
        <v>Small Business</v>
      </c>
      <c r="T154" s="0" t="str">
        <f aca="false">INDEX(Customers!$D$2:$D$101,MATCH(D154,Customers!$A$2:$A$101,0))</f>
        <v>Delhi</v>
      </c>
    </row>
    <row r="155" customFormat="false" ht="15" hidden="false" customHeight="false" outlineLevel="0" collapsed="false">
      <c r="A155" s="0" t="s">
        <v>408</v>
      </c>
      <c r="B155" s="37" t="n">
        <v>45764</v>
      </c>
      <c r="C155" s="37" t="n">
        <v>45771</v>
      </c>
      <c r="D155" s="38" t="s">
        <v>409</v>
      </c>
      <c r="E155" s="38" t="s">
        <v>120</v>
      </c>
      <c r="F155" s="38" t="s">
        <v>102</v>
      </c>
      <c r="G155" s="38" t="s">
        <v>188</v>
      </c>
      <c r="H155" s="0" t="n">
        <v>1</v>
      </c>
      <c r="I155" s="39" t="n">
        <v>400</v>
      </c>
      <c r="J155" s="40" t="n">
        <v>0.1</v>
      </c>
      <c r="K155" s="39" t="n">
        <v>360</v>
      </c>
      <c r="L155" s="39" t="n">
        <v>260</v>
      </c>
      <c r="M155" s="39" t="n">
        <v>100</v>
      </c>
      <c r="N155" s="38" t="s">
        <v>66</v>
      </c>
      <c r="O155" s="38" t="n">
        <f aca="false">YEAR(B155)</f>
        <v>2025</v>
      </c>
      <c r="P155" s="41" t="n">
        <f aca="false">DATE(YEAR(B155),MONTH(B155),1)</f>
        <v>45748</v>
      </c>
      <c r="Q155" s="0" t="str">
        <f aca="false">INDEX(Products!$C$2:$C$16,MATCH(E155,Products!$A$2:$A$16,0))</f>
        <v>Office Supplies</v>
      </c>
      <c r="R155" s="0" t="str">
        <f aca="false">INDEX(Customers!$F$2:$F$101,MATCH(D155,Customers!$A$2:$A$101,0))</f>
        <v>East</v>
      </c>
      <c r="S155" s="0" t="str">
        <f aca="false">INDEX(Customers!$C$2:$C$101,MATCH(D155,Customers!$A$2:$A$101,0))</f>
        <v>Small Business</v>
      </c>
      <c r="T155" s="0" t="str">
        <f aca="false">INDEX(Customers!$D$2:$D$101,MATCH(D155,Customers!$A$2:$A$101,0))</f>
        <v>Bhubaneswar</v>
      </c>
    </row>
    <row r="156" customFormat="false" ht="15" hidden="false" customHeight="false" outlineLevel="0" collapsed="false">
      <c r="A156" s="0" t="s">
        <v>410</v>
      </c>
      <c r="B156" s="37" t="n">
        <v>45496</v>
      </c>
      <c r="C156" s="37" t="n">
        <v>45503</v>
      </c>
      <c r="D156" s="38" t="s">
        <v>404</v>
      </c>
      <c r="E156" s="38" t="s">
        <v>126</v>
      </c>
      <c r="F156" s="38" t="s">
        <v>101</v>
      </c>
      <c r="G156" s="38" t="s">
        <v>178</v>
      </c>
      <c r="H156" s="0" t="n">
        <v>3</v>
      </c>
      <c r="I156" s="39" t="n">
        <v>1200</v>
      </c>
      <c r="J156" s="40" t="n">
        <v>0.25</v>
      </c>
      <c r="K156" s="39" t="n">
        <v>2700</v>
      </c>
      <c r="L156" s="39" t="n">
        <v>2100</v>
      </c>
      <c r="M156" s="39" t="n">
        <v>600</v>
      </c>
      <c r="N156" s="38" t="s">
        <v>66</v>
      </c>
      <c r="O156" s="38" t="n">
        <f aca="false">YEAR(B156)</f>
        <v>2024</v>
      </c>
      <c r="P156" s="41" t="n">
        <f aca="false">DATE(YEAR(B156),MONTH(B156),1)</f>
        <v>45474</v>
      </c>
      <c r="Q156" s="0" t="str">
        <f aca="false">INDEX(Products!$C$2:$C$16,MATCH(E156,Products!$A$2:$A$16,0))</f>
        <v>Furniture</v>
      </c>
      <c r="R156" s="0" t="str">
        <f aca="false">INDEX(Customers!$F$2:$F$101,MATCH(D156,Customers!$A$2:$A$101,0))</f>
        <v>West</v>
      </c>
      <c r="S156" s="0" t="str">
        <f aca="false">INDEX(Customers!$C$2:$C$101,MATCH(D156,Customers!$A$2:$A$101,0))</f>
        <v>Small Business</v>
      </c>
      <c r="T156" s="0" t="str">
        <f aca="false">INDEX(Customers!$D$2:$D$101,MATCH(D156,Customers!$A$2:$A$101,0))</f>
        <v>Mumbai</v>
      </c>
    </row>
    <row r="157" customFormat="false" ht="15" hidden="false" customHeight="false" outlineLevel="0" collapsed="false">
      <c r="A157" s="0" t="s">
        <v>411</v>
      </c>
      <c r="B157" s="37" t="n">
        <v>46248</v>
      </c>
      <c r="C157" s="37" t="n">
        <v>46249</v>
      </c>
      <c r="D157" s="38" t="s">
        <v>329</v>
      </c>
      <c r="E157" s="38" t="s">
        <v>121</v>
      </c>
      <c r="F157" s="38" t="s">
        <v>100</v>
      </c>
      <c r="G157" s="38" t="s">
        <v>170</v>
      </c>
      <c r="H157" s="0" t="n">
        <v>4</v>
      </c>
      <c r="I157" s="39" t="n">
        <v>180</v>
      </c>
      <c r="J157" s="40" t="n">
        <v>0.15</v>
      </c>
      <c r="K157" s="39" t="n">
        <v>612</v>
      </c>
      <c r="L157" s="39" t="n">
        <v>280</v>
      </c>
      <c r="M157" s="39" t="n">
        <v>332</v>
      </c>
      <c r="N157" s="38" t="s">
        <v>66</v>
      </c>
      <c r="O157" s="38" t="n">
        <f aca="false">YEAR(B157)</f>
        <v>2026</v>
      </c>
      <c r="P157" s="41" t="n">
        <f aca="false">DATE(YEAR(B157),MONTH(B157),1)</f>
        <v>46235</v>
      </c>
      <c r="Q157" s="0" t="str">
        <f aca="false">INDEX(Products!$C$2:$C$16,MATCH(E157,Products!$A$2:$A$16,0))</f>
        <v>Office Supplies</v>
      </c>
      <c r="R157" s="0" t="str">
        <f aca="false">INDEX(Customers!$F$2:$F$101,MATCH(D157,Customers!$A$2:$A$101,0))</f>
        <v>West</v>
      </c>
      <c r="S157" s="0" t="str">
        <f aca="false">INDEX(Customers!$C$2:$C$101,MATCH(D157,Customers!$A$2:$A$101,0))</f>
        <v>Corporate</v>
      </c>
      <c r="T157" s="0" t="str">
        <f aca="false">INDEX(Customers!$D$2:$D$101,MATCH(D157,Customers!$A$2:$A$101,0))</f>
        <v>Pune</v>
      </c>
    </row>
    <row r="158" customFormat="false" ht="15" hidden="false" customHeight="false" outlineLevel="0" collapsed="false">
      <c r="A158" s="0" t="s">
        <v>412</v>
      </c>
      <c r="B158" s="37" t="n">
        <v>45752</v>
      </c>
      <c r="C158" s="37" t="n">
        <v>45757</v>
      </c>
      <c r="D158" s="38" t="s">
        <v>404</v>
      </c>
      <c r="E158" s="38" t="s">
        <v>117</v>
      </c>
      <c r="F158" s="38" t="s">
        <v>100</v>
      </c>
      <c r="G158" s="38" t="s">
        <v>173</v>
      </c>
      <c r="H158" s="0" t="n">
        <v>1</v>
      </c>
      <c r="I158" s="39" t="n">
        <v>6500</v>
      </c>
      <c r="J158" s="40" t="n">
        <v>0.1</v>
      </c>
      <c r="K158" s="39" t="n">
        <v>5850</v>
      </c>
      <c r="L158" s="39" t="n">
        <v>4200</v>
      </c>
      <c r="M158" s="39" t="n">
        <v>1650</v>
      </c>
      <c r="N158" s="38" t="s">
        <v>66</v>
      </c>
      <c r="O158" s="38" t="n">
        <f aca="false">YEAR(B158)</f>
        <v>2025</v>
      </c>
      <c r="P158" s="41" t="n">
        <f aca="false">DATE(YEAR(B158),MONTH(B158),1)</f>
        <v>45748</v>
      </c>
      <c r="Q158" s="0" t="str">
        <f aca="false">INDEX(Products!$C$2:$C$16,MATCH(E158,Products!$A$2:$A$16,0))</f>
        <v>Furniture</v>
      </c>
      <c r="R158" s="0" t="str">
        <f aca="false">INDEX(Customers!$F$2:$F$101,MATCH(D158,Customers!$A$2:$A$101,0))</f>
        <v>West</v>
      </c>
      <c r="S158" s="0" t="str">
        <f aca="false">INDEX(Customers!$C$2:$C$101,MATCH(D158,Customers!$A$2:$A$101,0))</f>
        <v>Small Business</v>
      </c>
      <c r="T158" s="0" t="str">
        <f aca="false">INDEX(Customers!$D$2:$D$101,MATCH(D158,Customers!$A$2:$A$101,0))</f>
        <v>Mumbai</v>
      </c>
    </row>
    <row r="159" customFormat="false" ht="15" hidden="false" customHeight="false" outlineLevel="0" collapsed="false">
      <c r="A159" s="0" t="s">
        <v>413</v>
      </c>
      <c r="B159" s="37" t="n">
        <v>45319</v>
      </c>
      <c r="C159" s="37" t="n">
        <v>45323</v>
      </c>
      <c r="D159" s="38" t="s">
        <v>414</v>
      </c>
      <c r="E159" s="38" t="s">
        <v>127</v>
      </c>
      <c r="F159" s="38" t="s">
        <v>101</v>
      </c>
      <c r="G159" s="38" t="s">
        <v>173</v>
      </c>
      <c r="H159" s="0" t="n">
        <v>1</v>
      </c>
      <c r="I159" s="39" t="n">
        <v>18000</v>
      </c>
      <c r="J159" s="40" t="n">
        <v>0.15</v>
      </c>
      <c r="K159" s="39" t="n">
        <v>15300</v>
      </c>
      <c r="L159" s="39" t="n">
        <v>14000</v>
      </c>
      <c r="M159" s="39" t="n">
        <v>1300</v>
      </c>
      <c r="N159" s="38" t="s">
        <v>66</v>
      </c>
      <c r="O159" s="38" t="n">
        <f aca="false">YEAR(B159)</f>
        <v>2024</v>
      </c>
      <c r="P159" s="41" t="n">
        <f aca="false">DATE(YEAR(B159),MONTH(B159),1)</f>
        <v>45292</v>
      </c>
      <c r="Q159" s="0" t="str">
        <f aca="false">INDEX(Products!$C$2:$C$16,MATCH(E159,Products!$A$2:$A$16,0))</f>
        <v>Technology</v>
      </c>
      <c r="R159" s="0" t="str">
        <f aca="false">INDEX(Customers!$F$2:$F$101,MATCH(D159,Customers!$A$2:$A$101,0))</f>
        <v>South</v>
      </c>
      <c r="S159" s="0" t="str">
        <f aca="false">INDEX(Customers!$C$2:$C$101,MATCH(D159,Customers!$A$2:$A$101,0))</f>
        <v>Small Business</v>
      </c>
      <c r="T159" s="0" t="str">
        <f aca="false">INDEX(Customers!$D$2:$D$101,MATCH(D159,Customers!$A$2:$A$101,0))</f>
        <v>Bengaluru</v>
      </c>
    </row>
    <row r="160" customFormat="false" ht="15" hidden="false" customHeight="false" outlineLevel="0" collapsed="false">
      <c r="A160" s="0" t="s">
        <v>415</v>
      </c>
      <c r="B160" s="37" t="n">
        <v>45521</v>
      </c>
      <c r="C160" s="37" t="n">
        <v>45522</v>
      </c>
      <c r="D160" s="38" t="s">
        <v>196</v>
      </c>
      <c r="E160" s="38" t="s">
        <v>118</v>
      </c>
      <c r="F160" s="38" t="s">
        <v>102</v>
      </c>
      <c r="G160" s="38" t="s">
        <v>170</v>
      </c>
      <c r="H160" s="0" t="n">
        <v>2</v>
      </c>
      <c r="I160" s="39" t="n">
        <v>9000</v>
      </c>
      <c r="J160" s="40" t="n">
        <v>0</v>
      </c>
      <c r="K160" s="39" t="n">
        <v>18000</v>
      </c>
      <c r="L160" s="39" t="n">
        <v>13000</v>
      </c>
      <c r="M160" s="39" t="n">
        <v>5000</v>
      </c>
      <c r="N160" s="38" t="s">
        <v>66</v>
      </c>
      <c r="O160" s="38" t="n">
        <f aca="false">YEAR(B160)</f>
        <v>2024</v>
      </c>
      <c r="P160" s="41" t="n">
        <f aca="false">DATE(YEAR(B160),MONTH(B160),1)</f>
        <v>45505</v>
      </c>
      <c r="Q160" s="0" t="str">
        <f aca="false">INDEX(Products!$C$2:$C$16,MATCH(E160,Products!$A$2:$A$16,0))</f>
        <v>Furniture</v>
      </c>
      <c r="R160" s="0" t="str">
        <f aca="false">INDEX(Customers!$F$2:$F$101,MATCH(D160,Customers!$A$2:$A$101,0))</f>
        <v>South</v>
      </c>
      <c r="S160" s="0" t="str">
        <f aca="false">INDEX(Customers!$C$2:$C$101,MATCH(D160,Customers!$A$2:$A$101,0))</f>
        <v>Consumer</v>
      </c>
      <c r="T160" s="0" t="str">
        <f aca="false">INDEX(Customers!$D$2:$D$101,MATCH(D160,Customers!$A$2:$A$101,0))</f>
        <v>Chennai</v>
      </c>
    </row>
    <row r="161" customFormat="false" ht="15" hidden="false" customHeight="false" outlineLevel="0" collapsed="false">
      <c r="A161" s="0" t="s">
        <v>416</v>
      </c>
      <c r="B161" s="37" t="n">
        <v>45585</v>
      </c>
      <c r="C161" s="37" t="n">
        <v>45592</v>
      </c>
      <c r="D161" s="38" t="s">
        <v>210</v>
      </c>
      <c r="E161" s="38" t="s">
        <v>113</v>
      </c>
      <c r="F161" s="38" t="s">
        <v>100</v>
      </c>
      <c r="G161" s="38" t="s">
        <v>185</v>
      </c>
      <c r="H161" s="0" t="n">
        <v>2</v>
      </c>
      <c r="I161" s="39" t="n">
        <v>45000</v>
      </c>
      <c r="J161" s="40" t="n">
        <v>0.25</v>
      </c>
      <c r="K161" s="39" t="n">
        <v>67500</v>
      </c>
      <c r="L161" s="39" t="n">
        <v>72000</v>
      </c>
      <c r="M161" s="39" t="n">
        <v>-4500</v>
      </c>
      <c r="N161" s="38" t="s">
        <v>66</v>
      </c>
      <c r="O161" s="38" t="n">
        <f aca="false">YEAR(B161)</f>
        <v>2024</v>
      </c>
      <c r="P161" s="41" t="n">
        <f aca="false">DATE(YEAR(B161),MONTH(B161),1)</f>
        <v>45566</v>
      </c>
      <c r="Q161" s="0" t="str">
        <f aca="false">INDEX(Products!$C$2:$C$16,MATCH(E161,Products!$A$2:$A$16,0))</f>
        <v>Technology</v>
      </c>
      <c r="R161" s="0" t="str">
        <f aca="false">INDEX(Customers!$F$2:$F$101,MATCH(D161,Customers!$A$2:$A$101,0))</f>
        <v>North</v>
      </c>
      <c r="S161" s="0" t="str">
        <f aca="false">INDEX(Customers!$C$2:$C$101,MATCH(D161,Customers!$A$2:$A$101,0))</f>
        <v>Corporate</v>
      </c>
      <c r="T161" s="0" t="str">
        <f aca="false">INDEX(Customers!$D$2:$D$101,MATCH(D161,Customers!$A$2:$A$101,0))</f>
        <v>Jaipur</v>
      </c>
    </row>
    <row r="162" customFormat="false" ht="15" hidden="false" customHeight="false" outlineLevel="0" collapsed="false">
      <c r="A162" s="0" t="s">
        <v>417</v>
      </c>
      <c r="B162" s="37" t="n">
        <v>45373</v>
      </c>
      <c r="C162" s="37" t="n">
        <v>45374</v>
      </c>
      <c r="D162" s="38" t="s">
        <v>169</v>
      </c>
      <c r="E162" s="38" t="s">
        <v>127</v>
      </c>
      <c r="F162" s="38" t="s">
        <v>100</v>
      </c>
      <c r="G162" s="38" t="s">
        <v>188</v>
      </c>
      <c r="H162" s="0" t="n">
        <v>1</v>
      </c>
      <c r="I162" s="39" t="n">
        <v>18000</v>
      </c>
      <c r="J162" s="40" t="n">
        <v>0.25</v>
      </c>
      <c r="K162" s="39" t="n">
        <v>13500</v>
      </c>
      <c r="L162" s="39" t="n">
        <v>14000</v>
      </c>
      <c r="M162" s="39" t="n">
        <v>-500</v>
      </c>
      <c r="N162" s="38" t="s">
        <v>146</v>
      </c>
      <c r="O162" s="38" t="n">
        <f aca="false">YEAR(B162)</f>
        <v>2024</v>
      </c>
      <c r="P162" s="41" t="n">
        <f aca="false">DATE(YEAR(B162),MONTH(B162),1)</f>
        <v>45352</v>
      </c>
      <c r="Q162" s="0" t="str">
        <f aca="false">INDEX(Products!$C$2:$C$16,MATCH(E162,Products!$A$2:$A$16,0))</f>
        <v>Technology</v>
      </c>
      <c r="R162" s="0" t="str">
        <f aca="false">INDEX(Customers!$F$2:$F$101,MATCH(D162,Customers!$A$2:$A$101,0))</f>
        <v>East</v>
      </c>
      <c r="S162" s="0" t="str">
        <f aca="false">INDEX(Customers!$C$2:$C$101,MATCH(D162,Customers!$A$2:$A$101,0))</f>
        <v>Small Business</v>
      </c>
      <c r="T162" s="0" t="str">
        <f aca="false">INDEX(Customers!$D$2:$D$101,MATCH(D162,Customers!$A$2:$A$101,0))</f>
        <v>Kolkata</v>
      </c>
    </row>
    <row r="163" customFormat="false" ht="15" hidden="false" customHeight="false" outlineLevel="0" collapsed="false">
      <c r="A163" s="0" t="s">
        <v>418</v>
      </c>
      <c r="B163" s="37" t="n">
        <v>45725</v>
      </c>
      <c r="C163" s="37" t="n">
        <v>45726</v>
      </c>
      <c r="D163" s="38" t="s">
        <v>350</v>
      </c>
      <c r="E163" s="38" t="s">
        <v>121</v>
      </c>
      <c r="F163" s="38" t="s">
        <v>101</v>
      </c>
      <c r="G163" s="38" t="s">
        <v>178</v>
      </c>
      <c r="H163" s="0" t="n">
        <v>4</v>
      </c>
      <c r="I163" s="39" t="n">
        <v>180</v>
      </c>
      <c r="J163" s="40" t="n">
        <v>0</v>
      </c>
      <c r="K163" s="39" t="n">
        <v>720</v>
      </c>
      <c r="L163" s="39" t="n">
        <v>280</v>
      </c>
      <c r="M163" s="39" t="n">
        <v>440</v>
      </c>
      <c r="N163" s="38" t="s">
        <v>66</v>
      </c>
      <c r="O163" s="38" t="n">
        <f aca="false">YEAR(B163)</f>
        <v>2025</v>
      </c>
      <c r="P163" s="41" t="n">
        <f aca="false">DATE(YEAR(B163),MONTH(B163),1)</f>
        <v>45717</v>
      </c>
      <c r="Q163" s="0" t="str">
        <f aca="false">INDEX(Products!$C$2:$C$16,MATCH(E163,Products!$A$2:$A$16,0))</f>
        <v>Office Supplies</v>
      </c>
      <c r="R163" s="0" t="str">
        <f aca="false">INDEX(Customers!$F$2:$F$101,MATCH(D163,Customers!$A$2:$A$101,0))</f>
        <v>South</v>
      </c>
      <c r="S163" s="0" t="str">
        <f aca="false">INDEX(Customers!$C$2:$C$101,MATCH(D163,Customers!$A$2:$A$101,0))</f>
        <v>Consumer</v>
      </c>
      <c r="T163" s="0" t="str">
        <f aca="false">INDEX(Customers!$D$2:$D$101,MATCH(D163,Customers!$A$2:$A$101,0))</f>
        <v>Chennai</v>
      </c>
    </row>
    <row r="164" customFormat="false" ht="15" hidden="false" customHeight="false" outlineLevel="0" collapsed="false">
      <c r="A164" s="0" t="s">
        <v>419</v>
      </c>
      <c r="B164" s="37" t="n">
        <v>46104</v>
      </c>
      <c r="C164" s="37" t="n">
        <v>46109</v>
      </c>
      <c r="D164" s="38" t="s">
        <v>364</v>
      </c>
      <c r="E164" s="38" t="s">
        <v>123</v>
      </c>
      <c r="F164" s="38" t="s">
        <v>101</v>
      </c>
      <c r="G164" s="38" t="s">
        <v>188</v>
      </c>
      <c r="H164" s="0" t="n">
        <v>2</v>
      </c>
      <c r="I164" s="39" t="n">
        <v>2200</v>
      </c>
      <c r="J164" s="40" t="n">
        <v>0</v>
      </c>
      <c r="K164" s="39" t="n">
        <v>4400</v>
      </c>
      <c r="L164" s="39" t="n">
        <v>2600</v>
      </c>
      <c r="M164" s="39" t="n">
        <v>1800</v>
      </c>
      <c r="N164" s="38" t="s">
        <v>66</v>
      </c>
      <c r="O164" s="38" t="n">
        <f aca="false">YEAR(B164)</f>
        <v>2026</v>
      </c>
      <c r="P164" s="41" t="n">
        <f aca="false">DATE(YEAR(B164),MONTH(B164),1)</f>
        <v>46082</v>
      </c>
      <c r="Q164" s="0" t="str">
        <f aca="false">INDEX(Products!$C$2:$C$16,MATCH(E164,Products!$A$2:$A$16,0))</f>
        <v>Technology</v>
      </c>
      <c r="R164" s="0" t="str">
        <f aca="false">INDEX(Customers!$F$2:$F$101,MATCH(D164,Customers!$A$2:$A$101,0))</f>
        <v>North</v>
      </c>
      <c r="S164" s="0" t="str">
        <f aca="false">INDEX(Customers!$C$2:$C$101,MATCH(D164,Customers!$A$2:$A$101,0))</f>
        <v>Corporate</v>
      </c>
      <c r="T164" s="0" t="str">
        <f aca="false">INDEX(Customers!$D$2:$D$101,MATCH(D164,Customers!$A$2:$A$101,0))</f>
        <v>Jaipur</v>
      </c>
    </row>
    <row r="165" customFormat="false" ht="15" hidden="false" customHeight="false" outlineLevel="0" collapsed="false">
      <c r="A165" s="0" t="s">
        <v>420</v>
      </c>
      <c r="B165" s="37" t="n">
        <v>45880</v>
      </c>
      <c r="C165" s="37" t="n">
        <v>45882</v>
      </c>
      <c r="D165" s="38" t="s">
        <v>180</v>
      </c>
      <c r="E165" s="38" t="s">
        <v>121</v>
      </c>
      <c r="F165" s="38" t="s">
        <v>101</v>
      </c>
      <c r="G165" s="38" t="s">
        <v>178</v>
      </c>
      <c r="H165" s="0" t="n">
        <v>4</v>
      </c>
      <c r="I165" s="39" t="n">
        <v>180</v>
      </c>
      <c r="J165" s="40" t="n">
        <v>0.05</v>
      </c>
      <c r="K165" s="39" t="n">
        <v>684</v>
      </c>
      <c r="L165" s="39" t="n">
        <v>280</v>
      </c>
      <c r="M165" s="39" t="n">
        <v>404</v>
      </c>
      <c r="N165" s="38" t="s">
        <v>66</v>
      </c>
      <c r="O165" s="38" t="n">
        <f aca="false">YEAR(B165)</f>
        <v>2025</v>
      </c>
      <c r="P165" s="41" t="n">
        <f aca="false">DATE(YEAR(B165),MONTH(B165),1)</f>
        <v>45870</v>
      </c>
      <c r="Q165" s="0" t="str">
        <f aca="false">INDEX(Products!$C$2:$C$16,MATCH(E165,Products!$A$2:$A$16,0))</f>
        <v>Office Supplies</v>
      </c>
      <c r="R165" s="0" t="str">
        <f aca="false">INDEX(Customers!$F$2:$F$101,MATCH(D165,Customers!$A$2:$A$101,0))</f>
        <v>West</v>
      </c>
      <c r="S165" s="0" t="str">
        <f aca="false">INDEX(Customers!$C$2:$C$101,MATCH(D165,Customers!$A$2:$A$101,0))</f>
        <v>Corporate</v>
      </c>
      <c r="T165" s="0" t="str">
        <f aca="false">INDEX(Customers!$D$2:$D$101,MATCH(D165,Customers!$A$2:$A$101,0))</f>
        <v>Mumbai</v>
      </c>
    </row>
    <row r="166" customFormat="false" ht="15" hidden="false" customHeight="false" outlineLevel="0" collapsed="false">
      <c r="A166" s="0" t="s">
        <v>421</v>
      </c>
      <c r="B166" s="37" t="n">
        <v>45718</v>
      </c>
      <c r="C166" s="37" t="n">
        <v>45720</v>
      </c>
      <c r="D166" s="38" t="s">
        <v>407</v>
      </c>
      <c r="E166" s="38" t="s">
        <v>122</v>
      </c>
      <c r="F166" s="38" t="s">
        <v>102</v>
      </c>
      <c r="G166" s="38" t="s">
        <v>170</v>
      </c>
      <c r="H166" s="0" t="n">
        <v>3</v>
      </c>
      <c r="I166" s="39" t="n">
        <v>5500</v>
      </c>
      <c r="J166" s="40" t="n">
        <v>0</v>
      </c>
      <c r="K166" s="39" t="n">
        <v>16500</v>
      </c>
      <c r="L166" s="39" t="n">
        <v>11100</v>
      </c>
      <c r="M166" s="39" t="n">
        <v>5400</v>
      </c>
      <c r="N166" s="38" t="s">
        <v>66</v>
      </c>
      <c r="O166" s="38" t="n">
        <f aca="false">YEAR(B166)</f>
        <v>2025</v>
      </c>
      <c r="P166" s="41" t="n">
        <f aca="false">DATE(YEAR(B166),MONTH(B166),1)</f>
        <v>45717</v>
      </c>
      <c r="Q166" s="0" t="str">
        <f aca="false">INDEX(Products!$C$2:$C$16,MATCH(E166,Products!$A$2:$A$16,0))</f>
        <v>Furniture</v>
      </c>
      <c r="R166" s="0" t="str">
        <f aca="false">INDEX(Customers!$F$2:$F$101,MATCH(D166,Customers!$A$2:$A$101,0))</f>
        <v>North</v>
      </c>
      <c r="S166" s="0" t="str">
        <f aca="false">INDEX(Customers!$C$2:$C$101,MATCH(D166,Customers!$A$2:$A$101,0))</f>
        <v>Small Business</v>
      </c>
      <c r="T166" s="0" t="str">
        <f aca="false">INDEX(Customers!$D$2:$D$101,MATCH(D166,Customers!$A$2:$A$101,0))</f>
        <v>Delhi</v>
      </c>
    </row>
    <row r="167" customFormat="false" ht="15" hidden="false" customHeight="false" outlineLevel="0" collapsed="false">
      <c r="A167" s="0" t="s">
        <v>422</v>
      </c>
      <c r="B167" s="37" t="n">
        <v>45811</v>
      </c>
      <c r="C167" s="37" t="n">
        <v>45818</v>
      </c>
      <c r="D167" s="38" t="s">
        <v>379</v>
      </c>
      <c r="E167" s="38" t="s">
        <v>121</v>
      </c>
      <c r="F167" s="38" t="s">
        <v>100</v>
      </c>
      <c r="G167" s="38" t="s">
        <v>185</v>
      </c>
      <c r="H167" s="0" t="n">
        <v>10</v>
      </c>
      <c r="I167" s="39" t="n">
        <v>180</v>
      </c>
      <c r="J167" s="40" t="n">
        <v>0.15</v>
      </c>
      <c r="K167" s="39" t="n">
        <v>1530</v>
      </c>
      <c r="L167" s="39" t="n">
        <v>700</v>
      </c>
      <c r="M167" s="39" t="n">
        <v>830</v>
      </c>
      <c r="N167" s="38" t="s">
        <v>66</v>
      </c>
      <c r="O167" s="38" t="n">
        <f aca="false">YEAR(B167)</f>
        <v>2025</v>
      </c>
      <c r="P167" s="41" t="n">
        <f aca="false">DATE(YEAR(B167),MONTH(B167),1)</f>
        <v>45809</v>
      </c>
      <c r="Q167" s="0" t="str">
        <f aca="false">INDEX(Products!$C$2:$C$16,MATCH(E167,Products!$A$2:$A$16,0))</f>
        <v>Office Supplies</v>
      </c>
      <c r="R167" s="0" t="str">
        <f aca="false">INDEX(Customers!$F$2:$F$101,MATCH(D167,Customers!$A$2:$A$101,0))</f>
        <v>North</v>
      </c>
      <c r="S167" s="0" t="str">
        <f aca="false">INDEX(Customers!$C$2:$C$101,MATCH(D167,Customers!$A$2:$A$101,0))</f>
        <v>Consumer</v>
      </c>
      <c r="T167" s="0" t="str">
        <f aca="false">INDEX(Customers!$D$2:$D$101,MATCH(D167,Customers!$A$2:$A$101,0))</f>
        <v>Lucknow</v>
      </c>
    </row>
    <row r="168" customFormat="false" ht="15" hidden="false" customHeight="false" outlineLevel="0" collapsed="false">
      <c r="A168" s="0" t="s">
        <v>423</v>
      </c>
      <c r="B168" s="37" t="n">
        <v>45688</v>
      </c>
      <c r="C168" s="37" t="n">
        <v>45691</v>
      </c>
      <c r="D168" s="38" t="s">
        <v>302</v>
      </c>
      <c r="E168" s="38" t="s">
        <v>123</v>
      </c>
      <c r="F168" s="38" t="s">
        <v>101</v>
      </c>
      <c r="G168" s="38" t="s">
        <v>178</v>
      </c>
      <c r="H168" s="0" t="n">
        <v>1</v>
      </c>
      <c r="I168" s="39" t="n">
        <v>2200</v>
      </c>
      <c r="J168" s="40" t="n">
        <v>0</v>
      </c>
      <c r="K168" s="39" t="n">
        <v>2200</v>
      </c>
      <c r="L168" s="39" t="n">
        <v>1300</v>
      </c>
      <c r="M168" s="39" t="n">
        <v>900</v>
      </c>
      <c r="N168" s="38" t="s">
        <v>66</v>
      </c>
      <c r="O168" s="38" t="n">
        <f aca="false">YEAR(B168)</f>
        <v>2025</v>
      </c>
      <c r="P168" s="41" t="n">
        <f aca="false">DATE(YEAR(B168),MONTH(B168),1)</f>
        <v>45658</v>
      </c>
      <c r="Q168" s="0" t="str">
        <f aca="false">INDEX(Products!$C$2:$C$16,MATCH(E168,Products!$A$2:$A$16,0))</f>
        <v>Technology</v>
      </c>
      <c r="R168" s="0" t="str">
        <f aca="false">INDEX(Customers!$F$2:$F$101,MATCH(D168,Customers!$A$2:$A$101,0))</f>
        <v>East</v>
      </c>
      <c r="S168" s="0" t="str">
        <f aca="false">INDEX(Customers!$C$2:$C$101,MATCH(D168,Customers!$A$2:$A$101,0))</f>
        <v>Consumer</v>
      </c>
      <c r="T168" s="0" t="str">
        <f aca="false">INDEX(Customers!$D$2:$D$101,MATCH(D168,Customers!$A$2:$A$101,0))</f>
        <v>Bhubaneswar</v>
      </c>
    </row>
    <row r="169" customFormat="false" ht="15" hidden="false" customHeight="false" outlineLevel="0" collapsed="false">
      <c r="A169" s="0" t="s">
        <v>424</v>
      </c>
      <c r="B169" s="37" t="n">
        <v>45935</v>
      </c>
      <c r="C169" s="37" t="n">
        <v>45936</v>
      </c>
      <c r="D169" s="38" t="s">
        <v>425</v>
      </c>
      <c r="E169" s="38" t="s">
        <v>123</v>
      </c>
      <c r="F169" s="38" t="s">
        <v>101</v>
      </c>
      <c r="G169" s="38" t="s">
        <v>173</v>
      </c>
      <c r="H169" s="0" t="n">
        <v>4</v>
      </c>
      <c r="I169" s="39" t="n">
        <v>2200</v>
      </c>
      <c r="J169" s="40" t="n">
        <v>0.2</v>
      </c>
      <c r="K169" s="39" t="n">
        <v>7040</v>
      </c>
      <c r="L169" s="39" t="n">
        <v>5200</v>
      </c>
      <c r="M169" s="39" t="n">
        <v>1840</v>
      </c>
      <c r="N169" s="38" t="s">
        <v>66</v>
      </c>
      <c r="O169" s="38" t="n">
        <f aca="false">YEAR(B169)</f>
        <v>2025</v>
      </c>
      <c r="P169" s="41" t="n">
        <f aca="false">DATE(YEAR(B169),MONTH(B169),1)</f>
        <v>45931</v>
      </c>
      <c r="Q169" s="0" t="str">
        <f aca="false">INDEX(Products!$C$2:$C$16,MATCH(E169,Products!$A$2:$A$16,0))</f>
        <v>Technology</v>
      </c>
      <c r="R169" s="0" t="str">
        <f aca="false">INDEX(Customers!$F$2:$F$101,MATCH(D169,Customers!$A$2:$A$101,0))</f>
        <v>North</v>
      </c>
      <c r="S169" s="0" t="str">
        <f aca="false">INDEX(Customers!$C$2:$C$101,MATCH(D169,Customers!$A$2:$A$101,0))</f>
        <v>Small Business</v>
      </c>
      <c r="T169" s="0" t="str">
        <f aca="false">INDEX(Customers!$D$2:$D$101,MATCH(D169,Customers!$A$2:$A$101,0))</f>
        <v>Lucknow</v>
      </c>
    </row>
    <row r="170" customFormat="false" ht="15" hidden="false" customHeight="false" outlineLevel="0" collapsed="false">
      <c r="A170" s="0" t="s">
        <v>426</v>
      </c>
      <c r="B170" s="37" t="n">
        <v>46125</v>
      </c>
      <c r="C170" s="37" t="n">
        <v>46131</v>
      </c>
      <c r="D170" s="38" t="s">
        <v>204</v>
      </c>
      <c r="E170" s="38" t="s">
        <v>118</v>
      </c>
      <c r="F170" s="38" t="s">
        <v>102</v>
      </c>
      <c r="G170" s="38" t="s">
        <v>185</v>
      </c>
      <c r="H170" s="0" t="n">
        <v>1</v>
      </c>
      <c r="I170" s="39" t="n">
        <v>9000</v>
      </c>
      <c r="J170" s="40" t="n">
        <v>0.25</v>
      </c>
      <c r="K170" s="39" t="n">
        <v>6750</v>
      </c>
      <c r="L170" s="39" t="n">
        <v>6500</v>
      </c>
      <c r="M170" s="39" t="n">
        <v>250</v>
      </c>
      <c r="N170" s="38" t="s">
        <v>147</v>
      </c>
      <c r="O170" s="38" t="n">
        <f aca="false">YEAR(B170)</f>
        <v>2026</v>
      </c>
      <c r="P170" s="41" t="n">
        <f aca="false">DATE(YEAR(B170),MONTH(B170),1)</f>
        <v>46113</v>
      </c>
      <c r="Q170" s="0" t="str">
        <f aca="false">INDEX(Products!$C$2:$C$16,MATCH(E170,Products!$A$2:$A$16,0))</f>
        <v>Furniture</v>
      </c>
      <c r="R170" s="0" t="str">
        <f aca="false">INDEX(Customers!$F$2:$F$101,MATCH(D170,Customers!$A$2:$A$101,0))</f>
        <v>South</v>
      </c>
      <c r="S170" s="0" t="str">
        <f aca="false">INDEX(Customers!$C$2:$C$101,MATCH(D170,Customers!$A$2:$A$101,0))</f>
        <v>Small Business</v>
      </c>
      <c r="T170" s="0" t="str">
        <f aca="false">INDEX(Customers!$D$2:$D$101,MATCH(D170,Customers!$A$2:$A$101,0))</f>
        <v>Bengaluru</v>
      </c>
    </row>
    <row r="171" customFormat="false" ht="15" hidden="false" customHeight="false" outlineLevel="0" collapsed="false">
      <c r="A171" s="0" t="s">
        <v>427</v>
      </c>
      <c r="B171" s="37" t="n">
        <v>45478</v>
      </c>
      <c r="C171" s="37" t="n">
        <v>45485</v>
      </c>
      <c r="D171" s="38" t="s">
        <v>249</v>
      </c>
      <c r="E171" s="38" t="s">
        <v>123</v>
      </c>
      <c r="F171" s="38" t="s">
        <v>101</v>
      </c>
      <c r="G171" s="38" t="s">
        <v>178</v>
      </c>
      <c r="H171" s="0" t="n">
        <v>1</v>
      </c>
      <c r="I171" s="39" t="n">
        <v>2200</v>
      </c>
      <c r="J171" s="40" t="n">
        <v>0.2</v>
      </c>
      <c r="K171" s="39" t="n">
        <v>1760</v>
      </c>
      <c r="L171" s="39" t="n">
        <v>1300</v>
      </c>
      <c r="M171" s="39" t="n">
        <v>460</v>
      </c>
      <c r="N171" s="38" t="s">
        <v>66</v>
      </c>
      <c r="O171" s="38" t="n">
        <f aca="false">YEAR(B171)</f>
        <v>2024</v>
      </c>
      <c r="P171" s="41" t="n">
        <f aca="false">DATE(YEAR(B171),MONTH(B171),1)</f>
        <v>45474</v>
      </c>
      <c r="Q171" s="0" t="str">
        <f aca="false">INDEX(Products!$C$2:$C$16,MATCH(E171,Products!$A$2:$A$16,0))</f>
        <v>Technology</v>
      </c>
      <c r="R171" s="0" t="str">
        <f aca="false">INDEX(Customers!$F$2:$F$101,MATCH(D171,Customers!$A$2:$A$101,0))</f>
        <v>East</v>
      </c>
      <c r="S171" s="0" t="str">
        <f aca="false">INDEX(Customers!$C$2:$C$101,MATCH(D171,Customers!$A$2:$A$101,0))</f>
        <v>Consumer</v>
      </c>
      <c r="T171" s="0" t="str">
        <f aca="false">INDEX(Customers!$D$2:$D$101,MATCH(D171,Customers!$A$2:$A$101,0))</f>
        <v>Kolkata</v>
      </c>
    </row>
    <row r="172" customFormat="false" ht="15" hidden="false" customHeight="false" outlineLevel="0" collapsed="false">
      <c r="A172" s="0" t="s">
        <v>428</v>
      </c>
      <c r="B172" s="37" t="n">
        <v>45496</v>
      </c>
      <c r="C172" s="37" t="n">
        <v>45497</v>
      </c>
      <c r="D172" s="38" t="s">
        <v>302</v>
      </c>
      <c r="E172" s="38" t="s">
        <v>125</v>
      </c>
      <c r="F172" s="38" t="s">
        <v>102</v>
      </c>
      <c r="G172" s="38" t="s">
        <v>185</v>
      </c>
      <c r="H172" s="0" t="n">
        <v>2</v>
      </c>
      <c r="I172" s="39" t="n">
        <v>600</v>
      </c>
      <c r="J172" s="40" t="n">
        <v>0.05</v>
      </c>
      <c r="K172" s="39" t="n">
        <v>1140</v>
      </c>
      <c r="L172" s="39" t="n">
        <v>700</v>
      </c>
      <c r="M172" s="39" t="n">
        <v>440</v>
      </c>
      <c r="N172" s="38" t="s">
        <v>147</v>
      </c>
      <c r="O172" s="38" t="n">
        <f aca="false">YEAR(B172)</f>
        <v>2024</v>
      </c>
      <c r="P172" s="41" t="n">
        <f aca="false">DATE(YEAR(B172),MONTH(B172),1)</f>
        <v>45474</v>
      </c>
      <c r="Q172" s="0" t="str">
        <f aca="false">INDEX(Products!$C$2:$C$16,MATCH(E172,Products!$A$2:$A$16,0))</f>
        <v>Office Supplies</v>
      </c>
      <c r="R172" s="0" t="str">
        <f aca="false">INDEX(Customers!$F$2:$F$101,MATCH(D172,Customers!$A$2:$A$101,0))</f>
        <v>East</v>
      </c>
      <c r="S172" s="0" t="str">
        <f aca="false">INDEX(Customers!$C$2:$C$101,MATCH(D172,Customers!$A$2:$A$101,0))</f>
        <v>Consumer</v>
      </c>
      <c r="T172" s="0" t="str">
        <f aca="false">INDEX(Customers!$D$2:$D$101,MATCH(D172,Customers!$A$2:$A$101,0))</f>
        <v>Bhubaneswar</v>
      </c>
    </row>
    <row r="173" customFormat="false" ht="15" hidden="false" customHeight="false" outlineLevel="0" collapsed="false">
      <c r="A173" s="0" t="s">
        <v>429</v>
      </c>
      <c r="B173" s="37" t="n">
        <v>45551</v>
      </c>
      <c r="C173" s="37" t="n">
        <v>45552</v>
      </c>
      <c r="D173" s="38" t="s">
        <v>204</v>
      </c>
      <c r="E173" s="38" t="s">
        <v>120</v>
      </c>
      <c r="F173" s="38" t="s">
        <v>101</v>
      </c>
      <c r="G173" s="38" t="s">
        <v>170</v>
      </c>
      <c r="H173" s="0" t="n">
        <v>4</v>
      </c>
      <c r="I173" s="39" t="n">
        <v>400</v>
      </c>
      <c r="J173" s="40" t="n">
        <v>0</v>
      </c>
      <c r="K173" s="39" t="n">
        <v>1600</v>
      </c>
      <c r="L173" s="39" t="n">
        <v>1040</v>
      </c>
      <c r="M173" s="39" t="n">
        <v>560</v>
      </c>
      <c r="N173" s="38" t="s">
        <v>66</v>
      </c>
      <c r="O173" s="38" t="n">
        <f aca="false">YEAR(B173)</f>
        <v>2024</v>
      </c>
      <c r="P173" s="41" t="n">
        <f aca="false">DATE(YEAR(B173),MONTH(B173),1)</f>
        <v>45536</v>
      </c>
      <c r="Q173" s="0" t="str">
        <f aca="false">INDEX(Products!$C$2:$C$16,MATCH(E173,Products!$A$2:$A$16,0))</f>
        <v>Office Supplies</v>
      </c>
      <c r="R173" s="0" t="str">
        <f aca="false">INDEX(Customers!$F$2:$F$101,MATCH(D173,Customers!$A$2:$A$101,0))</f>
        <v>South</v>
      </c>
      <c r="S173" s="0" t="str">
        <f aca="false">INDEX(Customers!$C$2:$C$101,MATCH(D173,Customers!$A$2:$A$101,0))</f>
        <v>Small Business</v>
      </c>
      <c r="T173" s="0" t="str">
        <f aca="false">INDEX(Customers!$D$2:$D$101,MATCH(D173,Customers!$A$2:$A$101,0))</f>
        <v>Bengaluru</v>
      </c>
    </row>
    <row r="174" customFormat="false" ht="15" hidden="false" customHeight="false" outlineLevel="0" collapsed="false">
      <c r="A174" s="0" t="s">
        <v>430</v>
      </c>
      <c r="B174" s="37" t="n">
        <v>45963</v>
      </c>
      <c r="C174" s="37" t="n">
        <v>45966</v>
      </c>
      <c r="D174" s="38" t="s">
        <v>278</v>
      </c>
      <c r="E174" s="38" t="s">
        <v>126</v>
      </c>
      <c r="F174" s="38" t="s">
        <v>101</v>
      </c>
      <c r="G174" s="38" t="s">
        <v>185</v>
      </c>
      <c r="H174" s="0" t="n">
        <v>1</v>
      </c>
      <c r="I174" s="39" t="n">
        <v>1200</v>
      </c>
      <c r="J174" s="40" t="n">
        <v>0.25</v>
      </c>
      <c r="K174" s="39" t="n">
        <v>900</v>
      </c>
      <c r="L174" s="39" t="n">
        <v>700</v>
      </c>
      <c r="M174" s="39" t="n">
        <v>200</v>
      </c>
      <c r="N174" s="38" t="s">
        <v>66</v>
      </c>
      <c r="O174" s="38" t="n">
        <f aca="false">YEAR(B174)</f>
        <v>2025</v>
      </c>
      <c r="P174" s="41" t="n">
        <f aca="false">DATE(YEAR(B174),MONTH(B174),1)</f>
        <v>45962</v>
      </c>
      <c r="Q174" s="0" t="str">
        <f aca="false">INDEX(Products!$C$2:$C$16,MATCH(E174,Products!$A$2:$A$16,0))</f>
        <v>Furniture</v>
      </c>
      <c r="R174" s="0" t="str">
        <f aca="false">INDEX(Customers!$F$2:$F$101,MATCH(D174,Customers!$A$2:$A$101,0))</f>
        <v>South</v>
      </c>
      <c r="S174" s="0" t="str">
        <f aca="false">INDEX(Customers!$C$2:$C$101,MATCH(D174,Customers!$A$2:$A$101,0))</f>
        <v>Consumer</v>
      </c>
      <c r="T174" s="0" t="str">
        <f aca="false">INDEX(Customers!$D$2:$D$101,MATCH(D174,Customers!$A$2:$A$101,0))</f>
        <v>Hyderabad</v>
      </c>
    </row>
    <row r="175" customFormat="false" ht="15" hidden="false" customHeight="false" outlineLevel="0" collapsed="false">
      <c r="A175" s="0" t="s">
        <v>431</v>
      </c>
      <c r="B175" s="37" t="n">
        <v>46208</v>
      </c>
      <c r="C175" s="37" t="n">
        <v>46212</v>
      </c>
      <c r="D175" s="38" t="s">
        <v>242</v>
      </c>
      <c r="E175" s="38" t="s">
        <v>120</v>
      </c>
      <c r="F175" s="38" t="s">
        <v>101</v>
      </c>
      <c r="G175" s="38" t="s">
        <v>185</v>
      </c>
      <c r="H175" s="0" t="n">
        <v>2</v>
      </c>
      <c r="I175" s="39" t="n">
        <v>400</v>
      </c>
      <c r="J175" s="40" t="n">
        <v>0</v>
      </c>
      <c r="K175" s="39" t="n">
        <v>800</v>
      </c>
      <c r="L175" s="39" t="n">
        <v>520</v>
      </c>
      <c r="M175" s="39" t="n">
        <v>280</v>
      </c>
      <c r="N175" s="38" t="s">
        <v>66</v>
      </c>
      <c r="O175" s="38" t="n">
        <f aca="false">YEAR(B175)</f>
        <v>2026</v>
      </c>
      <c r="P175" s="41" t="n">
        <f aca="false">DATE(YEAR(B175),MONTH(B175),1)</f>
        <v>46204</v>
      </c>
      <c r="Q175" s="0" t="str">
        <f aca="false">INDEX(Products!$C$2:$C$16,MATCH(E175,Products!$A$2:$A$16,0))</f>
        <v>Office Supplies</v>
      </c>
      <c r="R175" s="0" t="str">
        <f aca="false">INDEX(Customers!$F$2:$F$101,MATCH(D175,Customers!$A$2:$A$101,0))</f>
        <v>North</v>
      </c>
      <c r="S175" s="0" t="str">
        <f aca="false">INDEX(Customers!$C$2:$C$101,MATCH(D175,Customers!$A$2:$A$101,0))</f>
        <v>Small Business</v>
      </c>
      <c r="T175" s="0" t="str">
        <f aca="false">INDEX(Customers!$D$2:$D$101,MATCH(D175,Customers!$A$2:$A$101,0))</f>
        <v>Gurugram</v>
      </c>
    </row>
    <row r="176" customFormat="false" ht="15" hidden="false" customHeight="false" outlineLevel="0" collapsed="false">
      <c r="A176" s="0" t="s">
        <v>432</v>
      </c>
      <c r="B176" s="37" t="n">
        <v>46112</v>
      </c>
      <c r="C176" s="37" t="n">
        <v>46113</v>
      </c>
      <c r="D176" s="38" t="s">
        <v>433</v>
      </c>
      <c r="E176" s="38" t="s">
        <v>117</v>
      </c>
      <c r="F176" s="38" t="s">
        <v>101</v>
      </c>
      <c r="G176" s="38" t="s">
        <v>188</v>
      </c>
      <c r="H176" s="0" t="n">
        <v>4</v>
      </c>
      <c r="I176" s="39" t="n">
        <v>6500</v>
      </c>
      <c r="J176" s="40" t="n">
        <v>0</v>
      </c>
      <c r="K176" s="39" t="n">
        <v>26000</v>
      </c>
      <c r="L176" s="39" t="n">
        <v>16800</v>
      </c>
      <c r="M176" s="39" t="n">
        <v>9200</v>
      </c>
      <c r="N176" s="38" t="s">
        <v>147</v>
      </c>
      <c r="O176" s="38" t="n">
        <f aca="false">YEAR(B176)</f>
        <v>2026</v>
      </c>
      <c r="P176" s="41" t="n">
        <f aca="false">DATE(YEAR(B176),MONTH(B176),1)</f>
        <v>46082</v>
      </c>
      <c r="Q176" s="0" t="str">
        <f aca="false">INDEX(Products!$C$2:$C$16,MATCH(E176,Products!$A$2:$A$16,0))</f>
        <v>Furniture</v>
      </c>
      <c r="R176" s="0" t="str">
        <f aca="false">INDEX(Customers!$F$2:$F$101,MATCH(D176,Customers!$A$2:$A$101,0))</f>
        <v>North</v>
      </c>
      <c r="S176" s="0" t="str">
        <f aca="false">INDEX(Customers!$C$2:$C$101,MATCH(D176,Customers!$A$2:$A$101,0))</f>
        <v>Consumer</v>
      </c>
      <c r="T176" s="0" t="str">
        <f aca="false">INDEX(Customers!$D$2:$D$101,MATCH(D176,Customers!$A$2:$A$101,0))</f>
        <v>Delhi</v>
      </c>
    </row>
    <row r="177" customFormat="false" ht="15" hidden="false" customHeight="false" outlineLevel="0" collapsed="false">
      <c r="A177" s="0" t="s">
        <v>434</v>
      </c>
      <c r="B177" s="37" t="n">
        <v>45592</v>
      </c>
      <c r="C177" s="37" t="n">
        <v>45595</v>
      </c>
      <c r="D177" s="38" t="s">
        <v>435</v>
      </c>
      <c r="E177" s="38" t="s">
        <v>121</v>
      </c>
      <c r="F177" s="38" t="s">
        <v>102</v>
      </c>
      <c r="G177" s="38" t="s">
        <v>170</v>
      </c>
      <c r="H177" s="0" t="n">
        <v>1</v>
      </c>
      <c r="I177" s="39" t="n">
        <v>180</v>
      </c>
      <c r="J177" s="40" t="n">
        <v>0.05</v>
      </c>
      <c r="K177" s="39" t="n">
        <v>171</v>
      </c>
      <c r="L177" s="39" t="n">
        <v>70</v>
      </c>
      <c r="M177" s="39" t="n">
        <v>101</v>
      </c>
      <c r="N177" s="38" t="s">
        <v>66</v>
      </c>
      <c r="O177" s="38" t="n">
        <f aca="false">YEAR(B177)</f>
        <v>2024</v>
      </c>
      <c r="P177" s="41" t="n">
        <f aca="false">DATE(YEAR(B177),MONTH(B177),1)</f>
        <v>45566</v>
      </c>
      <c r="Q177" s="0" t="str">
        <f aca="false">INDEX(Products!$C$2:$C$16,MATCH(E177,Products!$A$2:$A$16,0))</f>
        <v>Office Supplies</v>
      </c>
      <c r="R177" s="0" t="str">
        <f aca="false">INDEX(Customers!$F$2:$F$101,MATCH(D177,Customers!$A$2:$A$101,0))</f>
        <v>South</v>
      </c>
      <c r="S177" s="0" t="str">
        <f aca="false">INDEX(Customers!$C$2:$C$101,MATCH(D177,Customers!$A$2:$A$101,0))</f>
        <v>Small Business</v>
      </c>
      <c r="T177" s="0" t="str">
        <f aca="false">INDEX(Customers!$D$2:$D$101,MATCH(D177,Customers!$A$2:$A$101,0))</f>
        <v>Chennai</v>
      </c>
    </row>
    <row r="178" customFormat="false" ht="15" hidden="false" customHeight="false" outlineLevel="0" collapsed="false">
      <c r="A178" s="0" t="s">
        <v>436</v>
      </c>
      <c r="B178" s="37" t="n">
        <v>45728</v>
      </c>
      <c r="C178" s="37" t="n">
        <v>45730</v>
      </c>
      <c r="D178" s="38" t="s">
        <v>350</v>
      </c>
      <c r="E178" s="38" t="s">
        <v>124</v>
      </c>
      <c r="F178" s="38" t="s">
        <v>101</v>
      </c>
      <c r="G178" s="38" t="s">
        <v>178</v>
      </c>
      <c r="H178" s="0" t="n">
        <v>3</v>
      </c>
      <c r="I178" s="39" t="n">
        <v>3000</v>
      </c>
      <c r="J178" s="40" t="n">
        <v>0.05</v>
      </c>
      <c r="K178" s="39" t="n">
        <v>8550</v>
      </c>
      <c r="L178" s="39" t="n">
        <v>5700</v>
      </c>
      <c r="M178" s="39" t="n">
        <v>2850</v>
      </c>
      <c r="N178" s="38" t="s">
        <v>66</v>
      </c>
      <c r="O178" s="38" t="n">
        <f aca="false">YEAR(B178)</f>
        <v>2025</v>
      </c>
      <c r="P178" s="41" t="n">
        <f aca="false">DATE(YEAR(B178),MONTH(B178),1)</f>
        <v>45717</v>
      </c>
      <c r="Q178" s="0" t="str">
        <f aca="false">INDEX(Products!$C$2:$C$16,MATCH(E178,Products!$A$2:$A$16,0))</f>
        <v>Technology</v>
      </c>
      <c r="R178" s="0" t="str">
        <f aca="false">INDEX(Customers!$F$2:$F$101,MATCH(D178,Customers!$A$2:$A$101,0))</f>
        <v>South</v>
      </c>
      <c r="S178" s="0" t="str">
        <f aca="false">INDEX(Customers!$C$2:$C$101,MATCH(D178,Customers!$A$2:$A$101,0))</f>
        <v>Consumer</v>
      </c>
      <c r="T178" s="0" t="str">
        <f aca="false">INDEX(Customers!$D$2:$D$101,MATCH(D178,Customers!$A$2:$A$101,0))</f>
        <v>Chennai</v>
      </c>
    </row>
    <row r="179" customFormat="false" ht="15" hidden="false" customHeight="false" outlineLevel="0" collapsed="false">
      <c r="A179" s="0" t="s">
        <v>437</v>
      </c>
      <c r="B179" s="37" t="n">
        <v>45737</v>
      </c>
      <c r="C179" s="37" t="n">
        <v>45740</v>
      </c>
      <c r="D179" s="38" t="s">
        <v>202</v>
      </c>
      <c r="E179" s="38" t="s">
        <v>122</v>
      </c>
      <c r="F179" s="38" t="s">
        <v>100</v>
      </c>
      <c r="G179" s="38" t="s">
        <v>178</v>
      </c>
      <c r="H179" s="0" t="n">
        <v>3</v>
      </c>
      <c r="I179" s="39" t="n">
        <v>5500</v>
      </c>
      <c r="J179" s="40" t="n">
        <v>0.25</v>
      </c>
      <c r="K179" s="39" t="n">
        <v>12375</v>
      </c>
      <c r="L179" s="39" t="n">
        <v>11100</v>
      </c>
      <c r="M179" s="39" t="n">
        <v>1275</v>
      </c>
      <c r="N179" s="38" t="s">
        <v>66</v>
      </c>
      <c r="O179" s="38" t="n">
        <f aca="false">YEAR(B179)</f>
        <v>2025</v>
      </c>
      <c r="P179" s="41" t="n">
        <f aca="false">DATE(YEAR(B179),MONTH(B179),1)</f>
        <v>45717</v>
      </c>
      <c r="Q179" s="0" t="str">
        <f aca="false">INDEX(Products!$C$2:$C$16,MATCH(E179,Products!$A$2:$A$16,0))</f>
        <v>Furniture</v>
      </c>
      <c r="R179" s="0" t="str">
        <f aca="false">INDEX(Customers!$F$2:$F$101,MATCH(D179,Customers!$A$2:$A$101,0))</f>
        <v>South</v>
      </c>
      <c r="S179" s="0" t="str">
        <f aca="false">INDEX(Customers!$C$2:$C$101,MATCH(D179,Customers!$A$2:$A$101,0))</f>
        <v>Corporate</v>
      </c>
      <c r="T179" s="0" t="str">
        <f aca="false">INDEX(Customers!$D$2:$D$101,MATCH(D179,Customers!$A$2:$A$101,0))</f>
        <v>Hyderabad</v>
      </c>
    </row>
    <row r="180" customFormat="false" ht="15" hidden="false" customHeight="false" outlineLevel="0" collapsed="false">
      <c r="A180" s="0" t="s">
        <v>438</v>
      </c>
      <c r="B180" s="37" t="n">
        <v>45817</v>
      </c>
      <c r="C180" s="37" t="n">
        <v>45824</v>
      </c>
      <c r="D180" s="38" t="s">
        <v>251</v>
      </c>
      <c r="E180" s="38" t="s">
        <v>118</v>
      </c>
      <c r="F180" s="38" t="s">
        <v>100</v>
      </c>
      <c r="G180" s="38" t="s">
        <v>173</v>
      </c>
      <c r="H180" s="0" t="n">
        <v>4</v>
      </c>
      <c r="I180" s="39" t="n">
        <v>9000</v>
      </c>
      <c r="J180" s="40" t="n">
        <v>0</v>
      </c>
      <c r="K180" s="39" t="n">
        <v>36000</v>
      </c>
      <c r="L180" s="39" t="n">
        <v>26000</v>
      </c>
      <c r="M180" s="39" t="n">
        <v>10000</v>
      </c>
      <c r="N180" s="38" t="s">
        <v>66</v>
      </c>
      <c r="O180" s="38" t="n">
        <f aca="false">YEAR(B180)</f>
        <v>2025</v>
      </c>
      <c r="P180" s="41" t="n">
        <f aca="false">DATE(YEAR(B180),MONTH(B180),1)</f>
        <v>45809</v>
      </c>
      <c r="Q180" s="0" t="str">
        <f aca="false">INDEX(Products!$C$2:$C$16,MATCH(E180,Products!$A$2:$A$16,0))</f>
        <v>Furniture</v>
      </c>
      <c r="R180" s="0" t="str">
        <f aca="false">INDEX(Customers!$F$2:$F$101,MATCH(D180,Customers!$A$2:$A$101,0))</f>
        <v>South</v>
      </c>
      <c r="S180" s="0" t="str">
        <f aca="false">INDEX(Customers!$C$2:$C$101,MATCH(D180,Customers!$A$2:$A$101,0))</f>
        <v>Corporate</v>
      </c>
      <c r="T180" s="0" t="str">
        <f aca="false">INDEX(Customers!$D$2:$D$101,MATCH(D180,Customers!$A$2:$A$101,0))</f>
        <v>Bengaluru</v>
      </c>
    </row>
    <row r="181" customFormat="false" ht="15" hidden="false" customHeight="false" outlineLevel="0" collapsed="false">
      <c r="A181" s="0" t="s">
        <v>439</v>
      </c>
      <c r="B181" s="37" t="n">
        <v>45740</v>
      </c>
      <c r="C181" s="37" t="n">
        <v>45741</v>
      </c>
      <c r="D181" s="38" t="s">
        <v>268</v>
      </c>
      <c r="E181" s="38" t="s">
        <v>125</v>
      </c>
      <c r="F181" s="38" t="s">
        <v>102</v>
      </c>
      <c r="G181" s="38" t="s">
        <v>170</v>
      </c>
      <c r="H181" s="0" t="n">
        <v>1</v>
      </c>
      <c r="I181" s="39" t="n">
        <v>600</v>
      </c>
      <c r="J181" s="40" t="n">
        <v>0</v>
      </c>
      <c r="K181" s="39" t="n">
        <v>600</v>
      </c>
      <c r="L181" s="39" t="n">
        <v>350</v>
      </c>
      <c r="M181" s="39" t="n">
        <v>250</v>
      </c>
      <c r="N181" s="38" t="s">
        <v>66</v>
      </c>
      <c r="O181" s="38" t="n">
        <f aca="false">YEAR(B181)</f>
        <v>2025</v>
      </c>
      <c r="P181" s="41" t="n">
        <f aca="false">DATE(YEAR(B181),MONTH(B181),1)</f>
        <v>45717</v>
      </c>
      <c r="Q181" s="0" t="str">
        <f aca="false">INDEX(Products!$C$2:$C$16,MATCH(E181,Products!$A$2:$A$16,0))</f>
        <v>Office Supplies</v>
      </c>
      <c r="R181" s="0" t="str">
        <f aca="false">INDEX(Customers!$F$2:$F$101,MATCH(D181,Customers!$A$2:$A$101,0))</f>
        <v>South</v>
      </c>
      <c r="S181" s="0" t="str">
        <f aca="false">INDEX(Customers!$C$2:$C$101,MATCH(D181,Customers!$A$2:$A$101,0))</f>
        <v>Consumer</v>
      </c>
      <c r="T181" s="0" t="str">
        <f aca="false">INDEX(Customers!$D$2:$D$101,MATCH(D181,Customers!$A$2:$A$101,0))</f>
        <v>Bengaluru</v>
      </c>
    </row>
    <row r="182" customFormat="false" ht="15" hidden="false" customHeight="false" outlineLevel="0" collapsed="false">
      <c r="A182" s="0" t="s">
        <v>440</v>
      </c>
      <c r="B182" s="37" t="n">
        <v>45911</v>
      </c>
      <c r="C182" s="37" t="n">
        <v>45913</v>
      </c>
      <c r="D182" s="38" t="s">
        <v>224</v>
      </c>
      <c r="E182" s="38" t="s">
        <v>113</v>
      </c>
      <c r="F182" s="38" t="s">
        <v>101</v>
      </c>
      <c r="G182" s="38" t="s">
        <v>185</v>
      </c>
      <c r="H182" s="0" t="n">
        <v>3</v>
      </c>
      <c r="I182" s="39" t="n">
        <v>45000</v>
      </c>
      <c r="J182" s="40" t="n">
        <v>0.05</v>
      </c>
      <c r="K182" s="39" t="n">
        <v>128250</v>
      </c>
      <c r="L182" s="39" t="n">
        <v>108000</v>
      </c>
      <c r="M182" s="39" t="n">
        <v>20250</v>
      </c>
      <c r="N182" s="38" t="s">
        <v>66</v>
      </c>
      <c r="O182" s="38" t="n">
        <f aca="false">YEAR(B182)</f>
        <v>2025</v>
      </c>
      <c r="P182" s="41" t="n">
        <f aca="false">DATE(YEAR(B182),MONTH(B182),1)</f>
        <v>45901</v>
      </c>
      <c r="Q182" s="0" t="str">
        <f aca="false">INDEX(Products!$C$2:$C$16,MATCH(E182,Products!$A$2:$A$16,0))</f>
        <v>Technology</v>
      </c>
      <c r="R182" s="0" t="str">
        <f aca="false">INDEX(Customers!$F$2:$F$101,MATCH(D182,Customers!$A$2:$A$101,0))</f>
        <v>North</v>
      </c>
      <c r="S182" s="0" t="str">
        <f aca="false">INDEX(Customers!$C$2:$C$101,MATCH(D182,Customers!$A$2:$A$101,0))</f>
        <v>Small Business</v>
      </c>
      <c r="T182" s="0" t="str">
        <f aca="false">INDEX(Customers!$D$2:$D$101,MATCH(D182,Customers!$A$2:$A$101,0))</f>
        <v>Jaipur</v>
      </c>
    </row>
    <row r="183" customFormat="false" ht="15" hidden="false" customHeight="false" outlineLevel="0" collapsed="false">
      <c r="A183" s="0" t="s">
        <v>441</v>
      </c>
      <c r="B183" s="37" t="n">
        <v>45834</v>
      </c>
      <c r="C183" s="37" t="n">
        <v>45837</v>
      </c>
      <c r="D183" s="38" t="s">
        <v>409</v>
      </c>
      <c r="E183" s="38" t="s">
        <v>115</v>
      </c>
      <c r="F183" s="38" t="s">
        <v>101</v>
      </c>
      <c r="G183" s="38" t="s">
        <v>173</v>
      </c>
      <c r="H183" s="0" t="n">
        <v>2</v>
      </c>
      <c r="I183" s="39" t="n">
        <v>1500</v>
      </c>
      <c r="J183" s="40" t="n">
        <v>0.2</v>
      </c>
      <c r="K183" s="39" t="n">
        <v>2400</v>
      </c>
      <c r="L183" s="39" t="n">
        <v>1700</v>
      </c>
      <c r="M183" s="39" t="n">
        <v>700</v>
      </c>
      <c r="N183" s="38" t="s">
        <v>146</v>
      </c>
      <c r="O183" s="38" t="n">
        <f aca="false">YEAR(B183)</f>
        <v>2025</v>
      </c>
      <c r="P183" s="41" t="n">
        <f aca="false">DATE(YEAR(B183),MONTH(B183),1)</f>
        <v>45809</v>
      </c>
      <c r="Q183" s="0" t="str">
        <f aca="false">INDEX(Products!$C$2:$C$16,MATCH(E183,Products!$A$2:$A$16,0))</f>
        <v>Technology</v>
      </c>
      <c r="R183" s="0" t="str">
        <f aca="false">INDEX(Customers!$F$2:$F$101,MATCH(D183,Customers!$A$2:$A$101,0))</f>
        <v>East</v>
      </c>
      <c r="S183" s="0" t="str">
        <f aca="false">INDEX(Customers!$C$2:$C$101,MATCH(D183,Customers!$A$2:$A$101,0))</f>
        <v>Small Business</v>
      </c>
      <c r="T183" s="0" t="str">
        <f aca="false">INDEX(Customers!$D$2:$D$101,MATCH(D183,Customers!$A$2:$A$101,0))</f>
        <v>Bhubaneswar</v>
      </c>
    </row>
    <row r="184" customFormat="false" ht="15" hidden="false" customHeight="false" outlineLevel="0" collapsed="false">
      <c r="A184" s="0" t="s">
        <v>442</v>
      </c>
      <c r="B184" s="37" t="n">
        <v>45482</v>
      </c>
      <c r="C184" s="37" t="n">
        <v>45486</v>
      </c>
      <c r="D184" s="38" t="s">
        <v>221</v>
      </c>
      <c r="E184" s="38" t="s">
        <v>124</v>
      </c>
      <c r="F184" s="38" t="s">
        <v>100</v>
      </c>
      <c r="G184" s="38" t="s">
        <v>170</v>
      </c>
      <c r="H184" s="0" t="n">
        <v>2</v>
      </c>
      <c r="I184" s="39" t="n">
        <v>3000</v>
      </c>
      <c r="J184" s="40" t="n">
        <v>0.15</v>
      </c>
      <c r="K184" s="39" t="n">
        <v>5100</v>
      </c>
      <c r="L184" s="39" t="n">
        <v>3800</v>
      </c>
      <c r="M184" s="39" t="n">
        <v>1300</v>
      </c>
      <c r="N184" s="38" t="s">
        <v>66</v>
      </c>
      <c r="O184" s="38" t="n">
        <f aca="false">YEAR(B184)</f>
        <v>2024</v>
      </c>
      <c r="P184" s="41" t="n">
        <f aca="false">DATE(YEAR(B184),MONTH(B184),1)</f>
        <v>45474</v>
      </c>
      <c r="Q184" s="0" t="str">
        <f aca="false">INDEX(Products!$C$2:$C$16,MATCH(E184,Products!$A$2:$A$16,0))</f>
        <v>Technology</v>
      </c>
      <c r="R184" s="0" t="str">
        <f aca="false">INDEX(Customers!$F$2:$F$101,MATCH(D184,Customers!$A$2:$A$101,0))</f>
        <v>North</v>
      </c>
      <c r="S184" s="0" t="str">
        <f aca="false">INDEX(Customers!$C$2:$C$101,MATCH(D184,Customers!$A$2:$A$101,0))</f>
        <v>Consumer</v>
      </c>
      <c r="T184" s="0" t="str">
        <f aca="false">INDEX(Customers!$D$2:$D$101,MATCH(D184,Customers!$A$2:$A$101,0))</f>
        <v>Delhi</v>
      </c>
    </row>
    <row r="185" customFormat="false" ht="15" hidden="false" customHeight="false" outlineLevel="0" collapsed="false">
      <c r="A185" s="0" t="s">
        <v>443</v>
      </c>
      <c r="B185" s="37" t="n">
        <v>45511</v>
      </c>
      <c r="C185" s="37" t="n">
        <v>45516</v>
      </c>
      <c r="D185" s="38" t="s">
        <v>397</v>
      </c>
      <c r="E185" s="38" t="s">
        <v>120</v>
      </c>
      <c r="F185" s="38" t="s">
        <v>100</v>
      </c>
      <c r="G185" s="38" t="s">
        <v>178</v>
      </c>
      <c r="H185" s="0" t="n">
        <v>1</v>
      </c>
      <c r="I185" s="39" t="n">
        <v>400</v>
      </c>
      <c r="J185" s="40" t="n">
        <v>0.1</v>
      </c>
      <c r="K185" s="39" t="n">
        <v>360</v>
      </c>
      <c r="L185" s="39" t="n">
        <v>260</v>
      </c>
      <c r="M185" s="39" t="n">
        <v>100</v>
      </c>
      <c r="N185" s="38" t="s">
        <v>66</v>
      </c>
      <c r="O185" s="38" t="n">
        <f aca="false">YEAR(B185)</f>
        <v>2024</v>
      </c>
      <c r="P185" s="41" t="n">
        <f aca="false">DATE(YEAR(B185),MONTH(B185),1)</f>
        <v>45505</v>
      </c>
      <c r="Q185" s="0" t="str">
        <f aca="false">INDEX(Products!$C$2:$C$16,MATCH(E185,Products!$A$2:$A$16,0))</f>
        <v>Office Supplies</v>
      </c>
      <c r="R185" s="0" t="str">
        <f aca="false">INDEX(Customers!$F$2:$F$101,MATCH(D185,Customers!$A$2:$A$101,0))</f>
        <v>West</v>
      </c>
      <c r="S185" s="0" t="str">
        <f aca="false">INDEX(Customers!$C$2:$C$101,MATCH(D185,Customers!$A$2:$A$101,0))</f>
        <v>Consumer</v>
      </c>
      <c r="T185" s="0" t="str">
        <f aca="false">INDEX(Customers!$D$2:$D$101,MATCH(D185,Customers!$A$2:$A$101,0))</f>
        <v>Mumbai</v>
      </c>
    </row>
    <row r="186" customFormat="false" ht="15" hidden="false" customHeight="false" outlineLevel="0" collapsed="false">
      <c r="A186" s="0" t="s">
        <v>444</v>
      </c>
      <c r="B186" s="37" t="n">
        <v>45468</v>
      </c>
      <c r="C186" s="37" t="n">
        <v>45474</v>
      </c>
      <c r="D186" s="38" t="s">
        <v>381</v>
      </c>
      <c r="E186" s="38" t="s">
        <v>120</v>
      </c>
      <c r="F186" s="38" t="s">
        <v>102</v>
      </c>
      <c r="G186" s="38" t="s">
        <v>170</v>
      </c>
      <c r="H186" s="0" t="n">
        <v>2</v>
      </c>
      <c r="I186" s="39" t="n">
        <v>400</v>
      </c>
      <c r="J186" s="40" t="n">
        <v>0</v>
      </c>
      <c r="K186" s="39" t="n">
        <v>800</v>
      </c>
      <c r="L186" s="39" t="n">
        <v>520</v>
      </c>
      <c r="M186" s="39" t="n">
        <v>280</v>
      </c>
      <c r="N186" s="38" t="s">
        <v>66</v>
      </c>
      <c r="O186" s="38" t="n">
        <f aca="false">YEAR(B186)</f>
        <v>2024</v>
      </c>
      <c r="P186" s="41" t="n">
        <f aca="false">DATE(YEAR(B186),MONTH(B186),1)</f>
        <v>45444</v>
      </c>
      <c r="Q186" s="0" t="str">
        <f aca="false">INDEX(Products!$C$2:$C$16,MATCH(E186,Products!$A$2:$A$16,0))</f>
        <v>Office Supplies</v>
      </c>
      <c r="R186" s="0" t="str">
        <f aca="false">INDEX(Customers!$F$2:$F$101,MATCH(D186,Customers!$A$2:$A$101,0))</f>
        <v>West</v>
      </c>
      <c r="S186" s="0" t="str">
        <f aca="false">INDEX(Customers!$C$2:$C$101,MATCH(D186,Customers!$A$2:$A$101,0))</f>
        <v>Consumer</v>
      </c>
      <c r="T186" s="0" t="str">
        <f aca="false">INDEX(Customers!$D$2:$D$101,MATCH(D186,Customers!$A$2:$A$101,0))</f>
        <v>Pune</v>
      </c>
    </row>
    <row r="187" customFormat="false" ht="15" hidden="false" customHeight="false" outlineLevel="0" collapsed="false">
      <c r="A187" s="0" t="s">
        <v>445</v>
      </c>
      <c r="B187" s="37" t="n">
        <v>45855</v>
      </c>
      <c r="C187" s="37" t="n">
        <v>45860</v>
      </c>
      <c r="D187" s="38" t="s">
        <v>397</v>
      </c>
      <c r="E187" s="38" t="s">
        <v>114</v>
      </c>
      <c r="F187" s="38" t="s">
        <v>100</v>
      </c>
      <c r="G187" s="38" t="s">
        <v>173</v>
      </c>
      <c r="H187" s="0" t="n">
        <v>1</v>
      </c>
      <c r="I187" s="39" t="n">
        <v>800</v>
      </c>
      <c r="J187" s="40" t="n">
        <v>0.05</v>
      </c>
      <c r="K187" s="39" t="n">
        <v>760</v>
      </c>
      <c r="L187" s="39" t="n">
        <v>420</v>
      </c>
      <c r="M187" s="39" t="n">
        <v>340</v>
      </c>
      <c r="N187" s="38" t="s">
        <v>66</v>
      </c>
      <c r="O187" s="38" t="n">
        <f aca="false">YEAR(B187)</f>
        <v>2025</v>
      </c>
      <c r="P187" s="41" t="n">
        <f aca="false">DATE(YEAR(B187),MONTH(B187),1)</f>
        <v>45839</v>
      </c>
      <c r="Q187" s="0" t="str">
        <f aca="false">INDEX(Products!$C$2:$C$16,MATCH(E187,Products!$A$2:$A$16,0))</f>
        <v>Technology</v>
      </c>
      <c r="R187" s="0" t="str">
        <f aca="false">INDEX(Customers!$F$2:$F$101,MATCH(D187,Customers!$A$2:$A$101,0))</f>
        <v>West</v>
      </c>
      <c r="S187" s="0" t="str">
        <f aca="false">INDEX(Customers!$C$2:$C$101,MATCH(D187,Customers!$A$2:$A$101,0))</f>
        <v>Consumer</v>
      </c>
      <c r="T187" s="0" t="str">
        <f aca="false">INDEX(Customers!$D$2:$D$101,MATCH(D187,Customers!$A$2:$A$101,0))</f>
        <v>Mumbai</v>
      </c>
    </row>
    <row r="188" customFormat="false" ht="15" hidden="false" customHeight="false" outlineLevel="0" collapsed="false">
      <c r="A188" s="0" t="s">
        <v>446</v>
      </c>
      <c r="B188" s="37" t="n">
        <v>45416</v>
      </c>
      <c r="C188" s="37" t="n">
        <v>45418</v>
      </c>
      <c r="D188" s="38" t="s">
        <v>447</v>
      </c>
      <c r="E188" s="38" t="s">
        <v>116</v>
      </c>
      <c r="F188" s="38" t="s">
        <v>101</v>
      </c>
      <c r="G188" s="38" t="s">
        <v>178</v>
      </c>
      <c r="H188" s="0" t="n">
        <v>4</v>
      </c>
      <c r="I188" s="39" t="n">
        <v>12000</v>
      </c>
      <c r="J188" s="40" t="n">
        <v>0</v>
      </c>
      <c r="K188" s="39" t="n">
        <v>48000</v>
      </c>
      <c r="L188" s="39" t="n">
        <v>36000</v>
      </c>
      <c r="M188" s="39" t="n">
        <v>12000</v>
      </c>
      <c r="N188" s="38" t="s">
        <v>66</v>
      </c>
      <c r="O188" s="38" t="n">
        <f aca="false">YEAR(B188)</f>
        <v>2024</v>
      </c>
      <c r="P188" s="41" t="n">
        <f aca="false">DATE(YEAR(B188),MONTH(B188),1)</f>
        <v>45413</v>
      </c>
      <c r="Q188" s="0" t="str">
        <f aca="false">INDEX(Products!$C$2:$C$16,MATCH(E188,Products!$A$2:$A$16,0))</f>
        <v>Technology</v>
      </c>
      <c r="R188" s="0" t="str">
        <f aca="false">INDEX(Customers!$F$2:$F$101,MATCH(D188,Customers!$A$2:$A$101,0))</f>
        <v>North</v>
      </c>
      <c r="S188" s="0" t="str">
        <f aca="false">INDEX(Customers!$C$2:$C$101,MATCH(D188,Customers!$A$2:$A$101,0))</f>
        <v>Corporate</v>
      </c>
      <c r="T188" s="0" t="str">
        <f aca="false">INDEX(Customers!$D$2:$D$101,MATCH(D188,Customers!$A$2:$A$101,0))</f>
        <v>Jaipur</v>
      </c>
    </row>
    <row r="189" customFormat="false" ht="15" hidden="false" customHeight="false" outlineLevel="0" collapsed="false">
      <c r="A189" s="0" t="s">
        <v>448</v>
      </c>
      <c r="B189" s="37" t="n">
        <v>45770</v>
      </c>
      <c r="C189" s="37" t="n">
        <v>45777</v>
      </c>
      <c r="D189" s="38" t="s">
        <v>409</v>
      </c>
      <c r="E189" s="38" t="s">
        <v>118</v>
      </c>
      <c r="F189" s="38" t="s">
        <v>102</v>
      </c>
      <c r="G189" s="38" t="s">
        <v>178</v>
      </c>
      <c r="H189" s="0" t="n">
        <v>10</v>
      </c>
      <c r="I189" s="39" t="n">
        <v>9000</v>
      </c>
      <c r="J189" s="40" t="n">
        <v>0</v>
      </c>
      <c r="K189" s="39" t="n">
        <v>90000</v>
      </c>
      <c r="L189" s="39" t="n">
        <v>65000</v>
      </c>
      <c r="M189" s="39" t="n">
        <v>25000</v>
      </c>
      <c r="N189" s="38" t="s">
        <v>66</v>
      </c>
      <c r="O189" s="38" t="n">
        <f aca="false">YEAR(B189)</f>
        <v>2025</v>
      </c>
      <c r="P189" s="41" t="n">
        <f aca="false">DATE(YEAR(B189),MONTH(B189),1)</f>
        <v>45748</v>
      </c>
      <c r="Q189" s="0" t="str">
        <f aca="false">INDEX(Products!$C$2:$C$16,MATCH(E189,Products!$A$2:$A$16,0))</f>
        <v>Furniture</v>
      </c>
      <c r="R189" s="0" t="str">
        <f aca="false">INDEX(Customers!$F$2:$F$101,MATCH(D189,Customers!$A$2:$A$101,0))</f>
        <v>East</v>
      </c>
      <c r="S189" s="0" t="str">
        <f aca="false">INDEX(Customers!$C$2:$C$101,MATCH(D189,Customers!$A$2:$A$101,0))</f>
        <v>Small Business</v>
      </c>
      <c r="T189" s="0" t="str">
        <f aca="false">INDEX(Customers!$D$2:$D$101,MATCH(D189,Customers!$A$2:$A$101,0))</f>
        <v>Bhubaneswar</v>
      </c>
    </row>
    <row r="190" customFormat="false" ht="15" hidden="false" customHeight="false" outlineLevel="0" collapsed="false">
      <c r="A190" s="0" t="s">
        <v>449</v>
      </c>
      <c r="B190" s="37" t="n">
        <v>46028</v>
      </c>
      <c r="C190" s="37" t="n">
        <v>46032</v>
      </c>
      <c r="D190" s="38" t="s">
        <v>371</v>
      </c>
      <c r="E190" s="38" t="s">
        <v>124</v>
      </c>
      <c r="F190" s="38" t="s">
        <v>101</v>
      </c>
      <c r="G190" s="38" t="s">
        <v>188</v>
      </c>
      <c r="H190" s="0" t="n">
        <v>2</v>
      </c>
      <c r="I190" s="39" t="n">
        <v>3000</v>
      </c>
      <c r="J190" s="40" t="n">
        <v>0.25</v>
      </c>
      <c r="K190" s="39" t="n">
        <v>4500</v>
      </c>
      <c r="L190" s="39" t="n">
        <v>3800</v>
      </c>
      <c r="M190" s="39" t="n">
        <v>700</v>
      </c>
      <c r="N190" s="38" t="s">
        <v>66</v>
      </c>
      <c r="O190" s="38" t="n">
        <f aca="false">YEAR(B190)</f>
        <v>2026</v>
      </c>
      <c r="P190" s="41" t="n">
        <f aca="false">DATE(YEAR(B190),MONTH(B190),1)</f>
        <v>46023</v>
      </c>
      <c r="Q190" s="0" t="str">
        <f aca="false">INDEX(Products!$C$2:$C$16,MATCH(E190,Products!$A$2:$A$16,0))</f>
        <v>Technology</v>
      </c>
      <c r="R190" s="0" t="str">
        <f aca="false">INDEX(Customers!$F$2:$F$101,MATCH(D190,Customers!$A$2:$A$101,0))</f>
        <v>South</v>
      </c>
      <c r="S190" s="0" t="str">
        <f aca="false">INDEX(Customers!$C$2:$C$101,MATCH(D190,Customers!$A$2:$A$101,0))</f>
        <v>Consumer</v>
      </c>
      <c r="T190" s="0" t="str">
        <f aca="false">INDEX(Customers!$D$2:$D$101,MATCH(D190,Customers!$A$2:$A$101,0))</f>
        <v>Bengaluru</v>
      </c>
    </row>
    <row r="191" customFormat="false" ht="15" hidden="false" customHeight="false" outlineLevel="0" collapsed="false">
      <c r="A191" s="0" t="s">
        <v>450</v>
      </c>
      <c r="B191" s="37" t="n">
        <v>45367</v>
      </c>
      <c r="C191" s="37" t="n">
        <v>45371</v>
      </c>
      <c r="D191" s="38" t="s">
        <v>298</v>
      </c>
      <c r="E191" s="38" t="s">
        <v>123</v>
      </c>
      <c r="F191" s="38" t="s">
        <v>101</v>
      </c>
      <c r="G191" s="38" t="s">
        <v>173</v>
      </c>
      <c r="H191" s="0" t="n">
        <v>2</v>
      </c>
      <c r="I191" s="39" t="n">
        <v>2200</v>
      </c>
      <c r="J191" s="40" t="n">
        <v>0.15</v>
      </c>
      <c r="K191" s="39" t="n">
        <v>3740</v>
      </c>
      <c r="L191" s="39" t="n">
        <v>2600</v>
      </c>
      <c r="M191" s="39" t="n">
        <v>1140</v>
      </c>
      <c r="N191" s="38" t="s">
        <v>66</v>
      </c>
      <c r="O191" s="38" t="n">
        <f aca="false">YEAR(B191)</f>
        <v>2024</v>
      </c>
      <c r="P191" s="41" t="n">
        <f aca="false">DATE(YEAR(B191),MONTH(B191),1)</f>
        <v>45352</v>
      </c>
      <c r="Q191" s="0" t="str">
        <f aca="false">INDEX(Products!$C$2:$C$16,MATCH(E191,Products!$A$2:$A$16,0))</f>
        <v>Technology</v>
      </c>
      <c r="R191" s="0" t="str">
        <f aca="false">INDEX(Customers!$F$2:$F$101,MATCH(D191,Customers!$A$2:$A$101,0))</f>
        <v>North</v>
      </c>
      <c r="S191" s="0" t="str">
        <f aca="false">INDEX(Customers!$C$2:$C$101,MATCH(D191,Customers!$A$2:$A$101,0))</f>
        <v>Consumer</v>
      </c>
      <c r="T191" s="0" t="str">
        <f aca="false">INDEX(Customers!$D$2:$D$101,MATCH(D191,Customers!$A$2:$A$101,0))</f>
        <v>Lucknow</v>
      </c>
    </row>
    <row r="192" customFormat="false" ht="15" hidden="false" customHeight="false" outlineLevel="0" collapsed="false">
      <c r="A192" s="0" t="s">
        <v>451</v>
      </c>
      <c r="B192" s="37" t="n">
        <v>45947</v>
      </c>
      <c r="C192" s="37" t="n">
        <v>45952</v>
      </c>
      <c r="D192" s="38" t="s">
        <v>452</v>
      </c>
      <c r="E192" s="38" t="s">
        <v>121</v>
      </c>
      <c r="F192" s="38" t="s">
        <v>101</v>
      </c>
      <c r="G192" s="38" t="s">
        <v>188</v>
      </c>
      <c r="H192" s="0" t="n">
        <v>1</v>
      </c>
      <c r="I192" s="39" t="n">
        <v>180</v>
      </c>
      <c r="J192" s="40" t="n">
        <v>0</v>
      </c>
      <c r="K192" s="39" t="n">
        <v>180</v>
      </c>
      <c r="L192" s="39" t="n">
        <v>70</v>
      </c>
      <c r="M192" s="39" t="n">
        <v>110</v>
      </c>
      <c r="N192" s="38" t="s">
        <v>146</v>
      </c>
      <c r="O192" s="38" t="n">
        <f aca="false">YEAR(B192)</f>
        <v>2025</v>
      </c>
      <c r="P192" s="41" t="n">
        <f aca="false">DATE(YEAR(B192),MONTH(B192),1)</f>
        <v>45931</v>
      </c>
      <c r="Q192" s="0" t="str">
        <f aca="false">INDEX(Products!$C$2:$C$16,MATCH(E192,Products!$A$2:$A$16,0))</f>
        <v>Office Supplies</v>
      </c>
      <c r="R192" s="0" t="str">
        <f aca="false">INDEX(Customers!$F$2:$F$101,MATCH(D192,Customers!$A$2:$A$101,0))</f>
        <v>South</v>
      </c>
      <c r="S192" s="0" t="str">
        <f aca="false">INDEX(Customers!$C$2:$C$101,MATCH(D192,Customers!$A$2:$A$101,0))</f>
        <v>Corporate</v>
      </c>
      <c r="T192" s="0" t="str">
        <f aca="false">INDEX(Customers!$D$2:$D$101,MATCH(D192,Customers!$A$2:$A$101,0))</f>
        <v>Hyderabad</v>
      </c>
    </row>
    <row r="193" customFormat="false" ht="15" hidden="false" customHeight="false" outlineLevel="0" collapsed="false">
      <c r="A193" s="0" t="s">
        <v>453</v>
      </c>
      <c r="B193" s="37" t="n">
        <v>45419</v>
      </c>
      <c r="C193" s="37" t="n">
        <v>45424</v>
      </c>
      <c r="D193" s="38" t="s">
        <v>454</v>
      </c>
      <c r="E193" s="38" t="s">
        <v>126</v>
      </c>
      <c r="F193" s="38" t="s">
        <v>100</v>
      </c>
      <c r="G193" s="38" t="s">
        <v>170</v>
      </c>
      <c r="H193" s="0" t="n">
        <v>1</v>
      </c>
      <c r="I193" s="39" t="n">
        <v>1200</v>
      </c>
      <c r="J193" s="40" t="n">
        <v>0</v>
      </c>
      <c r="K193" s="39" t="n">
        <v>1200</v>
      </c>
      <c r="L193" s="39" t="n">
        <v>700</v>
      </c>
      <c r="M193" s="39" t="n">
        <v>500</v>
      </c>
      <c r="N193" s="38" t="s">
        <v>146</v>
      </c>
      <c r="O193" s="38" t="n">
        <f aca="false">YEAR(B193)</f>
        <v>2024</v>
      </c>
      <c r="P193" s="41" t="n">
        <f aca="false">DATE(YEAR(B193),MONTH(B193),1)</f>
        <v>45413</v>
      </c>
      <c r="Q193" s="0" t="str">
        <f aca="false">INDEX(Products!$C$2:$C$16,MATCH(E193,Products!$A$2:$A$16,0))</f>
        <v>Furniture</v>
      </c>
      <c r="R193" s="0" t="str">
        <f aca="false">INDEX(Customers!$F$2:$F$101,MATCH(D193,Customers!$A$2:$A$101,0))</f>
        <v>West</v>
      </c>
      <c r="S193" s="0" t="str">
        <f aca="false">INDEX(Customers!$C$2:$C$101,MATCH(D193,Customers!$A$2:$A$101,0))</f>
        <v>Consumer</v>
      </c>
      <c r="T193" s="0" t="str">
        <f aca="false">INDEX(Customers!$D$2:$D$101,MATCH(D193,Customers!$A$2:$A$101,0))</f>
        <v>Pune</v>
      </c>
    </row>
    <row r="194" customFormat="false" ht="15" hidden="false" customHeight="false" outlineLevel="0" collapsed="false">
      <c r="A194" s="0" t="s">
        <v>455</v>
      </c>
      <c r="B194" s="37" t="n">
        <v>46262</v>
      </c>
      <c r="C194" s="37" t="n">
        <v>46267</v>
      </c>
      <c r="D194" s="38" t="s">
        <v>255</v>
      </c>
      <c r="E194" s="38" t="s">
        <v>118</v>
      </c>
      <c r="F194" s="38" t="s">
        <v>100</v>
      </c>
      <c r="G194" s="38" t="s">
        <v>170</v>
      </c>
      <c r="H194" s="0" t="n">
        <v>6</v>
      </c>
      <c r="I194" s="39" t="n">
        <v>9000</v>
      </c>
      <c r="J194" s="40" t="n">
        <v>0.25</v>
      </c>
      <c r="K194" s="39" t="n">
        <v>40500</v>
      </c>
      <c r="L194" s="39" t="n">
        <v>39000</v>
      </c>
      <c r="M194" s="39" t="n">
        <v>1500</v>
      </c>
      <c r="N194" s="38" t="s">
        <v>66</v>
      </c>
      <c r="O194" s="38" t="n">
        <f aca="false">YEAR(B194)</f>
        <v>2026</v>
      </c>
      <c r="P194" s="41" t="n">
        <f aca="false">DATE(YEAR(B194),MONTH(B194),1)</f>
        <v>46235</v>
      </c>
      <c r="Q194" s="0" t="str">
        <f aca="false">INDEX(Products!$C$2:$C$16,MATCH(E194,Products!$A$2:$A$16,0))</f>
        <v>Furniture</v>
      </c>
      <c r="R194" s="0" t="str">
        <f aca="false">INDEX(Customers!$F$2:$F$101,MATCH(D194,Customers!$A$2:$A$101,0))</f>
        <v>East</v>
      </c>
      <c r="S194" s="0" t="str">
        <f aca="false">INDEX(Customers!$C$2:$C$101,MATCH(D194,Customers!$A$2:$A$101,0))</f>
        <v>Small Business</v>
      </c>
      <c r="T194" s="0" t="str">
        <f aca="false">INDEX(Customers!$D$2:$D$101,MATCH(D194,Customers!$A$2:$A$101,0))</f>
        <v>Kolkata</v>
      </c>
    </row>
    <row r="195" customFormat="false" ht="15" hidden="false" customHeight="false" outlineLevel="0" collapsed="false">
      <c r="A195" s="0" t="s">
        <v>456</v>
      </c>
      <c r="B195" s="37" t="n">
        <v>45420</v>
      </c>
      <c r="C195" s="37" t="n">
        <v>45426</v>
      </c>
      <c r="D195" s="38" t="s">
        <v>287</v>
      </c>
      <c r="E195" s="38" t="s">
        <v>117</v>
      </c>
      <c r="F195" s="38" t="s">
        <v>100</v>
      </c>
      <c r="G195" s="38" t="s">
        <v>188</v>
      </c>
      <c r="H195" s="0" t="n">
        <v>2</v>
      </c>
      <c r="I195" s="39" t="n">
        <v>6500</v>
      </c>
      <c r="J195" s="40" t="n">
        <v>0.15</v>
      </c>
      <c r="K195" s="39" t="n">
        <v>11050</v>
      </c>
      <c r="L195" s="39" t="n">
        <v>8400</v>
      </c>
      <c r="M195" s="39" t="n">
        <v>2650</v>
      </c>
      <c r="N195" s="38" t="s">
        <v>66</v>
      </c>
      <c r="O195" s="38" t="n">
        <f aca="false">YEAR(B195)</f>
        <v>2024</v>
      </c>
      <c r="P195" s="41" t="n">
        <f aca="false">DATE(YEAR(B195),MONTH(B195),1)</f>
        <v>45413</v>
      </c>
      <c r="Q195" s="0" t="str">
        <f aca="false">INDEX(Products!$C$2:$C$16,MATCH(E195,Products!$A$2:$A$16,0))</f>
        <v>Furniture</v>
      </c>
      <c r="R195" s="0" t="str">
        <f aca="false">INDEX(Customers!$F$2:$F$101,MATCH(D195,Customers!$A$2:$A$101,0))</f>
        <v>South</v>
      </c>
      <c r="S195" s="0" t="str">
        <f aca="false">INDEX(Customers!$C$2:$C$101,MATCH(D195,Customers!$A$2:$A$101,0))</f>
        <v>Small Business</v>
      </c>
      <c r="T195" s="0" t="str">
        <f aca="false">INDEX(Customers!$D$2:$D$101,MATCH(D195,Customers!$A$2:$A$101,0))</f>
        <v>Chennai</v>
      </c>
    </row>
    <row r="196" customFormat="false" ht="15" hidden="false" customHeight="false" outlineLevel="0" collapsed="false">
      <c r="A196" s="0" t="s">
        <v>457</v>
      </c>
      <c r="B196" s="37" t="n">
        <v>45449</v>
      </c>
      <c r="C196" s="37" t="n">
        <v>45451</v>
      </c>
      <c r="D196" s="38" t="s">
        <v>244</v>
      </c>
      <c r="E196" s="38" t="s">
        <v>122</v>
      </c>
      <c r="F196" s="38" t="s">
        <v>102</v>
      </c>
      <c r="G196" s="38" t="s">
        <v>170</v>
      </c>
      <c r="H196" s="0" t="n">
        <v>3</v>
      </c>
      <c r="I196" s="39" t="n">
        <v>5500</v>
      </c>
      <c r="J196" s="40" t="n">
        <v>0.2</v>
      </c>
      <c r="K196" s="39" t="n">
        <v>13200</v>
      </c>
      <c r="L196" s="39" t="n">
        <v>11100</v>
      </c>
      <c r="M196" s="39" t="n">
        <v>2100</v>
      </c>
      <c r="N196" s="38" t="s">
        <v>66</v>
      </c>
      <c r="O196" s="38" t="n">
        <f aca="false">YEAR(B196)</f>
        <v>2024</v>
      </c>
      <c r="P196" s="41" t="n">
        <f aca="false">DATE(YEAR(B196),MONTH(B196),1)</f>
        <v>45444</v>
      </c>
      <c r="Q196" s="0" t="str">
        <f aca="false">INDEX(Products!$C$2:$C$16,MATCH(E196,Products!$A$2:$A$16,0))</f>
        <v>Furniture</v>
      </c>
      <c r="R196" s="0" t="str">
        <f aca="false">INDEX(Customers!$F$2:$F$101,MATCH(D196,Customers!$A$2:$A$101,0))</f>
        <v>North</v>
      </c>
      <c r="S196" s="0" t="str">
        <f aca="false">INDEX(Customers!$C$2:$C$101,MATCH(D196,Customers!$A$2:$A$101,0))</f>
        <v>Consumer</v>
      </c>
      <c r="T196" s="0" t="str">
        <f aca="false">INDEX(Customers!$D$2:$D$101,MATCH(D196,Customers!$A$2:$A$101,0))</f>
        <v>Gurugram</v>
      </c>
    </row>
    <row r="197" customFormat="false" ht="15" hidden="false" customHeight="false" outlineLevel="0" collapsed="false">
      <c r="A197" s="0" t="s">
        <v>458</v>
      </c>
      <c r="B197" s="37" t="n">
        <v>46137</v>
      </c>
      <c r="C197" s="37" t="n">
        <v>46144</v>
      </c>
      <c r="D197" s="38" t="s">
        <v>224</v>
      </c>
      <c r="E197" s="38" t="s">
        <v>113</v>
      </c>
      <c r="F197" s="38" t="s">
        <v>102</v>
      </c>
      <c r="G197" s="38" t="s">
        <v>188</v>
      </c>
      <c r="H197" s="0" t="n">
        <v>1</v>
      </c>
      <c r="I197" s="39" t="n">
        <v>45000</v>
      </c>
      <c r="J197" s="40" t="n">
        <v>0</v>
      </c>
      <c r="K197" s="39" t="n">
        <v>45000</v>
      </c>
      <c r="L197" s="39" t="n">
        <v>36000</v>
      </c>
      <c r="M197" s="39" t="n">
        <v>9000</v>
      </c>
      <c r="N197" s="38" t="s">
        <v>66</v>
      </c>
      <c r="O197" s="38" t="n">
        <f aca="false">YEAR(B197)</f>
        <v>2026</v>
      </c>
      <c r="P197" s="41" t="n">
        <f aca="false">DATE(YEAR(B197),MONTH(B197),1)</f>
        <v>46113</v>
      </c>
      <c r="Q197" s="0" t="str">
        <f aca="false">INDEX(Products!$C$2:$C$16,MATCH(E197,Products!$A$2:$A$16,0))</f>
        <v>Technology</v>
      </c>
      <c r="R197" s="0" t="str">
        <f aca="false">INDEX(Customers!$F$2:$F$101,MATCH(D197,Customers!$A$2:$A$101,0))</f>
        <v>North</v>
      </c>
      <c r="S197" s="0" t="str">
        <f aca="false">INDEX(Customers!$C$2:$C$101,MATCH(D197,Customers!$A$2:$A$101,0))</f>
        <v>Small Business</v>
      </c>
      <c r="T197" s="0" t="str">
        <f aca="false">INDEX(Customers!$D$2:$D$101,MATCH(D197,Customers!$A$2:$A$101,0))</f>
        <v>Jaipur</v>
      </c>
    </row>
    <row r="198" customFormat="false" ht="15" hidden="false" customHeight="false" outlineLevel="0" collapsed="false">
      <c r="A198" s="0" t="s">
        <v>459</v>
      </c>
      <c r="B198" s="37" t="n">
        <v>45877</v>
      </c>
      <c r="C198" s="37" t="n">
        <v>45881</v>
      </c>
      <c r="D198" s="38" t="s">
        <v>280</v>
      </c>
      <c r="E198" s="38" t="s">
        <v>125</v>
      </c>
      <c r="F198" s="38" t="s">
        <v>101</v>
      </c>
      <c r="G198" s="38" t="s">
        <v>188</v>
      </c>
      <c r="H198" s="0" t="n">
        <v>3</v>
      </c>
      <c r="I198" s="39" t="n">
        <v>600</v>
      </c>
      <c r="J198" s="40" t="n">
        <v>0</v>
      </c>
      <c r="K198" s="39" t="n">
        <v>1800</v>
      </c>
      <c r="L198" s="39" t="n">
        <v>1050</v>
      </c>
      <c r="M198" s="39" t="n">
        <v>750</v>
      </c>
      <c r="N198" s="38" t="s">
        <v>66</v>
      </c>
      <c r="O198" s="38" t="n">
        <f aca="false">YEAR(B198)</f>
        <v>2025</v>
      </c>
      <c r="P198" s="41" t="n">
        <f aca="false">DATE(YEAR(B198),MONTH(B198),1)</f>
        <v>45870</v>
      </c>
      <c r="Q198" s="0" t="str">
        <f aca="false">INDEX(Products!$C$2:$C$16,MATCH(E198,Products!$A$2:$A$16,0))</f>
        <v>Office Supplies</v>
      </c>
      <c r="R198" s="0" t="str">
        <f aca="false">INDEX(Customers!$F$2:$F$101,MATCH(D198,Customers!$A$2:$A$101,0))</f>
        <v>North</v>
      </c>
      <c r="S198" s="0" t="str">
        <f aca="false">INDEX(Customers!$C$2:$C$101,MATCH(D198,Customers!$A$2:$A$101,0))</f>
        <v>Corporate</v>
      </c>
      <c r="T198" s="0" t="str">
        <f aca="false">INDEX(Customers!$D$2:$D$101,MATCH(D198,Customers!$A$2:$A$101,0))</f>
        <v>Jaipur</v>
      </c>
    </row>
    <row r="199" customFormat="false" ht="15" hidden="false" customHeight="false" outlineLevel="0" collapsed="false">
      <c r="A199" s="0" t="s">
        <v>460</v>
      </c>
      <c r="B199" s="37" t="n">
        <v>45542</v>
      </c>
      <c r="C199" s="37" t="n">
        <v>45549</v>
      </c>
      <c r="D199" s="38" t="s">
        <v>253</v>
      </c>
      <c r="E199" s="38" t="s">
        <v>120</v>
      </c>
      <c r="F199" s="38" t="s">
        <v>101</v>
      </c>
      <c r="G199" s="38" t="s">
        <v>185</v>
      </c>
      <c r="H199" s="0" t="n">
        <v>4</v>
      </c>
      <c r="I199" s="39" t="n">
        <v>400</v>
      </c>
      <c r="J199" s="40" t="n">
        <v>0.1</v>
      </c>
      <c r="K199" s="39" t="n">
        <v>1440</v>
      </c>
      <c r="L199" s="39" t="n">
        <v>1040</v>
      </c>
      <c r="M199" s="39" t="n">
        <v>400</v>
      </c>
      <c r="N199" s="38" t="s">
        <v>66</v>
      </c>
      <c r="O199" s="38" t="n">
        <f aca="false">YEAR(B199)</f>
        <v>2024</v>
      </c>
      <c r="P199" s="41" t="n">
        <f aca="false">DATE(YEAR(B199),MONTH(B199),1)</f>
        <v>45536</v>
      </c>
      <c r="Q199" s="0" t="str">
        <f aca="false">INDEX(Products!$C$2:$C$16,MATCH(E199,Products!$A$2:$A$16,0))</f>
        <v>Office Supplies</v>
      </c>
      <c r="R199" s="0" t="str">
        <f aca="false">INDEX(Customers!$F$2:$F$101,MATCH(D199,Customers!$A$2:$A$101,0))</f>
        <v>East</v>
      </c>
      <c r="S199" s="0" t="str">
        <f aca="false">INDEX(Customers!$C$2:$C$101,MATCH(D199,Customers!$A$2:$A$101,0))</f>
        <v>Small Business</v>
      </c>
      <c r="T199" s="0" t="str">
        <f aca="false">INDEX(Customers!$D$2:$D$101,MATCH(D199,Customers!$A$2:$A$101,0))</f>
        <v>Bhubaneswar</v>
      </c>
    </row>
    <row r="200" customFormat="false" ht="15" hidden="false" customHeight="false" outlineLevel="0" collapsed="false">
      <c r="A200" s="0" t="s">
        <v>461</v>
      </c>
      <c r="B200" s="37" t="n">
        <v>45742</v>
      </c>
      <c r="C200" s="37" t="n">
        <v>45746</v>
      </c>
      <c r="D200" s="38" t="s">
        <v>454</v>
      </c>
      <c r="E200" s="38" t="s">
        <v>115</v>
      </c>
      <c r="F200" s="38" t="s">
        <v>101</v>
      </c>
      <c r="G200" s="38" t="s">
        <v>188</v>
      </c>
      <c r="H200" s="0" t="n">
        <v>2</v>
      </c>
      <c r="I200" s="39" t="n">
        <v>1500</v>
      </c>
      <c r="J200" s="40" t="n">
        <v>0</v>
      </c>
      <c r="K200" s="39" t="n">
        <v>3000</v>
      </c>
      <c r="L200" s="39" t="n">
        <v>1700</v>
      </c>
      <c r="M200" s="39" t="n">
        <v>1300</v>
      </c>
      <c r="N200" s="38" t="s">
        <v>66</v>
      </c>
      <c r="O200" s="38" t="n">
        <f aca="false">YEAR(B200)</f>
        <v>2025</v>
      </c>
      <c r="P200" s="41" t="n">
        <f aca="false">DATE(YEAR(B200),MONTH(B200),1)</f>
        <v>45717</v>
      </c>
      <c r="Q200" s="0" t="str">
        <f aca="false">INDEX(Products!$C$2:$C$16,MATCH(E200,Products!$A$2:$A$16,0))</f>
        <v>Technology</v>
      </c>
      <c r="R200" s="0" t="str">
        <f aca="false">INDEX(Customers!$F$2:$F$101,MATCH(D200,Customers!$A$2:$A$101,0))</f>
        <v>West</v>
      </c>
      <c r="S200" s="0" t="str">
        <f aca="false">INDEX(Customers!$C$2:$C$101,MATCH(D200,Customers!$A$2:$A$101,0))</f>
        <v>Consumer</v>
      </c>
      <c r="T200" s="0" t="str">
        <f aca="false">INDEX(Customers!$D$2:$D$101,MATCH(D200,Customers!$A$2:$A$101,0))</f>
        <v>Pune</v>
      </c>
    </row>
    <row r="201" customFormat="false" ht="15" hidden="false" customHeight="false" outlineLevel="0" collapsed="false">
      <c r="A201" s="0" t="s">
        <v>462</v>
      </c>
      <c r="B201" s="37" t="n">
        <v>46043</v>
      </c>
      <c r="C201" s="37" t="n">
        <v>46050</v>
      </c>
      <c r="D201" s="38" t="s">
        <v>285</v>
      </c>
      <c r="E201" s="38" t="s">
        <v>118</v>
      </c>
      <c r="F201" s="38" t="s">
        <v>100</v>
      </c>
      <c r="G201" s="38" t="s">
        <v>170</v>
      </c>
      <c r="H201" s="0" t="n">
        <v>2</v>
      </c>
      <c r="I201" s="39" t="n">
        <v>9000</v>
      </c>
      <c r="J201" s="40" t="n">
        <v>0.1</v>
      </c>
      <c r="K201" s="39" t="n">
        <v>16200</v>
      </c>
      <c r="L201" s="39" t="n">
        <v>13000</v>
      </c>
      <c r="M201" s="39" t="n">
        <v>3200</v>
      </c>
      <c r="N201" s="38" t="s">
        <v>66</v>
      </c>
      <c r="O201" s="38" t="n">
        <f aca="false">YEAR(B201)</f>
        <v>2026</v>
      </c>
      <c r="P201" s="41" t="n">
        <f aca="false">DATE(YEAR(B201),MONTH(B201),1)</f>
        <v>46023</v>
      </c>
      <c r="Q201" s="0" t="str">
        <f aca="false">INDEX(Products!$C$2:$C$16,MATCH(E201,Products!$A$2:$A$16,0))</f>
        <v>Furniture</v>
      </c>
      <c r="R201" s="0" t="str">
        <f aca="false">INDEX(Customers!$F$2:$F$101,MATCH(D201,Customers!$A$2:$A$101,0))</f>
        <v>South</v>
      </c>
      <c r="S201" s="0" t="str">
        <f aca="false">INDEX(Customers!$C$2:$C$101,MATCH(D201,Customers!$A$2:$A$101,0))</f>
        <v>Small Business</v>
      </c>
      <c r="T201" s="0" t="str">
        <f aca="false">INDEX(Customers!$D$2:$D$101,MATCH(D201,Customers!$A$2:$A$101,0))</f>
        <v>Hyderabad</v>
      </c>
    </row>
    <row r="202" customFormat="false" ht="15" hidden="false" customHeight="false" outlineLevel="0" collapsed="false">
      <c r="A202" s="0" t="s">
        <v>463</v>
      </c>
      <c r="B202" s="37" t="n">
        <v>45539</v>
      </c>
      <c r="C202" s="37" t="n">
        <v>45543</v>
      </c>
      <c r="D202" s="38" t="s">
        <v>343</v>
      </c>
      <c r="E202" s="38" t="s">
        <v>118</v>
      </c>
      <c r="F202" s="38" t="s">
        <v>100</v>
      </c>
      <c r="G202" s="38" t="s">
        <v>173</v>
      </c>
      <c r="H202" s="0" t="n">
        <v>1</v>
      </c>
      <c r="I202" s="39" t="n">
        <v>9000</v>
      </c>
      <c r="J202" s="40" t="n">
        <v>0.1</v>
      </c>
      <c r="K202" s="39" t="n">
        <v>8100</v>
      </c>
      <c r="L202" s="39" t="n">
        <v>6500</v>
      </c>
      <c r="M202" s="39" t="n">
        <v>1600</v>
      </c>
      <c r="N202" s="38" t="s">
        <v>66</v>
      </c>
      <c r="O202" s="38" t="n">
        <f aca="false">YEAR(B202)</f>
        <v>2024</v>
      </c>
      <c r="P202" s="41" t="n">
        <f aca="false">DATE(YEAR(B202),MONTH(B202),1)</f>
        <v>45536</v>
      </c>
      <c r="Q202" s="0" t="str">
        <f aca="false">INDEX(Products!$C$2:$C$16,MATCH(E202,Products!$A$2:$A$16,0))</f>
        <v>Furniture</v>
      </c>
      <c r="R202" s="0" t="str">
        <f aca="false">INDEX(Customers!$F$2:$F$101,MATCH(D202,Customers!$A$2:$A$101,0))</f>
        <v>West</v>
      </c>
      <c r="S202" s="0" t="str">
        <f aca="false">INDEX(Customers!$C$2:$C$101,MATCH(D202,Customers!$A$2:$A$101,0))</f>
        <v>Consumer</v>
      </c>
      <c r="T202" s="0" t="str">
        <f aca="false">INDEX(Customers!$D$2:$D$101,MATCH(D202,Customers!$A$2:$A$101,0))</f>
        <v>Mumbai</v>
      </c>
    </row>
    <row r="203" customFormat="false" ht="15" hidden="false" customHeight="false" outlineLevel="0" collapsed="false">
      <c r="A203" s="0" t="s">
        <v>464</v>
      </c>
      <c r="B203" s="37" t="n">
        <v>46176</v>
      </c>
      <c r="C203" s="37" t="n">
        <v>46181</v>
      </c>
      <c r="D203" s="38" t="s">
        <v>310</v>
      </c>
      <c r="E203" s="38" t="s">
        <v>119</v>
      </c>
      <c r="F203" s="38" t="s">
        <v>100</v>
      </c>
      <c r="G203" s="38" t="s">
        <v>170</v>
      </c>
      <c r="H203" s="0" t="n">
        <v>2</v>
      </c>
      <c r="I203" s="39" t="n">
        <v>250</v>
      </c>
      <c r="J203" s="40" t="n">
        <v>0.25</v>
      </c>
      <c r="K203" s="39" t="n">
        <v>375</v>
      </c>
      <c r="L203" s="39" t="n">
        <v>240</v>
      </c>
      <c r="M203" s="39" t="n">
        <v>135</v>
      </c>
      <c r="N203" s="38" t="s">
        <v>146</v>
      </c>
      <c r="O203" s="38" t="n">
        <f aca="false">YEAR(B203)</f>
        <v>2026</v>
      </c>
      <c r="P203" s="41" t="n">
        <f aca="false">DATE(YEAR(B203),MONTH(B203),1)</f>
        <v>46174</v>
      </c>
      <c r="Q203" s="0" t="str">
        <f aca="false">INDEX(Products!$C$2:$C$16,MATCH(E203,Products!$A$2:$A$16,0))</f>
        <v>Office Supplies</v>
      </c>
      <c r="R203" s="0" t="str">
        <f aca="false">INDEX(Customers!$F$2:$F$101,MATCH(D203,Customers!$A$2:$A$101,0))</f>
        <v>South</v>
      </c>
      <c r="S203" s="0" t="str">
        <f aca="false">INDEX(Customers!$C$2:$C$101,MATCH(D203,Customers!$A$2:$A$101,0))</f>
        <v>Small Business</v>
      </c>
      <c r="T203" s="0" t="str">
        <f aca="false">INDEX(Customers!$D$2:$D$101,MATCH(D203,Customers!$A$2:$A$101,0))</f>
        <v>Hyderabad</v>
      </c>
    </row>
    <row r="204" customFormat="false" ht="15" hidden="false" customHeight="false" outlineLevel="0" collapsed="false">
      <c r="A204" s="0" t="s">
        <v>465</v>
      </c>
      <c r="B204" s="37" t="n">
        <v>45486</v>
      </c>
      <c r="C204" s="37" t="n">
        <v>45493</v>
      </c>
      <c r="D204" s="38" t="s">
        <v>316</v>
      </c>
      <c r="E204" s="38" t="s">
        <v>118</v>
      </c>
      <c r="F204" s="38" t="s">
        <v>101</v>
      </c>
      <c r="G204" s="38" t="s">
        <v>185</v>
      </c>
      <c r="H204" s="0" t="n">
        <v>1</v>
      </c>
      <c r="I204" s="39" t="n">
        <v>9000</v>
      </c>
      <c r="J204" s="40" t="n">
        <v>0.15</v>
      </c>
      <c r="K204" s="39" t="n">
        <v>7650</v>
      </c>
      <c r="L204" s="39" t="n">
        <v>6500</v>
      </c>
      <c r="M204" s="39" t="n">
        <v>1150</v>
      </c>
      <c r="N204" s="38" t="s">
        <v>66</v>
      </c>
      <c r="O204" s="38" t="n">
        <f aca="false">YEAR(B204)</f>
        <v>2024</v>
      </c>
      <c r="P204" s="41" t="n">
        <f aca="false">DATE(YEAR(B204),MONTH(B204),1)</f>
        <v>45474</v>
      </c>
      <c r="Q204" s="0" t="str">
        <f aca="false">INDEX(Products!$C$2:$C$16,MATCH(E204,Products!$A$2:$A$16,0))</f>
        <v>Furniture</v>
      </c>
      <c r="R204" s="0" t="str">
        <f aca="false">INDEX(Customers!$F$2:$F$101,MATCH(D204,Customers!$A$2:$A$101,0))</f>
        <v>West</v>
      </c>
      <c r="S204" s="0" t="str">
        <f aca="false">INDEX(Customers!$C$2:$C$101,MATCH(D204,Customers!$A$2:$A$101,0))</f>
        <v>Corporate</v>
      </c>
      <c r="T204" s="0" t="str">
        <f aca="false">INDEX(Customers!$D$2:$D$101,MATCH(D204,Customers!$A$2:$A$101,0))</f>
        <v>Ahmedabad</v>
      </c>
    </row>
    <row r="205" customFormat="false" ht="15" hidden="false" customHeight="false" outlineLevel="0" collapsed="false">
      <c r="A205" s="0" t="s">
        <v>466</v>
      </c>
      <c r="B205" s="37" t="n">
        <v>45384</v>
      </c>
      <c r="C205" s="37" t="n">
        <v>45388</v>
      </c>
      <c r="D205" s="38" t="s">
        <v>467</v>
      </c>
      <c r="E205" s="38" t="s">
        <v>113</v>
      </c>
      <c r="F205" s="38" t="s">
        <v>100</v>
      </c>
      <c r="G205" s="38" t="s">
        <v>188</v>
      </c>
      <c r="H205" s="0" t="n">
        <v>2</v>
      </c>
      <c r="I205" s="39" t="n">
        <v>45000</v>
      </c>
      <c r="J205" s="40" t="n">
        <v>0</v>
      </c>
      <c r="K205" s="39" t="n">
        <v>90000</v>
      </c>
      <c r="L205" s="39" t="n">
        <v>72000</v>
      </c>
      <c r="M205" s="39" t="n">
        <v>18000</v>
      </c>
      <c r="N205" s="38" t="s">
        <v>66</v>
      </c>
      <c r="O205" s="38" t="n">
        <f aca="false">YEAR(B205)</f>
        <v>2024</v>
      </c>
      <c r="P205" s="41" t="n">
        <f aca="false">DATE(YEAR(B205),MONTH(B205),1)</f>
        <v>45383</v>
      </c>
      <c r="Q205" s="0" t="str">
        <f aca="false">INDEX(Products!$C$2:$C$16,MATCH(E205,Products!$A$2:$A$16,0))</f>
        <v>Technology</v>
      </c>
      <c r="R205" s="0" t="str">
        <f aca="false">INDEX(Customers!$F$2:$F$101,MATCH(D205,Customers!$A$2:$A$101,0))</f>
        <v>West</v>
      </c>
      <c r="S205" s="0" t="str">
        <f aca="false">INDEX(Customers!$C$2:$C$101,MATCH(D205,Customers!$A$2:$A$101,0))</f>
        <v>Corporate</v>
      </c>
      <c r="T205" s="0" t="str">
        <f aca="false">INDEX(Customers!$D$2:$D$101,MATCH(D205,Customers!$A$2:$A$101,0))</f>
        <v>Ahmedabad</v>
      </c>
    </row>
    <row r="206" customFormat="false" ht="15" hidden="false" customHeight="false" outlineLevel="0" collapsed="false">
      <c r="A206" s="0" t="s">
        <v>468</v>
      </c>
      <c r="B206" s="37" t="n">
        <v>45798</v>
      </c>
      <c r="C206" s="37" t="n">
        <v>45803</v>
      </c>
      <c r="D206" s="38" t="s">
        <v>278</v>
      </c>
      <c r="E206" s="38" t="s">
        <v>117</v>
      </c>
      <c r="F206" s="38" t="s">
        <v>102</v>
      </c>
      <c r="G206" s="38" t="s">
        <v>185</v>
      </c>
      <c r="H206" s="0" t="n">
        <v>5</v>
      </c>
      <c r="I206" s="39" t="n">
        <v>6500</v>
      </c>
      <c r="J206" s="40" t="n">
        <v>0.2</v>
      </c>
      <c r="K206" s="39" t="n">
        <v>26000</v>
      </c>
      <c r="L206" s="39" t="n">
        <v>21000</v>
      </c>
      <c r="M206" s="39" t="n">
        <v>5000</v>
      </c>
      <c r="N206" s="38" t="s">
        <v>66</v>
      </c>
      <c r="O206" s="38" t="n">
        <f aca="false">YEAR(B206)</f>
        <v>2025</v>
      </c>
      <c r="P206" s="41" t="n">
        <f aca="false">DATE(YEAR(B206),MONTH(B206),1)</f>
        <v>45778</v>
      </c>
      <c r="Q206" s="0" t="str">
        <f aca="false">INDEX(Products!$C$2:$C$16,MATCH(E206,Products!$A$2:$A$16,0))</f>
        <v>Furniture</v>
      </c>
      <c r="R206" s="0" t="str">
        <f aca="false">INDEX(Customers!$F$2:$F$101,MATCH(D206,Customers!$A$2:$A$101,0))</f>
        <v>South</v>
      </c>
      <c r="S206" s="0" t="str">
        <f aca="false">INDEX(Customers!$C$2:$C$101,MATCH(D206,Customers!$A$2:$A$101,0))</f>
        <v>Consumer</v>
      </c>
      <c r="T206" s="0" t="str">
        <f aca="false">INDEX(Customers!$D$2:$D$101,MATCH(D206,Customers!$A$2:$A$101,0))</f>
        <v>Hyderabad</v>
      </c>
    </row>
    <row r="207" customFormat="false" ht="15" hidden="false" customHeight="false" outlineLevel="0" collapsed="false">
      <c r="A207" s="0" t="s">
        <v>469</v>
      </c>
      <c r="B207" s="37" t="n">
        <v>45402</v>
      </c>
      <c r="C207" s="37" t="n">
        <v>45406</v>
      </c>
      <c r="D207" s="38" t="s">
        <v>470</v>
      </c>
      <c r="E207" s="38" t="s">
        <v>126</v>
      </c>
      <c r="F207" s="38" t="s">
        <v>102</v>
      </c>
      <c r="G207" s="38" t="s">
        <v>170</v>
      </c>
      <c r="H207" s="0" t="n">
        <v>1</v>
      </c>
      <c r="I207" s="39" t="n">
        <v>1200</v>
      </c>
      <c r="J207" s="40" t="n">
        <v>0.05</v>
      </c>
      <c r="K207" s="39" t="n">
        <v>1140</v>
      </c>
      <c r="L207" s="39" t="n">
        <v>700</v>
      </c>
      <c r="M207" s="39" t="n">
        <v>440</v>
      </c>
      <c r="N207" s="38" t="s">
        <v>66</v>
      </c>
      <c r="O207" s="38" t="n">
        <f aca="false">YEAR(B207)</f>
        <v>2024</v>
      </c>
      <c r="P207" s="41" t="n">
        <f aca="false">DATE(YEAR(B207),MONTH(B207),1)</f>
        <v>45383</v>
      </c>
      <c r="Q207" s="0" t="str">
        <f aca="false">INDEX(Products!$C$2:$C$16,MATCH(E207,Products!$A$2:$A$16,0))</f>
        <v>Furniture</v>
      </c>
      <c r="R207" s="0" t="str">
        <f aca="false">INDEX(Customers!$F$2:$F$101,MATCH(D207,Customers!$A$2:$A$101,0))</f>
        <v>North</v>
      </c>
      <c r="S207" s="0" t="str">
        <f aca="false">INDEX(Customers!$C$2:$C$101,MATCH(D207,Customers!$A$2:$A$101,0))</f>
        <v>Small Business</v>
      </c>
      <c r="T207" s="0" t="str">
        <f aca="false">INDEX(Customers!$D$2:$D$101,MATCH(D207,Customers!$A$2:$A$101,0))</f>
        <v>Lucknow</v>
      </c>
    </row>
    <row r="208" customFormat="false" ht="15" hidden="false" customHeight="false" outlineLevel="0" collapsed="false">
      <c r="A208" s="0" t="s">
        <v>471</v>
      </c>
      <c r="B208" s="37" t="n">
        <v>45702</v>
      </c>
      <c r="C208" s="37" t="n">
        <v>45703</v>
      </c>
      <c r="D208" s="38" t="s">
        <v>400</v>
      </c>
      <c r="E208" s="38" t="s">
        <v>113</v>
      </c>
      <c r="F208" s="38" t="s">
        <v>101</v>
      </c>
      <c r="G208" s="38" t="s">
        <v>188</v>
      </c>
      <c r="H208" s="0" t="n">
        <v>3</v>
      </c>
      <c r="I208" s="39" t="n">
        <v>45000</v>
      </c>
      <c r="J208" s="40" t="n">
        <v>0</v>
      </c>
      <c r="K208" s="39" t="n">
        <v>135000</v>
      </c>
      <c r="L208" s="39" t="n">
        <v>108000</v>
      </c>
      <c r="M208" s="39" t="n">
        <v>27000</v>
      </c>
      <c r="N208" s="38" t="s">
        <v>66</v>
      </c>
      <c r="O208" s="38" t="n">
        <f aca="false">YEAR(B208)</f>
        <v>2025</v>
      </c>
      <c r="P208" s="41" t="n">
        <f aca="false">DATE(YEAR(B208),MONTH(B208),1)</f>
        <v>45689</v>
      </c>
      <c r="Q208" s="0" t="str">
        <f aca="false">INDEX(Products!$C$2:$C$16,MATCH(E208,Products!$A$2:$A$16,0))</f>
        <v>Technology</v>
      </c>
      <c r="R208" s="0" t="str">
        <f aca="false">INDEX(Customers!$F$2:$F$101,MATCH(D208,Customers!$A$2:$A$101,0))</f>
        <v>North</v>
      </c>
      <c r="S208" s="0" t="str">
        <f aca="false">INDEX(Customers!$C$2:$C$101,MATCH(D208,Customers!$A$2:$A$101,0))</f>
        <v>Small Business</v>
      </c>
      <c r="T208" s="0" t="str">
        <f aca="false">INDEX(Customers!$D$2:$D$101,MATCH(D208,Customers!$A$2:$A$101,0))</f>
        <v>Lucknow</v>
      </c>
    </row>
    <row r="209" customFormat="false" ht="15" hidden="false" customHeight="false" outlineLevel="0" collapsed="false">
      <c r="A209" s="0" t="s">
        <v>472</v>
      </c>
      <c r="B209" s="37" t="n">
        <v>45753</v>
      </c>
      <c r="C209" s="37" t="n">
        <v>45760</v>
      </c>
      <c r="D209" s="38" t="s">
        <v>473</v>
      </c>
      <c r="E209" s="38" t="s">
        <v>121</v>
      </c>
      <c r="F209" s="38" t="s">
        <v>102</v>
      </c>
      <c r="G209" s="38" t="s">
        <v>188</v>
      </c>
      <c r="H209" s="0" t="n">
        <v>2</v>
      </c>
      <c r="I209" s="39" t="n">
        <v>180</v>
      </c>
      <c r="J209" s="40" t="n">
        <v>0.25</v>
      </c>
      <c r="K209" s="39" t="n">
        <v>270</v>
      </c>
      <c r="L209" s="39" t="n">
        <v>140</v>
      </c>
      <c r="M209" s="39" t="n">
        <v>130</v>
      </c>
      <c r="N209" s="38" t="s">
        <v>66</v>
      </c>
      <c r="O209" s="38" t="n">
        <f aca="false">YEAR(B209)</f>
        <v>2025</v>
      </c>
      <c r="P209" s="41" t="n">
        <f aca="false">DATE(YEAR(B209),MONTH(B209),1)</f>
        <v>45748</v>
      </c>
      <c r="Q209" s="0" t="str">
        <f aca="false">INDEX(Products!$C$2:$C$16,MATCH(E209,Products!$A$2:$A$16,0))</f>
        <v>Office Supplies</v>
      </c>
      <c r="R209" s="0" t="str">
        <f aca="false">INDEX(Customers!$F$2:$F$101,MATCH(D209,Customers!$A$2:$A$101,0))</f>
        <v>North</v>
      </c>
      <c r="S209" s="0" t="str">
        <f aca="false">INDEX(Customers!$C$2:$C$101,MATCH(D209,Customers!$A$2:$A$101,0))</f>
        <v>Consumer</v>
      </c>
      <c r="T209" s="0" t="str">
        <f aca="false">INDEX(Customers!$D$2:$D$101,MATCH(D209,Customers!$A$2:$A$101,0))</f>
        <v>Gurugram</v>
      </c>
    </row>
    <row r="210" customFormat="false" ht="15" hidden="false" customHeight="false" outlineLevel="0" collapsed="false">
      <c r="A210" s="0" t="s">
        <v>474</v>
      </c>
      <c r="B210" s="37" t="n">
        <v>45674</v>
      </c>
      <c r="C210" s="37" t="n">
        <v>45681</v>
      </c>
      <c r="D210" s="38" t="s">
        <v>354</v>
      </c>
      <c r="E210" s="38" t="s">
        <v>119</v>
      </c>
      <c r="F210" s="38" t="s">
        <v>101</v>
      </c>
      <c r="G210" s="38" t="s">
        <v>173</v>
      </c>
      <c r="H210" s="0" t="n">
        <v>10</v>
      </c>
      <c r="I210" s="39" t="n">
        <v>250</v>
      </c>
      <c r="J210" s="40" t="n">
        <v>0.15</v>
      </c>
      <c r="K210" s="39" t="n">
        <v>2125</v>
      </c>
      <c r="L210" s="39" t="n">
        <v>1200</v>
      </c>
      <c r="M210" s="39" t="n">
        <v>925</v>
      </c>
      <c r="N210" s="38" t="s">
        <v>66</v>
      </c>
      <c r="O210" s="38" t="n">
        <f aca="false">YEAR(B210)</f>
        <v>2025</v>
      </c>
      <c r="P210" s="41" t="n">
        <f aca="false">DATE(YEAR(B210),MONTH(B210),1)</f>
        <v>45658</v>
      </c>
      <c r="Q210" s="0" t="str">
        <f aca="false">INDEX(Products!$C$2:$C$16,MATCH(E210,Products!$A$2:$A$16,0))</f>
        <v>Office Supplies</v>
      </c>
      <c r="R210" s="0" t="str">
        <f aca="false">INDEX(Customers!$F$2:$F$101,MATCH(D210,Customers!$A$2:$A$101,0))</f>
        <v>East</v>
      </c>
      <c r="S210" s="0" t="str">
        <f aca="false">INDEX(Customers!$C$2:$C$101,MATCH(D210,Customers!$A$2:$A$101,0))</f>
        <v>Small Business</v>
      </c>
      <c r="T210" s="0" t="str">
        <f aca="false">INDEX(Customers!$D$2:$D$101,MATCH(D210,Customers!$A$2:$A$101,0))</f>
        <v>Bhubaneswar</v>
      </c>
    </row>
    <row r="211" customFormat="false" ht="15" hidden="false" customHeight="false" outlineLevel="0" collapsed="false">
      <c r="A211" s="0" t="s">
        <v>475</v>
      </c>
      <c r="B211" s="37" t="n">
        <v>45804</v>
      </c>
      <c r="C211" s="37" t="n">
        <v>45805</v>
      </c>
      <c r="D211" s="38" t="s">
        <v>447</v>
      </c>
      <c r="E211" s="38" t="s">
        <v>119</v>
      </c>
      <c r="F211" s="38" t="s">
        <v>102</v>
      </c>
      <c r="G211" s="38" t="s">
        <v>170</v>
      </c>
      <c r="H211" s="0" t="n">
        <v>1</v>
      </c>
      <c r="I211" s="39" t="n">
        <v>250</v>
      </c>
      <c r="J211" s="40" t="n">
        <v>0</v>
      </c>
      <c r="K211" s="39" t="n">
        <v>250</v>
      </c>
      <c r="L211" s="39" t="n">
        <v>120</v>
      </c>
      <c r="M211" s="39" t="n">
        <v>130</v>
      </c>
      <c r="N211" s="38" t="s">
        <v>66</v>
      </c>
      <c r="O211" s="38" t="n">
        <f aca="false">YEAR(B211)</f>
        <v>2025</v>
      </c>
      <c r="P211" s="41" t="n">
        <f aca="false">DATE(YEAR(B211),MONTH(B211),1)</f>
        <v>45778</v>
      </c>
      <c r="Q211" s="0" t="str">
        <f aca="false">INDEX(Products!$C$2:$C$16,MATCH(E211,Products!$A$2:$A$16,0))</f>
        <v>Office Supplies</v>
      </c>
      <c r="R211" s="0" t="str">
        <f aca="false">INDEX(Customers!$F$2:$F$101,MATCH(D211,Customers!$A$2:$A$101,0))</f>
        <v>North</v>
      </c>
      <c r="S211" s="0" t="str">
        <f aca="false">INDEX(Customers!$C$2:$C$101,MATCH(D211,Customers!$A$2:$A$101,0))</f>
        <v>Corporate</v>
      </c>
      <c r="T211" s="0" t="str">
        <f aca="false">INDEX(Customers!$D$2:$D$101,MATCH(D211,Customers!$A$2:$A$101,0))</f>
        <v>Jaipur</v>
      </c>
    </row>
    <row r="212" customFormat="false" ht="15" hidden="false" customHeight="false" outlineLevel="0" collapsed="false">
      <c r="A212" s="0" t="s">
        <v>476</v>
      </c>
      <c r="B212" s="37" t="n">
        <v>45444</v>
      </c>
      <c r="C212" s="37" t="n">
        <v>45449</v>
      </c>
      <c r="D212" s="38" t="s">
        <v>433</v>
      </c>
      <c r="E212" s="38" t="s">
        <v>120</v>
      </c>
      <c r="F212" s="38" t="s">
        <v>101</v>
      </c>
      <c r="G212" s="38" t="s">
        <v>188</v>
      </c>
      <c r="H212" s="0" t="n">
        <v>6</v>
      </c>
      <c r="I212" s="39" t="n">
        <v>400</v>
      </c>
      <c r="J212" s="40" t="n">
        <v>0</v>
      </c>
      <c r="K212" s="39" t="n">
        <v>2400</v>
      </c>
      <c r="L212" s="39" t="n">
        <v>1560</v>
      </c>
      <c r="M212" s="39" t="n">
        <v>840</v>
      </c>
      <c r="N212" s="38" t="s">
        <v>66</v>
      </c>
      <c r="O212" s="38" t="n">
        <f aca="false">YEAR(B212)</f>
        <v>2024</v>
      </c>
      <c r="P212" s="41" t="n">
        <f aca="false">DATE(YEAR(B212),MONTH(B212),1)</f>
        <v>45444</v>
      </c>
      <c r="Q212" s="0" t="str">
        <f aca="false">INDEX(Products!$C$2:$C$16,MATCH(E212,Products!$A$2:$A$16,0))</f>
        <v>Office Supplies</v>
      </c>
      <c r="R212" s="0" t="str">
        <f aca="false">INDEX(Customers!$F$2:$F$101,MATCH(D212,Customers!$A$2:$A$101,0))</f>
        <v>North</v>
      </c>
      <c r="S212" s="0" t="str">
        <f aca="false">INDEX(Customers!$C$2:$C$101,MATCH(D212,Customers!$A$2:$A$101,0))</f>
        <v>Consumer</v>
      </c>
      <c r="T212" s="0" t="str">
        <f aca="false">INDEX(Customers!$D$2:$D$101,MATCH(D212,Customers!$A$2:$A$101,0))</f>
        <v>Delhi</v>
      </c>
    </row>
    <row r="213" customFormat="false" ht="15" hidden="false" customHeight="false" outlineLevel="0" collapsed="false">
      <c r="A213" s="0" t="s">
        <v>477</v>
      </c>
      <c r="B213" s="37" t="n">
        <v>46049</v>
      </c>
      <c r="C213" s="37" t="n">
        <v>46056</v>
      </c>
      <c r="D213" s="38" t="s">
        <v>371</v>
      </c>
      <c r="E213" s="38" t="s">
        <v>122</v>
      </c>
      <c r="F213" s="38" t="s">
        <v>102</v>
      </c>
      <c r="G213" s="38" t="s">
        <v>188</v>
      </c>
      <c r="H213" s="0" t="n">
        <v>1</v>
      </c>
      <c r="I213" s="39" t="n">
        <v>5500</v>
      </c>
      <c r="J213" s="40" t="n">
        <v>0.05</v>
      </c>
      <c r="K213" s="39" t="n">
        <v>5225</v>
      </c>
      <c r="L213" s="39" t="n">
        <v>3700</v>
      </c>
      <c r="M213" s="39" t="n">
        <v>1525</v>
      </c>
      <c r="N213" s="38" t="s">
        <v>66</v>
      </c>
      <c r="O213" s="38" t="n">
        <f aca="false">YEAR(B213)</f>
        <v>2026</v>
      </c>
      <c r="P213" s="41" t="n">
        <f aca="false">DATE(YEAR(B213),MONTH(B213),1)</f>
        <v>46023</v>
      </c>
      <c r="Q213" s="0" t="str">
        <f aca="false">INDEX(Products!$C$2:$C$16,MATCH(E213,Products!$A$2:$A$16,0))</f>
        <v>Furniture</v>
      </c>
      <c r="R213" s="0" t="str">
        <f aca="false">INDEX(Customers!$F$2:$F$101,MATCH(D213,Customers!$A$2:$A$101,0))</f>
        <v>South</v>
      </c>
      <c r="S213" s="0" t="str">
        <f aca="false">INDEX(Customers!$C$2:$C$101,MATCH(D213,Customers!$A$2:$A$101,0))</f>
        <v>Consumer</v>
      </c>
      <c r="T213" s="0" t="str">
        <f aca="false">INDEX(Customers!$D$2:$D$101,MATCH(D213,Customers!$A$2:$A$101,0))</f>
        <v>Bengaluru</v>
      </c>
    </row>
    <row r="214" customFormat="false" ht="15" hidden="false" customHeight="false" outlineLevel="0" collapsed="false">
      <c r="A214" s="0" t="s">
        <v>478</v>
      </c>
      <c r="B214" s="37" t="n">
        <v>45598</v>
      </c>
      <c r="C214" s="37" t="n">
        <v>45602</v>
      </c>
      <c r="D214" s="38" t="s">
        <v>397</v>
      </c>
      <c r="E214" s="38" t="s">
        <v>122</v>
      </c>
      <c r="F214" s="38" t="s">
        <v>101</v>
      </c>
      <c r="G214" s="38" t="s">
        <v>178</v>
      </c>
      <c r="H214" s="0" t="n">
        <v>5</v>
      </c>
      <c r="I214" s="39" t="n">
        <v>5500</v>
      </c>
      <c r="J214" s="40" t="n">
        <v>0.05</v>
      </c>
      <c r="K214" s="39" t="n">
        <v>26125</v>
      </c>
      <c r="L214" s="39" t="n">
        <v>18500</v>
      </c>
      <c r="M214" s="39" t="n">
        <v>7625</v>
      </c>
      <c r="N214" s="38" t="s">
        <v>147</v>
      </c>
      <c r="O214" s="38" t="n">
        <f aca="false">YEAR(B214)</f>
        <v>2024</v>
      </c>
      <c r="P214" s="41" t="n">
        <f aca="false">DATE(YEAR(B214),MONTH(B214),1)</f>
        <v>45597</v>
      </c>
      <c r="Q214" s="0" t="str">
        <f aca="false">INDEX(Products!$C$2:$C$16,MATCH(E214,Products!$A$2:$A$16,0))</f>
        <v>Furniture</v>
      </c>
      <c r="R214" s="0" t="str">
        <f aca="false">INDEX(Customers!$F$2:$F$101,MATCH(D214,Customers!$A$2:$A$101,0))</f>
        <v>West</v>
      </c>
      <c r="S214" s="0" t="str">
        <f aca="false">INDEX(Customers!$C$2:$C$101,MATCH(D214,Customers!$A$2:$A$101,0))</f>
        <v>Consumer</v>
      </c>
      <c r="T214" s="0" t="str">
        <f aca="false">INDEX(Customers!$D$2:$D$101,MATCH(D214,Customers!$A$2:$A$101,0))</f>
        <v>Mumbai</v>
      </c>
    </row>
    <row r="215" customFormat="false" ht="15" hidden="false" customHeight="false" outlineLevel="0" collapsed="false">
      <c r="A215" s="0" t="s">
        <v>479</v>
      </c>
      <c r="B215" s="37" t="n">
        <v>46107</v>
      </c>
      <c r="C215" s="37" t="n">
        <v>46113</v>
      </c>
      <c r="D215" s="38" t="s">
        <v>200</v>
      </c>
      <c r="E215" s="38" t="s">
        <v>117</v>
      </c>
      <c r="F215" s="38" t="s">
        <v>100</v>
      </c>
      <c r="G215" s="38" t="s">
        <v>188</v>
      </c>
      <c r="H215" s="0" t="n">
        <v>5</v>
      </c>
      <c r="I215" s="39" t="n">
        <v>6500</v>
      </c>
      <c r="J215" s="40" t="n">
        <v>0.2</v>
      </c>
      <c r="K215" s="39" t="n">
        <v>26000</v>
      </c>
      <c r="L215" s="39" t="n">
        <v>21000</v>
      </c>
      <c r="M215" s="39" t="n">
        <v>5000</v>
      </c>
      <c r="N215" s="38" t="s">
        <v>66</v>
      </c>
      <c r="O215" s="38" t="n">
        <f aca="false">YEAR(B215)</f>
        <v>2026</v>
      </c>
      <c r="P215" s="41" t="n">
        <f aca="false">DATE(YEAR(B215),MONTH(B215),1)</f>
        <v>46082</v>
      </c>
      <c r="Q215" s="0" t="str">
        <f aca="false">INDEX(Products!$C$2:$C$16,MATCH(E215,Products!$A$2:$A$16,0))</f>
        <v>Furniture</v>
      </c>
      <c r="R215" s="0" t="str">
        <f aca="false">INDEX(Customers!$F$2:$F$101,MATCH(D215,Customers!$A$2:$A$101,0))</f>
        <v>West</v>
      </c>
      <c r="S215" s="0" t="str">
        <f aca="false">INDEX(Customers!$C$2:$C$101,MATCH(D215,Customers!$A$2:$A$101,0))</f>
        <v>Corporate</v>
      </c>
      <c r="T215" s="0" t="str">
        <f aca="false">INDEX(Customers!$D$2:$D$101,MATCH(D215,Customers!$A$2:$A$101,0))</f>
        <v>Mumbai</v>
      </c>
    </row>
    <row r="216" customFormat="false" ht="15" hidden="false" customHeight="false" outlineLevel="0" collapsed="false">
      <c r="A216" s="0" t="s">
        <v>480</v>
      </c>
      <c r="B216" s="37" t="n">
        <v>46287</v>
      </c>
      <c r="C216" s="37" t="n">
        <v>46294</v>
      </c>
      <c r="D216" s="38" t="s">
        <v>215</v>
      </c>
      <c r="E216" s="38" t="s">
        <v>125</v>
      </c>
      <c r="F216" s="38" t="s">
        <v>102</v>
      </c>
      <c r="G216" s="38" t="s">
        <v>178</v>
      </c>
      <c r="H216" s="0" t="n">
        <v>3</v>
      </c>
      <c r="I216" s="39" t="n">
        <v>600</v>
      </c>
      <c r="J216" s="40" t="n">
        <v>0</v>
      </c>
      <c r="K216" s="39" t="n">
        <v>1800</v>
      </c>
      <c r="L216" s="39" t="n">
        <v>1050</v>
      </c>
      <c r="M216" s="39" t="n">
        <v>750</v>
      </c>
      <c r="N216" s="38" t="s">
        <v>66</v>
      </c>
      <c r="O216" s="38" t="n">
        <f aca="false">YEAR(B216)</f>
        <v>2026</v>
      </c>
      <c r="P216" s="41" t="n">
        <f aca="false">DATE(YEAR(B216),MONTH(B216),1)</f>
        <v>46266</v>
      </c>
      <c r="Q216" s="0" t="str">
        <f aca="false">INDEX(Products!$C$2:$C$16,MATCH(E216,Products!$A$2:$A$16,0))</f>
        <v>Office Supplies</v>
      </c>
      <c r="R216" s="0" t="str">
        <f aca="false">INDEX(Customers!$F$2:$F$101,MATCH(D216,Customers!$A$2:$A$101,0))</f>
        <v>North</v>
      </c>
      <c r="S216" s="0" t="str">
        <f aca="false">INDEX(Customers!$C$2:$C$101,MATCH(D216,Customers!$A$2:$A$101,0))</f>
        <v>Consumer</v>
      </c>
      <c r="T216" s="0" t="str">
        <f aca="false">INDEX(Customers!$D$2:$D$101,MATCH(D216,Customers!$A$2:$A$101,0))</f>
        <v>Jaipur</v>
      </c>
    </row>
    <row r="217" customFormat="false" ht="15" hidden="false" customHeight="false" outlineLevel="0" collapsed="false">
      <c r="A217" s="0" t="s">
        <v>481</v>
      </c>
      <c r="B217" s="37" t="n">
        <v>45936</v>
      </c>
      <c r="C217" s="37" t="n">
        <v>45942</v>
      </c>
      <c r="D217" s="38" t="s">
        <v>219</v>
      </c>
      <c r="E217" s="38" t="s">
        <v>121</v>
      </c>
      <c r="F217" s="38" t="s">
        <v>101</v>
      </c>
      <c r="G217" s="38" t="s">
        <v>173</v>
      </c>
      <c r="H217" s="0" t="n">
        <v>3</v>
      </c>
      <c r="I217" s="39" t="n">
        <v>180</v>
      </c>
      <c r="J217" s="40" t="n">
        <v>0.25</v>
      </c>
      <c r="K217" s="39" t="n">
        <v>405</v>
      </c>
      <c r="L217" s="39" t="n">
        <v>210</v>
      </c>
      <c r="M217" s="39" t="n">
        <v>195</v>
      </c>
      <c r="N217" s="38" t="s">
        <v>66</v>
      </c>
      <c r="O217" s="38" t="n">
        <f aca="false">YEAR(B217)</f>
        <v>2025</v>
      </c>
      <c r="P217" s="41" t="n">
        <f aca="false">DATE(YEAR(B217),MONTH(B217),1)</f>
        <v>45931</v>
      </c>
      <c r="Q217" s="0" t="str">
        <f aca="false">INDEX(Products!$C$2:$C$16,MATCH(E217,Products!$A$2:$A$16,0))</f>
        <v>Office Supplies</v>
      </c>
      <c r="R217" s="0" t="str">
        <f aca="false">INDEX(Customers!$F$2:$F$101,MATCH(D217,Customers!$A$2:$A$101,0))</f>
        <v>North</v>
      </c>
      <c r="S217" s="0" t="str">
        <f aca="false">INDEX(Customers!$C$2:$C$101,MATCH(D217,Customers!$A$2:$A$101,0))</f>
        <v>Small Business</v>
      </c>
      <c r="T217" s="0" t="str">
        <f aca="false">INDEX(Customers!$D$2:$D$101,MATCH(D217,Customers!$A$2:$A$101,0))</f>
        <v>Lucknow</v>
      </c>
    </row>
    <row r="218" customFormat="false" ht="15" hidden="false" customHeight="false" outlineLevel="0" collapsed="false">
      <c r="A218" s="0" t="s">
        <v>482</v>
      </c>
      <c r="B218" s="37" t="n">
        <v>45878</v>
      </c>
      <c r="C218" s="37" t="n">
        <v>45884</v>
      </c>
      <c r="D218" s="38" t="s">
        <v>230</v>
      </c>
      <c r="E218" s="38" t="s">
        <v>113</v>
      </c>
      <c r="F218" s="38" t="s">
        <v>101</v>
      </c>
      <c r="G218" s="38" t="s">
        <v>170</v>
      </c>
      <c r="H218" s="0" t="n">
        <v>1</v>
      </c>
      <c r="I218" s="39" t="n">
        <v>45000</v>
      </c>
      <c r="J218" s="40" t="n">
        <v>0</v>
      </c>
      <c r="K218" s="39" t="n">
        <v>45000</v>
      </c>
      <c r="L218" s="39" t="n">
        <v>36000</v>
      </c>
      <c r="M218" s="39" t="n">
        <v>9000</v>
      </c>
      <c r="N218" s="38" t="s">
        <v>66</v>
      </c>
      <c r="O218" s="38" t="n">
        <f aca="false">YEAR(B218)</f>
        <v>2025</v>
      </c>
      <c r="P218" s="41" t="n">
        <f aca="false">DATE(YEAR(B218),MONTH(B218),1)</f>
        <v>45870</v>
      </c>
      <c r="Q218" s="0" t="str">
        <f aca="false">INDEX(Products!$C$2:$C$16,MATCH(E218,Products!$A$2:$A$16,0))</f>
        <v>Technology</v>
      </c>
      <c r="R218" s="0" t="str">
        <f aca="false">INDEX(Customers!$F$2:$F$101,MATCH(D218,Customers!$A$2:$A$101,0))</f>
        <v>East</v>
      </c>
      <c r="S218" s="0" t="str">
        <f aca="false">INDEX(Customers!$C$2:$C$101,MATCH(D218,Customers!$A$2:$A$101,0))</f>
        <v>Consumer</v>
      </c>
      <c r="T218" s="0" t="str">
        <f aca="false">INDEX(Customers!$D$2:$D$101,MATCH(D218,Customers!$A$2:$A$101,0))</f>
        <v>Kolkata</v>
      </c>
    </row>
    <row r="219" customFormat="false" ht="15" hidden="false" customHeight="false" outlineLevel="0" collapsed="false">
      <c r="A219" s="0" t="s">
        <v>483</v>
      </c>
      <c r="B219" s="37" t="n">
        <v>45500</v>
      </c>
      <c r="C219" s="37" t="n">
        <v>45504</v>
      </c>
      <c r="D219" s="38" t="s">
        <v>198</v>
      </c>
      <c r="E219" s="38" t="s">
        <v>124</v>
      </c>
      <c r="F219" s="38" t="s">
        <v>101</v>
      </c>
      <c r="G219" s="38" t="s">
        <v>178</v>
      </c>
      <c r="H219" s="0" t="n">
        <v>2</v>
      </c>
      <c r="I219" s="39" t="n">
        <v>3000</v>
      </c>
      <c r="J219" s="40" t="n">
        <v>0.15</v>
      </c>
      <c r="K219" s="39" t="n">
        <v>5100</v>
      </c>
      <c r="L219" s="39" t="n">
        <v>3800</v>
      </c>
      <c r="M219" s="39" t="n">
        <v>1300</v>
      </c>
      <c r="N219" s="38" t="s">
        <v>66</v>
      </c>
      <c r="O219" s="38" t="n">
        <f aca="false">YEAR(B219)</f>
        <v>2024</v>
      </c>
      <c r="P219" s="41" t="n">
        <f aca="false">DATE(YEAR(B219),MONTH(B219),1)</f>
        <v>45474</v>
      </c>
      <c r="Q219" s="0" t="str">
        <f aca="false">INDEX(Products!$C$2:$C$16,MATCH(E219,Products!$A$2:$A$16,0))</f>
        <v>Technology</v>
      </c>
      <c r="R219" s="0" t="str">
        <f aca="false">INDEX(Customers!$F$2:$F$101,MATCH(D219,Customers!$A$2:$A$101,0))</f>
        <v>North</v>
      </c>
      <c r="S219" s="0" t="str">
        <f aca="false">INDEX(Customers!$C$2:$C$101,MATCH(D219,Customers!$A$2:$A$101,0))</f>
        <v>Consumer</v>
      </c>
      <c r="T219" s="0" t="str">
        <f aca="false">INDEX(Customers!$D$2:$D$101,MATCH(D219,Customers!$A$2:$A$101,0))</f>
        <v>Gurugram</v>
      </c>
    </row>
    <row r="220" customFormat="false" ht="15" hidden="false" customHeight="false" outlineLevel="0" collapsed="false">
      <c r="A220" s="0" t="s">
        <v>484</v>
      </c>
      <c r="B220" s="37" t="n">
        <v>45866</v>
      </c>
      <c r="C220" s="37" t="n">
        <v>45869</v>
      </c>
      <c r="D220" s="38" t="s">
        <v>433</v>
      </c>
      <c r="E220" s="38" t="s">
        <v>116</v>
      </c>
      <c r="F220" s="38" t="s">
        <v>102</v>
      </c>
      <c r="G220" s="38" t="s">
        <v>185</v>
      </c>
      <c r="H220" s="0" t="n">
        <v>10</v>
      </c>
      <c r="I220" s="39" t="n">
        <v>12000</v>
      </c>
      <c r="J220" s="40" t="n">
        <v>0.1</v>
      </c>
      <c r="K220" s="39" t="n">
        <v>108000</v>
      </c>
      <c r="L220" s="39" t="n">
        <v>90000</v>
      </c>
      <c r="M220" s="39" t="n">
        <v>18000</v>
      </c>
      <c r="N220" s="38" t="s">
        <v>66</v>
      </c>
      <c r="O220" s="38" t="n">
        <f aca="false">YEAR(B220)</f>
        <v>2025</v>
      </c>
      <c r="P220" s="41" t="n">
        <f aca="false">DATE(YEAR(B220),MONTH(B220),1)</f>
        <v>45839</v>
      </c>
      <c r="Q220" s="0" t="str">
        <f aca="false">INDEX(Products!$C$2:$C$16,MATCH(E220,Products!$A$2:$A$16,0))</f>
        <v>Technology</v>
      </c>
      <c r="R220" s="0" t="str">
        <f aca="false">INDEX(Customers!$F$2:$F$101,MATCH(D220,Customers!$A$2:$A$101,0))</f>
        <v>North</v>
      </c>
      <c r="S220" s="0" t="str">
        <f aca="false">INDEX(Customers!$C$2:$C$101,MATCH(D220,Customers!$A$2:$A$101,0))</f>
        <v>Consumer</v>
      </c>
      <c r="T220" s="0" t="str">
        <f aca="false">INDEX(Customers!$D$2:$D$101,MATCH(D220,Customers!$A$2:$A$101,0))</f>
        <v>Delhi</v>
      </c>
    </row>
    <row r="221" customFormat="false" ht="15" hidden="false" customHeight="false" outlineLevel="0" collapsed="false">
      <c r="A221" s="0" t="s">
        <v>485</v>
      </c>
      <c r="B221" s="37" t="n">
        <v>46226</v>
      </c>
      <c r="C221" s="37" t="n">
        <v>46231</v>
      </c>
      <c r="D221" s="38" t="s">
        <v>246</v>
      </c>
      <c r="E221" s="38" t="s">
        <v>120</v>
      </c>
      <c r="F221" s="38" t="s">
        <v>102</v>
      </c>
      <c r="G221" s="38" t="s">
        <v>170</v>
      </c>
      <c r="H221" s="0" t="n">
        <v>2</v>
      </c>
      <c r="I221" s="39" t="n">
        <v>400</v>
      </c>
      <c r="J221" s="40" t="n">
        <v>0.05</v>
      </c>
      <c r="K221" s="39" t="n">
        <v>760</v>
      </c>
      <c r="L221" s="39" t="n">
        <v>520</v>
      </c>
      <c r="M221" s="39" t="n">
        <v>240</v>
      </c>
      <c r="N221" s="38" t="s">
        <v>66</v>
      </c>
      <c r="O221" s="38" t="n">
        <f aca="false">YEAR(B221)</f>
        <v>2026</v>
      </c>
      <c r="P221" s="41" t="n">
        <f aca="false">DATE(YEAR(B221),MONTH(B221),1)</f>
        <v>46204</v>
      </c>
      <c r="Q221" s="0" t="str">
        <f aca="false">INDEX(Products!$C$2:$C$16,MATCH(E221,Products!$A$2:$A$16,0))</f>
        <v>Office Supplies</v>
      </c>
      <c r="R221" s="0" t="str">
        <f aca="false">INDEX(Customers!$F$2:$F$101,MATCH(D221,Customers!$A$2:$A$101,0))</f>
        <v>North</v>
      </c>
      <c r="S221" s="0" t="str">
        <f aca="false">INDEX(Customers!$C$2:$C$101,MATCH(D221,Customers!$A$2:$A$101,0))</f>
        <v>Consumer</v>
      </c>
      <c r="T221" s="0" t="str">
        <f aca="false">INDEX(Customers!$D$2:$D$101,MATCH(D221,Customers!$A$2:$A$101,0))</f>
        <v>Jaipur</v>
      </c>
    </row>
    <row r="222" customFormat="false" ht="15" hidden="false" customHeight="false" outlineLevel="0" collapsed="false">
      <c r="A222" s="0" t="s">
        <v>486</v>
      </c>
      <c r="B222" s="37" t="n">
        <v>45577</v>
      </c>
      <c r="C222" s="37" t="n">
        <v>45582</v>
      </c>
      <c r="D222" s="38" t="s">
        <v>236</v>
      </c>
      <c r="E222" s="38" t="s">
        <v>116</v>
      </c>
      <c r="F222" s="38" t="s">
        <v>101</v>
      </c>
      <c r="G222" s="38" t="s">
        <v>173</v>
      </c>
      <c r="H222" s="0" t="n">
        <v>1</v>
      </c>
      <c r="I222" s="39" t="n">
        <v>12000</v>
      </c>
      <c r="J222" s="40" t="n">
        <v>0.05</v>
      </c>
      <c r="K222" s="39" t="n">
        <v>11400</v>
      </c>
      <c r="L222" s="39" t="n">
        <v>9000</v>
      </c>
      <c r="M222" s="39" t="n">
        <v>2400</v>
      </c>
      <c r="N222" s="38" t="s">
        <v>66</v>
      </c>
      <c r="O222" s="38" t="n">
        <f aca="false">YEAR(B222)</f>
        <v>2024</v>
      </c>
      <c r="P222" s="41" t="n">
        <f aca="false">DATE(YEAR(B222),MONTH(B222),1)</f>
        <v>45566</v>
      </c>
      <c r="Q222" s="0" t="str">
        <f aca="false">INDEX(Products!$C$2:$C$16,MATCH(E222,Products!$A$2:$A$16,0))</f>
        <v>Technology</v>
      </c>
      <c r="R222" s="0" t="str">
        <f aca="false">INDEX(Customers!$F$2:$F$101,MATCH(D222,Customers!$A$2:$A$101,0))</f>
        <v>West</v>
      </c>
      <c r="S222" s="0" t="str">
        <f aca="false">INDEX(Customers!$C$2:$C$101,MATCH(D222,Customers!$A$2:$A$101,0))</f>
        <v>Small Business</v>
      </c>
      <c r="T222" s="0" t="str">
        <f aca="false">INDEX(Customers!$D$2:$D$101,MATCH(D222,Customers!$A$2:$A$101,0))</f>
        <v>Pune</v>
      </c>
    </row>
    <row r="223" customFormat="false" ht="15" hidden="false" customHeight="false" outlineLevel="0" collapsed="false">
      <c r="A223" s="0" t="s">
        <v>487</v>
      </c>
      <c r="B223" s="37" t="n">
        <v>45783</v>
      </c>
      <c r="C223" s="37" t="n">
        <v>45786</v>
      </c>
      <c r="D223" s="38" t="s">
        <v>238</v>
      </c>
      <c r="E223" s="38" t="s">
        <v>118</v>
      </c>
      <c r="F223" s="38" t="s">
        <v>102</v>
      </c>
      <c r="G223" s="38" t="s">
        <v>170</v>
      </c>
      <c r="H223" s="0" t="n">
        <v>3</v>
      </c>
      <c r="I223" s="39" t="n">
        <v>9000</v>
      </c>
      <c r="J223" s="40" t="n">
        <v>0.25</v>
      </c>
      <c r="K223" s="39" t="n">
        <v>20250</v>
      </c>
      <c r="L223" s="39" t="n">
        <v>19500</v>
      </c>
      <c r="M223" s="39" t="n">
        <v>750</v>
      </c>
      <c r="N223" s="38" t="s">
        <v>66</v>
      </c>
      <c r="O223" s="38" t="n">
        <f aca="false">YEAR(B223)</f>
        <v>2025</v>
      </c>
      <c r="P223" s="41" t="n">
        <f aca="false">DATE(YEAR(B223),MONTH(B223),1)</f>
        <v>45778</v>
      </c>
      <c r="Q223" s="0" t="str">
        <f aca="false">INDEX(Products!$C$2:$C$16,MATCH(E223,Products!$A$2:$A$16,0))</f>
        <v>Furniture</v>
      </c>
      <c r="R223" s="0" t="str">
        <f aca="false">INDEX(Customers!$F$2:$F$101,MATCH(D223,Customers!$A$2:$A$101,0))</f>
        <v>North</v>
      </c>
      <c r="S223" s="0" t="str">
        <f aca="false">INDEX(Customers!$C$2:$C$101,MATCH(D223,Customers!$A$2:$A$101,0))</f>
        <v>Small Business</v>
      </c>
      <c r="T223" s="0" t="str">
        <f aca="false">INDEX(Customers!$D$2:$D$101,MATCH(D223,Customers!$A$2:$A$101,0))</f>
        <v>Lucknow</v>
      </c>
    </row>
    <row r="224" customFormat="false" ht="15" hidden="false" customHeight="false" outlineLevel="0" collapsed="false">
      <c r="A224" s="0" t="s">
        <v>488</v>
      </c>
      <c r="B224" s="37" t="n">
        <v>45848</v>
      </c>
      <c r="C224" s="37" t="n">
        <v>45852</v>
      </c>
      <c r="D224" s="38" t="s">
        <v>409</v>
      </c>
      <c r="E224" s="38" t="s">
        <v>123</v>
      </c>
      <c r="F224" s="38" t="s">
        <v>101</v>
      </c>
      <c r="G224" s="38" t="s">
        <v>173</v>
      </c>
      <c r="H224" s="0" t="n">
        <v>6</v>
      </c>
      <c r="I224" s="39" t="n">
        <v>2200</v>
      </c>
      <c r="J224" s="40" t="n">
        <v>0.1</v>
      </c>
      <c r="K224" s="39" t="n">
        <v>11880</v>
      </c>
      <c r="L224" s="39" t="n">
        <v>7800</v>
      </c>
      <c r="M224" s="39" t="n">
        <v>4080</v>
      </c>
      <c r="N224" s="38" t="s">
        <v>66</v>
      </c>
      <c r="O224" s="38" t="n">
        <f aca="false">YEAR(B224)</f>
        <v>2025</v>
      </c>
      <c r="P224" s="41" t="n">
        <f aca="false">DATE(YEAR(B224),MONTH(B224),1)</f>
        <v>45839</v>
      </c>
      <c r="Q224" s="0" t="str">
        <f aca="false">INDEX(Products!$C$2:$C$16,MATCH(E224,Products!$A$2:$A$16,0))</f>
        <v>Technology</v>
      </c>
      <c r="R224" s="0" t="str">
        <f aca="false">INDEX(Customers!$F$2:$F$101,MATCH(D224,Customers!$A$2:$A$101,0))</f>
        <v>East</v>
      </c>
      <c r="S224" s="0" t="str">
        <f aca="false">INDEX(Customers!$C$2:$C$101,MATCH(D224,Customers!$A$2:$A$101,0))</f>
        <v>Small Business</v>
      </c>
      <c r="T224" s="0" t="str">
        <f aca="false">INDEX(Customers!$D$2:$D$101,MATCH(D224,Customers!$A$2:$A$101,0))</f>
        <v>Bhubaneswar</v>
      </c>
    </row>
    <row r="225" customFormat="false" ht="15" hidden="false" customHeight="false" outlineLevel="0" collapsed="false">
      <c r="A225" s="0" t="s">
        <v>489</v>
      </c>
      <c r="B225" s="37" t="n">
        <v>45372</v>
      </c>
      <c r="C225" s="37" t="n">
        <v>45375</v>
      </c>
      <c r="D225" s="38" t="s">
        <v>175</v>
      </c>
      <c r="E225" s="38" t="s">
        <v>124</v>
      </c>
      <c r="F225" s="38" t="s">
        <v>101</v>
      </c>
      <c r="G225" s="38" t="s">
        <v>185</v>
      </c>
      <c r="H225" s="0" t="n">
        <v>6</v>
      </c>
      <c r="I225" s="39" t="n">
        <v>3000</v>
      </c>
      <c r="J225" s="40" t="n">
        <v>0.2</v>
      </c>
      <c r="K225" s="39" t="n">
        <v>14400</v>
      </c>
      <c r="L225" s="39" t="n">
        <v>11400</v>
      </c>
      <c r="M225" s="39" t="n">
        <v>3000</v>
      </c>
      <c r="N225" s="38" t="s">
        <v>66</v>
      </c>
      <c r="O225" s="38" t="n">
        <f aca="false">YEAR(B225)</f>
        <v>2024</v>
      </c>
      <c r="P225" s="41" t="n">
        <f aca="false">DATE(YEAR(B225),MONTH(B225),1)</f>
        <v>45352</v>
      </c>
      <c r="Q225" s="0" t="str">
        <f aca="false">INDEX(Products!$C$2:$C$16,MATCH(E225,Products!$A$2:$A$16,0))</f>
        <v>Technology</v>
      </c>
      <c r="R225" s="0" t="str">
        <f aca="false">INDEX(Customers!$F$2:$F$101,MATCH(D225,Customers!$A$2:$A$101,0))</f>
        <v>North</v>
      </c>
      <c r="S225" s="0" t="str">
        <f aca="false">INDEX(Customers!$C$2:$C$101,MATCH(D225,Customers!$A$2:$A$101,0))</f>
        <v>Corporate</v>
      </c>
      <c r="T225" s="0" t="str">
        <f aca="false">INDEX(Customers!$D$2:$D$101,MATCH(D225,Customers!$A$2:$A$101,0))</f>
        <v>Jaipur</v>
      </c>
    </row>
    <row r="226" customFormat="false" ht="15" hidden="false" customHeight="false" outlineLevel="0" collapsed="false">
      <c r="A226" s="0" t="s">
        <v>490</v>
      </c>
      <c r="B226" s="37" t="n">
        <v>46247</v>
      </c>
      <c r="C226" s="37" t="n">
        <v>46252</v>
      </c>
      <c r="D226" s="38" t="s">
        <v>208</v>
      </c>
      <c r="E226" s="38" t="s">
        <v>117</v>
      </c>
      <c r="F226" s="38" t="s">
        <v>100</v>
      </c>
      <c r="G226" s="38" t="s">
        <v>188</v>
      </c>
      <c r="H226" s="0" t="n">
        <v>3</v>
      </c>
      <c r="I226" s="39" t="n">
        <v>6500</v>
      </c>
      <c r="J226" s="40" t="n">
        <v>0</v>
      </c>
      <c r="K226" s="39" t="n">
        <v>19500</v>
      </c>
      <c r="L226" s="39" t="n">
        <v>12600</v>
      </c>
      <c r="M226" s="39" t="n">
        <v>6900</v>
      </c>
      <c r="N226" s="38" t="s">
        <v>66</v>
      </c>
      <c r="O226" s="38" t="n">
        <f aca="false">YEAR(B226)</f>
        <v>2026</v>
      </c>
      <c r="P226" s="41" t="n">
        <f aca="false">DATE(YEAR(B226),MONTH(B226),1)</f>
        <v>46235</v>
      </c>
      <c r="Q226" s="0" t="str">
        <f aca="false">INDEX(Products!$C$2:$C$16,MATCH(E226,Products!$A$2:$A$16,0))</f>
        <v>Furniture</v>
      </c>
      <c r="R226" s="0" t="str">
        <f aca="false">INDEX(Customers!$F$2:$F$101,MATCH(D226,Customers!$A$2:$A$101,0))</f>
        <v>North</v>
      </c>
      <c r="S226" s="0" t="str">
        <f aca="false">INDEX(Customers!$C$2:$C$101,MATCH(D226,Customers!$A$2:$A$101,0))</f>
        <v>Corporate</v>
      </c>
      <c r="T226" s="0" t="str">
        <f aca="false">INDEX(Customers!$D$2:$D$101,MATCH(D226,Customers!$A$2:$A$101,0))</f>
        <v>Gurugram</v>
      </c>
    </row>
    <row r="227" customFormat="false" ht="15" hidden="false" customHeight="false" outlineLevel="0" collapsed="false">
      <c r="A227" s="0" t="s">
        <v>491</v>
      </c>
      <c r="B227" s="37" t="n">
        <v>45343</v>
      </c>
      <c r="C227" s="37" t="n">
        <v>45349</v>
      </c>
      <c r="D227" s="38" t="s">
        <v>407</v>
      </c>
      <c r="E227" s="38" t="s">
        <v>116</v>
      </c>
      <c r="F227" s="38" t="s">
        <v>102</v>
      </c>
      <c r="G227" s="38" t="s">
        <v>173</v>
      </c>
      <c r="H227" s="0" t="n">
        <v>6</v>
      </c>
      <c r="I227" s="39" t="n">
        <v>12000</v>
      </c>
      <c r="J227" s="40" t="n">
        <v>0</v>
      </c>
      <c r="K227" s="39" t="n">
        <v>72000</v>
      </c>
      <c r="L227" s="39" t="n">
        <v>54000</v>
      </c>
      <c r="M227" s="39" t="n">
        <v>18000</v>
      </c>
      <c r="N227" s="38" t="s">
        <v>66</v>
      </c>
      <c r="O227" s="38" t="n">
        <f aca="false">YEAR(B227)</f>
        <v>2024</v>
      </c>
      <c r="P227" s="41" t="n">
        <f aca="false">DATE(YEAR(B227),MONTH(B227),1)</f>
        <v>45323</v>
      </c>
      <c r="Q227" s="0" t="str">
        <f aca="false">INDEX(Products!$C$2:$C$16,MATCH(E227,Products!$A$2:$A$16,0))</f>
        <v>Technology</v>
      </c>
      <c r="R227" s="0" t="str">
        <f aca="false">INDEX(Customers!$F$2:$F$101,MATCH(D227,Customers!$A$2:$A$101,0))</f>
        <v>North</v>
      </c>
      <c r="S227" s="0" t="str">
        <f aca="false">INDEX(Customers!$C$2:$C$101,MATCH(D227,Customers!$A$2:$A$101,0))</f>
        <v>Small Business</v>
      </c>
      <c r="T227" s="0" t="str">
        <f aca="false">INDEX(Customers!$D$2:$D$101,MATCH(D227,Customers!$A$2:$A$101,0))</f>
        <v>Delhi</v>
      </c>
    </row>
    <row r="228" customFormat="false" ht="15" hidden="false" customHeight="false" outlineLevel="0" collapsed="false">
      <c r="A228" s="0" t="s">
        <v>492</v>
      </c>
      <c r="B228" s="37" t="n">
        <v>46026</v>
      </c>
      <c r="C228" s="37" t="n">
        <v>46030</v>
      </c>
      <c r="D228" s="38" t="s">
        <v>198</v>
      </c>
      <c r="E228" s="38" t="s">
        <v>118</v>
      </c>
      <c r="F228" s="38" t="s">
        <v>100</v>
      </c>
      <c r="G228" s="38" t="s">
        <v>178</v>
      </c>
      <c r="H228" s="0" t="n">
        <v>1</v>
      </c>
      <c r="I228" s="39" t="n">
        <v>9000</v>
      </c>
      <c r="J228" s="40" t="n">
        <v>0.25</v>
      </c>
      <c r="K228" s="39" t="n">
        <v>6750</v>
      </c>
      <c r="L228" s="39" t="n">
        <v>6500</v>
      </c>
      <c r="M228" s="39" t="n">
        <v>250</v>
      </c>
      <c r="N228" s="38" t="s">
        <v>146</v>
      </c>
      <c r="O228" s="38" t="n">
        <f aca="false">YEAR(B228)</f>
        <v>2026</v>
      </c>
      <c r="P228" s="41" t="n">
        <f aca="false">DATE(YEAR(B228),MONTH(B228),1)</f>
        <v>46023</v>
      </c>
      <c r="Q228" s="0" t="str">
        <f aca="false">INDEX(Products!$C$2:$C$16,MATCH(E228,Products!$A$2:$A$16,0))</f>
        <v>Furniture</v>
      </c>
      <c r="R228" s="0" t="str">
        <f aca="false">INDEX(Customers!$F$2:$F$101,MATCH(D228,Customers!$A$2:$A$101,0))</f>
        <v>North</v>
      </c>
      <c r="S228" s="0" t="str">
        <f aca="false">INDEX(Customers!$C$2:$C$101,MATCH(D228,Customers!$A$2:$A$101,0))</f>
        <v>Consumer</v>
      </c>
      <c r="T228" s="0" t="str">
        <f aca="false">INDEX(Customers!$D$2:$D$101,MATCH(D228,Customers!$A$2:$A$101,0))</f>
        <v>Gurugram</v>
      </c>
    </row>
    <row r="229" customFormat="false" ht="15" hidden="false" customHeight="false" outlineLevel="0" collapsed="false">
      <c r="A229" s="0" t="s">
        <v>493</v>
      </c>
      <c r="B229" s="37" t="n">
        <v>45960</v>
      </c>
      <c r="C229" s="37" t="n">
        <v>45964</v>
      </c>
      <c r="D229" s="38" t="s">
        <v>404</v>
      </c>
      <c r="E229" s="38" t="s">
        <v>119</v>
      </c>
      <c r="F229" s="38" t="s">
        <v>101</v>
      </c>
      <c r="G229" s="38" t="s">
        <v>170</v>
      </c>
      <c r="H229" s="0" t="n">
        <v>2</v>
      </c>
      <c r="I229" s="39" t="n">
        <v>250</v>
      </c>
      <c r="J229" s="40" t="n">
        <v>0</v>
      </c>
      <c r="K229" s="39" t="n">
        <v>500</v>
      </c>
      <c r="L229" s="39" t="n">
        <v>240</v>
      </c>
      <c r="M229" s="39" t="n">
        <v>260</v>
      </c>
      <c r="N229" s="38" t="s">
        <v>66</v>
      </c>
      <c r="O229" s="38" t="n">
        <f aca="false">YEAR(B229)</f>
        <v>2025</v>
      </c>
      <c r="P229" s="41" t="n">
        <f aca="false">DATE(YEAR(B229),MONTH(B229),1)</f>
        <v>45931</v>
      </c>
      <c r="Q229" s="0" t="str">
        <f aca="false">INDEX(Products!$C$2:$C$16,MATCH(E229,Products!$A$2:$A$16,0))</f>
        <v>Office Supplies</v>
      </c>
      <c r="R229" s="0" t="str">
        <f aca="false">INDEX(Customers!$F$2:$F$101,MATCH(D229,Customers!$A$2:$A$101,0))</f>
        <v>West</v>
      </c>
      <c r="S229" s="0" t="str">
        <f aca="false">INDEX(Customers!$C$2:$C$101,MATCH(D229,Customers!$A$2:$A$101,0))</f>
        <v>Small Business</v>
      </c>
      <c r="T229" s="0" t="str">
        <f aca="false">INDEX(Customers!$D$2:$D$101,MATCH(D229,Customers!$A$2:$A$101,0))</f>
        <v>Mumbai</v>
      </c>
    </row>
    <row r="230" customFormat="false" ht="15" hidden="false" customHeight="false" outlineLevel="0" collapsed="false">
      <c r="A230" s="0" t="s">
        <v>494</v>
      </c>
      <c r="B230" s="37" t="n">
        <v>46079</v>
      </c>
      <c r="C230" s="37" t="n">
        <v>46080</v>
      </c>
      <c r="D230" s="38" t="s">
        <v>454</v>
      </c>
      <c r="E230" s="38" t="s">
        <v>127</v>
      </c>
      <c r="F230" s="38" t="s">
        <v>102</v>
      </c>
      <c r="G230" s="38" t="s">
        <v>178</v>
      </c>
      <c r="H230" s="0" t="n">
        <v>3</v>
      </c>
      <c r="I230" s="39" t="n">
        <v>18000</v>
      </c>
      <c r="J230" s="40" t="n">
        <v>0</v>
      </c>
      <c r="K230" s="39" t="n">
        <v>54000</v>
      </c>
      <c r="L230" s="39" t="n">
        <v>42000</v>
      </c>
      <c r="M230" s="39" t="n">
        <v>12000</v>
      </c>
      <c r="N230" s="38" t="s">
        <v>146</v>
      </c>
      <c r="O230" s="38" t="n">
        <f aca="false">YEAR(B230)</f>
        <v>2026</v>
      </c>
      <c r="P230" s="41" t="n">
        <f aca="false">DATE(YEAR(B230),MONTH(B230),1)</f>
        <v>46054</v>
      </c>
      <c r="Q230" s="0" t="str">
        <f aca="false">INDEX(Products!$C$2:$C$16,MATCH(E230,Products!$A$2:$A$16,0))</f>
        <v>Technology</v>
      </c>
      <c r="R230" s="0" t="str">
        <f aca="false">INDEX(Customers!$F$2:$F$101,MATCH(D230,Customers!$A$2:$A$101,0))</f>
        <v>West</v>
      </c>
      <c r="S230" s="0" t="str">
        <f aca="false">INDEX(Customers!$C$2:$C$101,MATCH(D230,Customers!$A$2:$A$101,0))</f>
        <v>Consumer</v>
      </c>
      <c r="T230" s="0" t="str">
        <f aca="false">INDEX(Customers!$D$2:$D$101,MATCH(D230,Customers!$A$2:$A$101,0))</f>
        <v>Pune</v>
      </c>
    </row>
    <row r="231" customFormat="false" ht="15" hidden="false" customHeight="false" outlineLevel="0" collapsed="false">
      <c r="A231" s="0" t="s">
        <v>495</v>
      </c>
      <c r="B231" s="37" t="n">
        <v>46195</v>
      </c>
      <c r="C231" s="37" t="n">
        <v>46202</v>
      </c>
      <c r="D231" s="38" t="s">
        <v>246</v>
      </c>
      <c r="E231" s="38" t="s">
        <v>119</v>
      </c>
      <c r="F231" s="38" t="s">
        <v>101</v>
      </c>
      <c r="G231" s="38" t="s">
        <v>185</v>
      </c>
      <c r="H231" s="0" t="n">
        <v>1</v>
      </c>
      <c r="I231" s="39" t="n">
        <v>250</v>
      </c>
      <c r="J231" s="40" t="n">
        <v>0</v>
      </c>
      <c r="K231" s="39" t="n">
        <v>250</v>
      </c>
      <c r="L231" s="39" t="n">
        <v>120</v>
      </c>
      <c r="M231" s="39" t="n">
        <v>130</v>
      </c>
      <c r="N231" s="38" t="s">
        <v>66</v>
      </c>
      <c r="O231" s="38" t="n">
        <f aca="false">YEAR(B231)</f>
        <v>2026</v>
      </c>
      <c r="P231" s="41" t="n">
        <f aca="false">DATE(YEAR(B231),MONTH(B231),1)</f>
        <v>46174</v>
      </c>
      <c r="Q231" s="0" t="str">
        <f aca="false">INDEX(Products!$C$2:$C$16,MATCH(E231,Products!$A$2:$A$16,0))</f>
        <v>Office Supplies</v>
      </c>
      <c r="R231" s="0" t="str">
        <f aca="false">INDEX(Customers!$F$2:$F$101,MATCH(D231,Customers!$A$2:$A$101,0))</f>
        <v>North</v>
      </c>
      <c r="S231" s="0" t="str">
        <f aca="false">INDEX(Customers!$C$2:$C$101,MATCH(D231,Customers!$A$2:$A$101,0))</f>
        <v>Consumer</v>
      </c>
      <c r="T231" s="0" t="str">
        <f aca="false">INDEX(Customers!$D$2:$D$101,MATCH(D231,Customers!$A$2:$A$101,0))</f>
        <v>Jaipur</v>
      </c>
    </row>
    <row r="232" customFormat="false" ht="15" hidden="false" customHeight="false" outlineLevel="0" collapsed="false">
      <c r="A232" s="0" t="s">
        <v>496</v>
      </c>
      <c r="B232" s="37" t="n">
        <v>46240</v>
      </c>
      <c r="C232" s="37" t="n">
        <v>46243</v>
      </c>
      <c r="D232" s="38" t="s">
        <v>242</v>
      </c>
      <c r="E232" s="38" t="s">
        <v>126</v>
      </c>
      <c r="F232" s="38" t="s">
        <v>101</v>
      </c>
      <c r="G232" s="38" t="s">
        <v>188</v>
      </c>
      <c r="H232" s="0" t="n">
        <v>5</v>
      </c>
      <c r="I232" s="39" t="n">
        <v>1200</v>
      </c>
      <c r="J232" s="40" t="n">
        <v>0</v>
      </c>
      <c r="K232" s="39" t="n">
        <v>6000</v>
      </c>
      <c r="L232" s="39" t="n">
        <v>3500</v>
      </c>
      <c r="M232" s="39" t="n">
        <v>2500</v>
      </c>
      <c r="N232" s="38" t="s">
        <v>66</v>
      </c>
      <c r="O232" s="38" t="n">
        <f aca="false">YEAR(B232)</f>
        <v>2026</v>
      </c>
      <c r="P232" s="41" t="n">
        <f aca="false">DATE(YEAR(B232),MONTH(B232),1)</f>
        <v>46235</v>
      </c>
      <c r="Q232" s="0" t="str">
        <f aca="false">INDEX(Products!$C$2:$C$16,MATCH(E232,Products!$A$2:$A$16,0))</f>
        <v>Furniture</v>
      </c>
      <c r="R232" s="0" t="str">
        <f aca="false">INDEX(Customers!$F$2:$F$101,MATCH(D232,Customers!$A$2:$A$101,0))</f>
        <v>North</v>
      </c>
      <c r="S232" s="0" t="str">
        <f aca="false">INDEX(Customers!$C$2:$C$101,MATCH(D232,Customers!$A$2:$A$101,0))</f>
        <v>Small Business</v>
      </c>
      <c r="T232" s="0" t="str">
        <f aca="false">INDEX(Customers!$D$2:$D$101,MATCH(D232,Customers!$A$2:$A$101,0))</f>
        <v>Gurugram</v>
      </c>
    </row>
    <row r="233" customFormat="false" ht="15" hidden="false" customHeight="false" outlineLevel="0" collapsed="false">
      <c r="A233" s="0" t="s">
        <v>497</v>
      </c>
      <c r="B233" s="37" t="n">
        <v>45757</v>
      </c>
      <c r="C233" s="37" t="n">
        <v>45763</v>
      </c>
      <c r="D233" s="38" t="s">
        <v>498</v>
      </c>
      <c r="E233" s="38" t="s">
        <v>117</v>
      </c>
      <c r="F233" s="38" t="s">
        <v>100</v>
      </c>
      <c r="G233" s="38" t="s">
        <v>188</v>
      </c>
      <c r="H233" s="0" t="n">
        <v>2</v>
      </c>
      <c r="I233" s="39" t="n">
        <v>6500</v>
      </c>
      <c r="J233" s="40" t="n">
        <v>0.1</v>
      </c>
      <c r="K233" s="39" t="n">
        <v>11700</v>
      </c>
      <c r="L233" s="39" t="n">
        <v>8400</v>
      </c>
      <c r="M233" s="39" t="n">
        <v>3300</v>
      </c>
      <c r="N233" s="38" t="s">
        <v>66</v>
      </c>
      <c r="O233" s="38" t="n">
        <f aca="false">YEAR(B233)</f>
        <v>2025</v>
      </c>
      <c r="P233" s="41" t="n">
        <f aca="false">DATE(YEAR(B233),MONTH(B233),1)</f>
        <v>45748</v>
      </c>
      <c r="Q233" s="0" t="str">
        <f aca="false">INDEX(Products!$C$2:$C$16,MATCH(E233,Products!$A$2:$A$16,0))</f>
        <v>Furniture</v>
      </c>
      <c r="R233" s="0" t="str">
        <f aca="false">INDEX(Customers!$F$2:$F$101,MATCH(D233,Customers!$A$2:$A$101,0))</f>
        <v>East</v>
      </c>
      <c r="S233" s="0" t="str">
        <f aca="false">INDEX(Customers!$C$2:$C$101,MATCH(D233,Customers!$A$2:$A$101,0))</f>
        <v>Consumer</v>
      </c>
      <c r="T233" s="0" t="str">
        <f aca="false">INDEX(Customers!$D$2:$D$101,MATCH(D233,Customers!$A$2:$A$101,0))</f>
        <v>Bhubaneswar</v>
      </c>
    </row>
    <row r="234" customFormat="false" ht="15" hidden="false" customHeight="false" outlineLevel="0" collapsed="false">
      <c r="A234" s="0" t="s">
        <v>499</v>
      </c>
      <c r="B234" s="37" t="n">
        <v>45407</v>
      </c>
      <c r="C234" s="37" t="n">
        <v>45410</v>
      </c>
      <c r="D234" s="38" t="s">
        <v>236</v>
      </c>
      <c r="E234" s="38" t="s">
        <v>125</v>
      </c>
      <c r="F234" s="38" t="s">
        <v>102</v>
      </c>
      <c r="G234" s="38" t="s">
        <v>170</v>
      </c>
      <c r="H234" s="0" t="n">
        <v>1</v>
      </c>
      <c r="I234" s="39" t="n">
        <v>600</v>
      </c>
      <c r="J234" s="40" t="n">
        <v>0.1</v>
      </c>
      <c r="K234" s="39" t="n">
        <v>540</v>
      </c>
      <c r="L234" s="39" t="n">
        <v>350</v>
      </c>
      <c r="M234" s="39" t="n">
        <v>190</v>
      </c>
      <c r="N234" s="38" t="s">
        <v>66</v>
      </c>
      <c r="O234" s="38" t="n">
        <f aca="false">YEAR(B234)</f>
        <v>2024</v>
      </c>
      <c r="P234" s="41" t="n">
        <f aca="false">DATE(YEAR(B234),MONTH(B234),1)</f>
        <v>45383</v>
      </c>
      <c r="Q234" s="0" t="str">
        <f aca="false">INDEX(Products!$C$2:$C$16,MATCH(E234,Products!$A$2:$A$16,0))</f>
        <v>Office Supplies</v>
      </c>
      <c r="R234" s="0" t="str">
        <f aca="false">INDEX(Customers!$F$2:$F$101,MATCH(D234,Customers!$A$2:$A$101,0))</f>
        <v>West</v>
      </c>
      <c r="S234" s="0" t="str">
        <f aca="false">INDEX(Customers!$C$2:$C$101,MATCH(D234,Customers!$A$2:$A$101,0))</f>
        <v>Small Business</v>
      </c>
      <c r="T234" s="0" t="str">
        <f aca="false">INDEX(Customers!$D$2:$D$101,MATCH(D234,Customers!$A$2:$A$101,0))</f>
        <v>Pune</v>
      </c>
    </row>
    <row r="235" customFormat="false" ht="15" hidden="false" customHeight="false" outlineLevel="0" collapsed="false">
      <c r="A235" s="0" t="s">
        <v>500</v>
      </c>
      <c r="B235" s="37" t="n">
        <v>45637</v>
      </c>
      <c r="C235" s="37" t="n">
        <v>45644</v>
      </c>
      <c r="D235" s="38" t="s">
        <v>470</v>
      </c>
      <c r="E235" s="38" t="s">
        <v>124</v>
      </c>
      <c r="F235" s="38" t="s">
        <v>100</v>
      </c>
      <c r="G235" s="38" t="s">
        <v>173</v>
      </c>
      <c r="H235" s="0" t="n">
        <v>1</v>
      </c>
      <c r="I235" s="39" t="n">
        <v>3000</v>
      </c>
      <c r="J235" s="40" t="n">
        <v>0.2</v>
      </c>
      <c r="K235" s="39" t="n">
        <v>2400</v>
      </c>
      <c r="L235" s="39" t="n">
        <v>1900</v>
      </c>
      <c r="M235" s="39" t="n">
        <v>500</v>
      </c>
      <c r="N235" s="38" t="s">
        <v>66</v>
      </c>
      <c r="O235" s="38" t="n">
        <f aca="false">YEAR(B235)</f>
        <v>2024</v>
      </c>
      <c r="P235" s="41" t="n">
        <f aca="false">DATE(YEAR(B235),MONTH(B235),1)</f>
        <v>45627</v>
      </c>
      <c r="Q235" s="0" t="str">
        <f aca="false">INDEX(Products!$C$2:$C$16,MATCH(E235,Products!$A$2:$A$16,0))</f>
        <v>Technology</v>
      </c>
      <c r="R235" s="0" t="str">
        <f aca="false">INDEX(Customers!$F$2:$F$101,MATCH(D235,Customers!$A$2:$A$101,0))</f>
        <v>North</v>
      </c>
      <c r="S235" s="0" t="str">
        <f aca="false">INDEX(Customers!$C$2:$C$101,MATCH(D235,Customers!$A$2:$A$101,0))</f>
        <v>Small Business</v>
      </c>
      <c r="T235" s="0" t="str">
        <f aca="false">INDEX(Customers!$D$2:$D$101,MATCH(D235,Customers!$A$2:$A$101,0))</f>
        <v>Lucknow</v>
      </c>
    </row>
    <row r="236" customFormat="false" ht="15" hidden="false" customHeight="false" outlineLevel="0" collapsed="false">
      <c r="A236" s="0" t="s">
        <v>501</v>
      </c>
      <c r="B236" s="37" t="n">
        <v>45707</v>
      </c>
      <c r="C236" s="37" t="n">
        <v>45714</v>
      </c>
      <c r="D236" s="38" t="s">
        <v>348</v>
      </c>
      <c r="E236" s="38" t="s">
        <v>127</v>
      </c>
      <c r="F236" s="38" t="s">
        <v>100</v>
      </c>
      <c r="G236" s="38" t="s">
        <v>185</v>
      </c>
      <c r="H236" s="0" t="n">
        <v>2</v>
      </c>
      <c r="I236" s="39" t="n">
        <v>18000</v>
      </c>
      <c r="J236" s="40" t="n">
        <v>0.05</v>
      </c>
      <c r="K236" s="39" t="n">
        <v>34200</v>
      </c>
      <c r="L236" s="39" t="n">
        <v>28000</v>
      </c>
      <c r="M236" s="39" t="n">
        <v>6200</v>
      </c>
      <c r="N236" s="38" t="s">
        <v>66</v>
      </c>
      <c r="O236" s="38" t="n">
        <f aca="false">YEAR(B236)</f>
        <v>2025</v>
      </c>
      <c r="P236" s="41" t="n">
        <f aca="false">DATE(YEAR(B236),MONTH(B236),1)</f>
        <v>45689</v>
      </c>
      <c r="Q236" s="0" t="str">
        <f aca="false">INDEX(Products!$C$2:$C$16,MATCH(E236,Products!$A$2:$A$16,0))</f>
        <v>Technology</v>
      </c>
      <c r="R236" s="0" t="str">
        <f aca="false">INDEX(Customers!$F$2:$F$101,MATCH(D236,Customers!$A$2:$A$101,0))</f>
        <v>East</v>
      </c>
      <c r="S236" s="0" t="str">
        <f aca="false">INDEX(Customers!$C$2:$C$101,MATCH(D236,Customers!$A$2:$A$101,0))</f>
        <v>Corporate</v>
      </c>
      <c r="T236" s="0" t="str">
        <f aca="false">INDEX(Customers!$D$2:$D$101,MATCH(D236,Customers!$A$2:$A$101,0))</f>
        <v>Kolkata</v>
      </c>
    </row>
    <row r="237" customFormat="false" ht="15" hidden="false" customHeight="false" outlineLevel="0" collapsed="false">
      <c r="A237" s="0" t="s">
        <v>502</v>
      </c>
      <c r="B237" s="37" t="n">
        <v>45780</v>
      </c>
      <c r="C237" s="37" t="n">
        <v>45783</v>
      </c>
      <c r="D237" s="38" t="s">
        <v>435</v>
      </c>
      <c r="E237" s="38" t="s">
        <v>115</v>
      </c>
      <c r="F237" s="38" t="s">
        <v>101</v>
      </c>
      <c r="G237" s="38" t="s">
        <v>185</v>
      </c>
      <c r="H237" s="0" t="n">
        <v>6</v>
      </c>
      <c r="I237" s="39" t="n">
        <v>1500</v>
      </c>
      <c r="J237" s="40" t="n">
        <v>0</v>
      </c>
      <c r="K237" s="39" t="n">
        <v>9000</v>
      </c>
      <c r="L237" s="39" t="n">
        <v>5100</v>
      </c>
      <c r="M237" s="39" t="n">
        <v>3900</v>
      </c>
      <c r="N237" s="38" t="s">
        <v>66</v>
      </c>
      <c r="O237" s="38" t="n">
        <f aca="false">YEAR(B237)</f>
        <v>2025</v>
      </c>
      <c r="P237" s="41" t="n">
        <f aca="false">DATE(YEAR(B237),MONTH(B237),1)</f>
        <v>45778</v>
      </c>
      <c r="Q237" s="0" t="str">
        <f aca="false">INDEX(Products!$C$2:$C$16,MATCH(E237,Products!$A$2:$A$16,0))</f>
        <v>Technology</v>
      </c>
      <c r="R237" s="0" t="str">
        <f aca="false">INDEX(Customers!$F$2:$F$101,MATCH(D237,Customers!$A$2:$A$101,0))</f>
        <v>South</v>
      </c>
      <c r="S237" s="0" t="str">
        <f aca="false">INDEX(Customers!$C$2:$C$101,MATCH(D237,Customers!$A$2:$A$101,0))</f>
        <v>Small Business</v>
      </c>
      <c r="T237" s="0" t="str">
        <f aca="false">INDEX(Customers!$D$2:$D$101,MATCH(D237,Customers!$A$2:$A$101,0))</f>
        <v>Chennai</v>
      </c>
    </row>
    <row r="238" customFormat="false" ht="15" hidden="false" customHeight="false" outlineLevel="0" collapsed="false">
      <c r="A238" s="0" t="s">
        <v>503</v>
      </c>
      <c r="B238" s="37" t="n">
        <v>46268</v>
      </c>
      <c r="C238" s="37" t="n">
        <v>46271</v>
      </c>
      <c r="D238" s="38" t="s">
        <v>192</v>
      </c>
      <c r="E238" s="38" t="s">
        <v>117</v>
      </c>
      <c r="F238" s="38" t="s">
        <v>102</v>
      </c>
      <c r="G238" s="38" t="s">
        <v>178</v>
      </c>
      <c r="H238" s="0" t="n">
        <v>2</v>
      </c>
      <c r="I238" s="39" t="n">
        <v>6500</v>
      </c>
      <c r="J238" s="40" t="n">
        <v>0.2</v>
      </c>
      <c r="K238" s="39" t="n">
        <v>10400</v>
      </c>
      <c r="L238" s="39" t="n">
        <v>8400</v>
      </c>
      <c r="M238" s="39" t="n">
        <v>2000</v>
      </c>
      <c r="N238" s="38" t="s">
        <v>66</v>
      </c>
      <c r="O238" s="38" t="n">
        <f aca="false">YEAR(B238)</f>
        <v>2026</v>
      </c>
      <c r="P238" s="41" t="n">
        <f aca="false">DATE(YEAR(B238),MONTH(B238),1)</f>
        <v>46266</v>
      </c>
      <c r="Q238" s="0" t="str">
        <f aca="false">INDEX(Products!$C$2:$C$16,MATCH(E238,Products!$A$2:$A$16,0))</f>
        <v>Furniture</v>
      </c>
      <c r="R238" s="0" t="str">
        <f aca="false">INDEX(Customers!$F$2:$F$101,MATCH(D238,Customers!$A$2:$A$101,0))</f>
        <v>East</v>
      </c>
      <c r="S238" s="0" t="str">
        <f aca="false">INDEX(Customers!$C$2:$C$101,MATCH(D238,Customers!$A$2:$A$101,0))</f>
        <v>Small Business</v>
      </c>
      <c r="T238" s="0" t="str">
        <f aca="false">INDEX(Customers!$D$2:$D$101,MATCH(D238,Customers!$A$2:$A$101,0))</f>
        <v>Bhubaneswar</v>
      </c>
    </row>
    <row r="239" customFormat="false" ht="15" hidden="false" customHeight="false" outlineLevel="0" collapsed="false">
      <c r="A239" s="0" t="s">
        <v>504</v>
      </c>
      <c r="B239" s="37" t="n">
        <v>45533</v>
      </c>
      <c r="C239" s="37" t="n">
        <v>45534</v>
      </c>
      <c r="D239" s="38" t="s">
        <v>400</v>
      </c>
      <c r="E239" s="38" t="s">
        <v>124</v>
      </c>
      <c r="F239" s="38" t="s">
        <v>101</v>
      </c>
      <c r="G239" s="38" t="s">
        <v>173</v>
      </c>
      <c r="H239" s="0" t="n">
        <v>3</v>
      </c>
      <c r="I239" s="39" t="n">
        <v>3000</v>
      </c>
      <c r="J239" s="40" t="n">
        <v>0.1</v>
      </c>
      <c r="K239" s="39" t="n">
        <v>8100</v>
      </c>
      <c r="L239" s="39" t="n">
        <v>5700</v>
      </c>
      <c r="M239" s="39" t="n">
        <v>2400</v>
      </c>
      <c r="N239" s="38" t="s">
        <v>66</v>
      </c>
      <c r="O239" s="38" t="n">
        <f aca="false">YEAR(B239)</f>
        <v>2024</v>
      </c>
      <c r="P239" s="41" t="n">
        <f aca="false">DATE(YEAR(B239),MONTH(B239),1)</f>
        <v>45505</v>
      </c>
      <c r="Q239" s="0" t="str">
        <f aca="false">INDEX(Products!$C$2:$C$16,MATCH(E239,Products!$A$2:$A$16,0))</f>
        <v>Technology</v>
      </c>
      <c r="R239" s="0" t="str">
        <f aca="false">INDEX(Customers!$F$2:$F$101,MATCH(D239,Customers!$A$2:$A$101,0))</f>
        <v>North</v>
      </c>
      <c r="S239" s="0" t="str">
        <f aca="false">INDEX(Customers!$C$2:$C$101,MATCH(D239,Customers!$A$2:$A$101,0))</f>
        <v>Small Business</v>
      </c>
      <c r="T239" s="0" t="str">
        <f aca="false">INDEX(Customers!$D$2:$D$101,MATCH(D239,Customers!$A$2:$A$101,0))</f>
        <v>Lucknow</v>
      </c>
    </row>
    <row r="240" customFormat="false" ht="15" hidden="false" customHeight="false" outlineLevel="0" collapsed="false">
      <c r="A240" s="0" t="s">
        <v>505</v>
      </c>
      <c r="B240" s="37" t="n">
        <v>46208</v>
      </c>
      <c r="C240" s="37" t="n">
        <v>46214</v>
      </c>
      <c r="D240" s="38" t="s">
        <v>190</v>
      </c>
      <c r="E240" s="38" t="s">
        <v>127</v>
      </c>
      <c r="F240" s="38" t="s">
        <v>100</v>
      </c>
      <c r="G240" s="38" t="s">
        <v>170</v>
      </c>
      <c r="H240" s="0" t="n">
        <v>4</v>
      </c>
      <c r="I240" s="39" t="n">
        <v>18000</v>
      </c>
      <c r="J240" s="40" t="n">
        <v>0.2</v>
      </c>
      <c r="K240" s="39" t="n">
        <v>57600</v>
      </c>
      <c r="L240" s="39" t="n">
        <v>56000</v>
      </c>
      <c r="M240" s="39" t="n">
        <v>1600</v>
      </c>
      <c r="N240" s="38" t="s">
        <v>66</v>
      </c>
      <c r="O240" s="38" t="n">
        <f aca="false">YEAR(B240)</f>
        <v>2026</v>
      </c>
      <c r="P240" s="41" t="n">
        <f aca="false">DATE(YEAR(B240),MONTH(B240),1)</f>
        <v>46204</v>
      </c>
      <c r="Q240" s="0" t="str">
        <f aca="false">INDEX(Products!$C$2:$C$16,MATCH(E240,Products!$A$2:$A$16,0))</f>
        <v>Technology</v>
      </c>
      <c r="R240" s="0" t="str">
        <f aca="false">INDEX(Customers!$F$2:$F$101,MATCH(D240,Customers!$A$2:$A$101,0))</f>
        <v>East</v>
      </c>
      <c r="S240" s="0" t="str">
        <f aca="false">INDEX(Customers!$C$2:$C$101,MATCH(D240,Customers!$A$2:$A$101,0))</f>
        <v>Corporate</v>
      </c>
      <c r="T240" s="0" t="str">
        <f aca="false">INDEX(Customers!$D$2:$D$101,MATCH(D240,Customers!$A$2:$A$101,0))</f>
        <v>Kolkata</v>
      </c>
    </row>
    <row r="241" customFormat="false" ht="15" hidden="false" customHeight="false" outlineLevel="0" collapsed="false">
      <c r="A241" s="0" t="s">
        <v>506</v>
      </c>
      <c r="B241" s="37" t="n">
        <v>46272</v>
      </c>
      <c r="C241" s="37" t="n">
        <v>46274</v>
      </c>
      <c r="D241" s="38" t="s">
        <v>255</v>
      </c>
      <c r="E241" s="38" t="s">
        <v>116</v>
      </c>
      <c r="F241" s="38" t="s">
        <v>102</v>
      </c>
      <c r="G241" s="38" t="s">
        <v>188</v>
      </c>
      <c r="H241" s="0" t="n">
        <v>2</v>
      </c>
      <c r="I241" s="39" t="n">
        <v>12000</v>
      </c>
      <c r="J241" s="40" t="n">
        <v>0.1</v>
      </c>
      <c r="K241" s="39" t="n">
        <v>21600</v>
      </c>
      <c r="L241" s="39" t="n">
        <v>18000</v>
      </c>
      <c r="M241" s="39" t="n">
        <v>3600</v>
      </c>
      <c r="N241" s="38" t="s">
        <v>66</v>
      </c>
      <c r="O241" s="38" t="n">
        <f aca="false">YEAR(B241)</f>
        <v>2026</v>
      </c>
      <c r="P241" s="41" t="n">
        <f aca="false">DATE(YEAR(B241),MONTH(B241),1)</f>
        <v>46266</v>
      </c>
      <c r="Q241" s="0" t="str">
        <f aca="false">INDEX(Products!$C$2:$C$16,MATCH(E241,Products!$A$2:$A$16,0))</f>
        <v>Technology</v>
      </c>
      <c r="R241" s="0" t="str">
        <f aca="false">INDEX(Customers!$F$2:$F$101,MATCH(D241,Customers!$A$2:$A$101,0))</f>
        <v>East</v>
      </c>
      <c r="S241" s="0" t="str">
        <f aca="false">INDEX(Customers!$C$2:$C$101,MATCH(D241,Customers!$A$2:$A$101,0))</f>
        <v>Small Business</v>
      </c>
      <c r="T241" s="0" t="str">
        <f aca="false">INDEX(Customers!$D$2:$D$101,MATCH(D241,Customers!$A$2:$A$101,0))</f>
        <v>Kolkata</v>
      </c>
    </row>
    <row r="242" customFormat="false" ht="15" hidden="false" customHeight="false" outlineLevel="0" collapsed="false">
      <c r="A242" s="0" t="s">
        <v>507</v>
      </c>
      <c r="B242" s="37" t="n">
        <v>46226</v>
      </c>
      <c r="C242" s="37" t="n">
        <v>46230</v>
      </c>
      <c r="D242" s="38" t="s">
        <v>184</v>
      </c>
      <c r="E242" s="38" t="s">
        <v>121</v>
      </c>
      <c r="F242" s="38" t="s">
        <v>102</v>
      </c>
      <c r="G242" s="38" t="s">
        <v>173</v>
      </c>
      <c r="H242" s="0" t="n">
        <v>4</v>
      </c>
      <c r="I242" s="39" t="n">
        <v>180</v>
      </c>
      <c r="J242" s="40" t="n">
        <v>0.25</v>
      </c>
      <c r="K242" s="39" t="n">
        <v>540</v>
      </c>
      <c r="L242" s="39" t="n">
        <v>280</v>
      </c>
      <c r="M242" s="39" t="n">
        <v>260</v>
      </c>
      <c r="N242" s="38" t="s">
        <v>66</v>
      </c>
      <c r="O242" s="38" t="n">
        <f aca="false">YEAR(B242)</f>
        <v>2026</v>
      </c>
      <c r="P242" s="41" t="n">
        <f aca="false">DATE(YEAR(B242),MONTH(B242),1)</f>
        <v>46204</v>
      </c>
      <c r="Q242" s="0" t="str">
        <f aca="false">INDEX(Products!$C$2:$C$16,MATCH(E242,Products!$A$2:$A$16,0))</f>
        <v>Office Supplies</v>
      </c>
      <c r="R242" s="0" t="str">
        <f aca="false">INDEX(Customers!$F$2:$F$101,MATCH(D242,Customers!$A$2:$A$101,0))</f>
        <v>West</v>
      </c>
      <c r="S242" s="0" t="str">
        <f aca="false">INDEX(Customers!$C$2:$C$101,MATCH(D242,Customers!$A$2:$A$101,0))</f>
        <v>Consumer</v>
      </c>
      <c r="T242" s="0" t="str">
        <f aca="false">INDEX(Customers!$D$2:$D$101,MATCH(D242,Customers!$A$2:$A$101,0))</f>
        <v>Ahmedabad</v>
      </c>
    </row>
    <row r="243" customFormat="false" ht="15" hidden="false" customHeight="false" outlineLevel="0" collapsed="false">
      <c r="A243" s="0" t="s">
        <v>508</v>
      </c>
      <c r="B243" s="37" t="n">
        <v>45902</v>
      </c>
      <c r="C243" s="37" t="n">
        <v>45909</v>
      </c>
      <c r="D243" s="38" t="s">
        <v>312</v>
      </c>
      <c r="E243" s="38" t="s">
        <v>125</v>
      </c>
      <c r="F243" s="38" t="s">
        <v>101</v>
      </c>
      <c r="G243" s="38" t="s">
        <v>188</v>
      </c>
      <c r="H243" s="0" t="n">
        <v>4</v>
      </c>
      <c r="I243" s="39" t="n">
        <v>600</v>
      </c>
      <c r="J243" s="40" t="n">
        <v>0.15</v>
      </c>
      <c r="K243" s="39" t="n">
        <v>2040</v>
      </c>
      <c r="L243" s="39" t="n">
        <v>1400</v>
      </c>
      <c r="M243" s="39" t="n">
        <v>640</v>
      </c>
      <c r="N243" s="38" t="s">
        <v>66</v>
      </c>
      <c r="O243" s="38" t="n">
        <f aca="false">YEAR(B243)</f>
        <v>2025</v>
      </c>
      <c r="P243" s="41" t="n">
        <f aca="false">DATE(YEAR(B243),MONTH(B243),1)</f>
        <v>45901</v>
      </c>
      <c r="Q243" s="0" t="str">
        <f aca="false">INDEX(Products!$C$2:$C$16,MATCH(E243,Products!$A$2:$A$16,0))</f>
        <v>Office Supplies</v>
      </c>
      <c r="R243" s="0" t="str">
        <f aca="false">INDEX(Customers!$F$2:$F$101,MATCH(D243,Customers!$A$2:$A$101,0))</f>
        <v>North</v>
      </c>
      <c r="S243" s="0" t="str">
        <f aca="false">INDEX(Customers!$C$2:$C$101,MATCH(D243,Customers!$A$2:$A$101,0))</f>
        <v>Corporate</v>
      </c>
      <c r="T243" s="0" t="str">
        <f aca="false">INDEX(Customers!$D$2:$D$101,MATCH(D243,Customers!$A$2:$A$101,0))</f>
        <v>Delhi</v>
      </c>
    </row>
    <row r="244" customFormat="false" ht="15" hidden="false" customHeight="false" outlineLevel="0" collapsed="false">
      <c r="A244" s="0" t="s">
        <v>509</v>
      </c>
      <c r="B244" s="37" t="n">
        <v>45869</v>
      </c>
      <c r="C244" s="37" t="n">
        <v>45870</v>
      </c>
      <c r="D244" s="38" t="s">
        <v>381</v>
      </c>
      <c r="E244" s="38" t="s">
        <v>127</v>
      </c>
      <c r="F244" s="38" t="s">
        <v>102</v>
      </c>
      <c r="G244" s="38" t="s">
        <v>173</v>
      </c>
      <c r="H244" s="0" t="n">
        <v>1</v>
      </c>
      <c r="I244" s="39" t="n">
        <v>18000</v>
      </c>
      <c r="J244" s="40" t="n">
        <v>0.15</v>
      </c>
      <c r="K244" s="39" t="n">
        <v>15300</v>
      </c>
      <c r="L244" s="39" t="n">
        <v>14000</v>
      </c>
      <c r="M244" s="39" t="n">
        <v>1300</v>
      </c>
      <c r="N244" s="38" t="s">
        <v>66</v>
      </c>
      <c r="O244" s="38" t="n">
        <f aca="false">YEAR(B244)</f>
        <v>2025</v>
      </c>
      <c r="P244" s="41" t="n">
        <f aca="false">DATE(YEAR(B244),MONTH(B244),1)</f>
        <v>45839</v>
      </c>
      <c r="Q244" s="0" t="str">
        <f aca="false">INDEX(Products!$C$2:$C$16,MATCH(E244,Products!$A$2:$A$16,0))</f>
        <v>Technology</v>
      </c>
      <c r="R244" s="0" t="str">
        <f aca="false">INDEX(Customers!$F$2:$F$101,MATCH(D244,Customers!$A$2:$A$101,0))</f>
        <v>West</v>
      </c>
      <c r="S244" s="0" t="str">
        <f aca="false">INDEX(Customers!$C$2:$C$101,MATCH(D244,Customers!$A$2:$A$101,0))</f>
        <v>Consumer</v>
      </c>
      <c r="T244" s="0" t="str">
        <f aca="false">INDEX(Customers!$D$2:$D$101,MATCH(D244,Customers!$A$2:$A$101,0))</f>
        <v>Pune</v>
      </c>
    </row>
    <row r="245" customFormat="false" ht="15" hidden="false" customHeight="false" outlineLevel="0" collapsed="false">
      <c r="A245" s="0" t="s">
        <v>510</v>
      </c>
      <c r="B245" s="37" t="n">
        <v>45627</v>
      </c>
      <c r="C245" s="37" t="n">
        <v>45634</v>
      </c>
      <c r="D245" s="38" t="s">
        <v>331</v>
      </c>
      <c r="E245" s="38" t="s">
        <v>115</v>
      </c>
      <c r="F245" s="38" t="s">
        <v>102</v>
      </c>
      <c r="G245" s="38" t="s">
        <v>173</v>
      </c>
      <c r="H245" s="0" t="n">
        <v>2</v>
      </c>
      <c r="I245" s="39" t="n">
        <v>1500</v>
      </c>
      <c r="J245" s="40" t="n">
        <v>0</v>
      </c>
      <c r="K245" s="39" t="n">
        <v>3000</v>
      </c>
      <c r="L245" s="39" t="n">
        <v>1700</v>
      </c>
      <c r="M245" s="39" t="n">
        <v>1300</v>
      </c>
      <c r="N245" s="38" t="s">
        <v>66</v>
      </c>
      <c r="O245" s="38" t="n">
        <f aca="false">YEAR(B245)</f>
        <v>2024</v>
      </c>
      <c r="P245" s="41" t="n">
        <f aca="false">DATE(YEAR(B245),MONTH(B245),1)</f>
        <v>45627</v>
      </c>
      <c r="Q245" s="0" t="str">
        <f aca="false">INDEX(Products!$C$2:$C$16,MATCH(E245,Products!$A$2:$A$16,0))</f>
        <v>Technology</v>
      </c>
      <c r="R245" s="0" t="str">
        <f aca="false">INDEX(Customers!$F$2:$F$101,MATCH(D245,Customers!$A$2:$A$101,0))</f>
        <v>North</v>
      </c>
      <c r="S245" s="0" t="str">
        <f aca="false">INDEX(Customers!$C$2:$C$101,MATCH(D245,Customers!$A$2:$A$101,0))</f>
        <v>Corporate</v>
      </c>
      <c r="T245" s="0" t="str">
        <f aca="false">INDEX(Customers!$D$2:$D$101,MATCH(D245,Customers!$A$2:$A$101,0))</f>
        <v>Delhi</v>
      </c>
    </row>
    <row r="246" customFormat="false" ht="15" hidden="false" customHeight="false" outlineLevel="0" collapsed="false">
      <c r="A246" s="0" t="s">
        <v>511</v>
      </c>
      <c r="B246" s="37" t="n">
        <v>46212</v>
      </c>
      <c r="C246" s="37" t="n">
        <v>46217</v>
      </c>
      <c r="D246" s="38" t="s">
        <v>238</v>
      </c>
      <c r="E246" s="38" t="s">
        <v>114</v>
      </c>
      <c r="F246" s="38" t="s">
        <v>101</v>
      </c>
      <c r="G246" s="38" t="s">
        <v>173</v>
      </c>
      <c r="H246" s="0" t="n">
        <v>2</v>
      </c>
      <c r="I246" s="39" t="n">
        <v>800</v>
      </c>
      <c r="J246" s="40" t="n">
        <v>0</v>
      </c>
      <c r="K246" s="39" t="n">
        <v>1600</v>
      </c>
      <c r="L246" s="39" t="n">
        <v>840</v>
      </c>
      <c r="M246" s="39" t="n">
        <v>760</v>
      </c>
      <c r="N246" s="38" t="s">
        <v>66</v>
      </c>
      <c r="O246" s="38" t="n">
        <f aca="false">YEAR(B246)</f>
        <v>2026</v>
      </c>
      <c r="P246" s="41" t="n">
        <f aca="false">DATE(YEAR(B246),MONTH(B246),1)</f>
        <v>46204</v>
      </c>
      <c r="Q246" s="0" t="str">
        <f aca="false">INDEX(Products!$C$2:$C$16,MATCH(E246,Products!$A$2:$A$16,0))</f>
        <v>Technology</v>
      </c>
      <c r="R246" s="0" t="str">
        <f aca="false">INDEX(Customers!$F$2:$F$101,MATCH(D246,Customers!$A$2:$A$101,0))</f>
        <v>North</v>
      </c>
      <c r="S246" s="0" t="str">
        <f aca="false">INDEX(Customers!$C$2:$C$101,MATCH(D246,Customers!$A$2:$A$101,0))</f>
        <v>Small Business</v>
      </c>
      <c r="T246" s="0" t="str">
        <f aca="false">INDEX(Customers!$D$2:$D$101,MATCH(D246,Customers!$A$2:$A$101,0))</f>
        <v>Lucknow</v>
      </c>
    </row>
    <row r="247" customFormat="false" ht="15" hidden="false" customHeight="false" outlineLevel="0" collapsed="false">
      <c r="A247" s="0" t="s">
        <v>512</v>
      </c>
      <c r="B247" s="37" t="n">
        <v>45351</v>
      </c>
      <c r="C247" s="37" t="n">
        <v>45356</v>
      </c>
      <c r="D247" s="38" t="s">
        <v>227</v>
      </c>
      <c r="E247" s="38" t="s">
        <v>122</v>
      </c>
      <c r="F247" s="38" t="s">
        <v>101</v>
      </c>
      <c r="G247" s="38" t="s">
        <v>178</v>
      </c>
      <c r="H247" s="0" t="n">
        <v>2</v>
      </c>
      <c r="I247" s="39" t="n">
        <v>5500</v>
      </c>
      <c r="J247" s="40" t="n">
        <v>0.25</v>
      </c>
      <c r="K247" s="39" t="n">
        <v>8250</v>
      </c>
      <c r="L247" s="39" t="n">
        <v>7400</v>
      </c>
      <c r="M247" s="39" t="n">
        <v>850</v>
      </c>
      <c r="N247" s="38" t="s">
        <v>66</v>
      </c>
      <c r="O247" s="38" t="n">
        <f aca="false">YEAR(B247)</f>
        <v>2024</v>
      </c>
      <c r="P247" s="41" t="n">
        <f aca="false">DATE(YEAR(B247),MONTH(B247),1)</f>
        <v>45323</v>
      </c>
      <c r="Q247" s="0" t="str">
        <f aca="false">INDEX(Products!$C$2:$C$16,MATCH(E247,Products!$A$2:$A$16,0))</f>
        <v>Furniture</v>
      </c>
      <c r="R247" s="0" t="str">
        <f aca="false">INDEX(Customers!$F$2:$F$101,MATCH(D247,Customers!$A$2:$A$101,0))</f>
        <v>North</v>
      </c>
      <c r="S247" s="0" t="str">
        <f aca="false">INDEX(Customers!$C$2:$C$101,MATCH(D247,Customers!$A$2:$A$101,0))</f>
        <v>Consumer</v>
      </c>
      <c r="T247" s="0" t="str">
        <f aca="false">INDEX(Customers!$D$2:$D$101,MATCH(D247,Customers!$A$2:$A$101,0))</f>
        <v>Delhi</v>
      </c>
    </row>
    <row r="248" customFormat="false" ht="15" hidden="false" customHeight="false" outlineLevel="0" collapsed="false">
      <c r="A248" s="0" t="s">
        <v>513</v>
      </c>
      <c r="B248" s="37" t="n">
        <v>45515</v>
      </c>
      <c r="C248" s="37" t="n">
        <v>45520</v>
      </c>
      <c r="D248" s="38" t="s">
        <v>169</v>
      </c>
      <c r="E248" s="38" t="s">
        <v>124</v>
      </c>
      <c r="F248" s="38" t="s">
        <v>101</v>
      </c>
      <c r="G248" s="38" t="s">
        <v>178</v>
      </c>
      <c r="H248" s="0" t="n">
        <v>1</v>
      </c>
      <c r="I248" s="39" t="n">
        <v>3000</v>
      </c>
      <c r="J248" s="40" t="n">
        <v>0.1</v>
      </c>
      <c r="K248" s="39" t="n">
        <v>2700</v>
      </c>
      <c r="L248" s="39" t="n">
        <v>1900</v>
      </c>
      <c r="M248" s="39" t="n">
        <v>800</v>
      </c>
      <c r="N248" s="38" t="s">
        <v>66</v>
      </c>
      <c r="O248" s="38" t="n">
        <f aca="false">YEAR(B248)</f>
        <v>2024</v>
      </c>
      <c r="P248" s="41" t="n">
        <f aca="false">DATE(YEAR(B248),MONTH(B248),1)</f>
        <v>45505</v>
      </c>
      <c r="Q248" s="0" t="str">
        <f aca="false">INDEX(Products!$C$2:$C$16,MATCH(E248,Products!$A$2:$A$16,0))</f>
        <v>Technology</v>
      </c>
      <c r="R248" s="0" t="str">
        <f aca="false">INDEX(Customers!$F$2:$F$101,MATCH(D248,Customers!$A$2:$A$101,0))</f>
        <v>East</v>
      </c>
      <c r="S248" s="0" t="str">
        <f aca="false">INDEX(Customers!$C$2:$C$101,MATCH(D248,Customers!$A$2:$A$101,0))</f>
        <v>Small Business</v>
      </c>
      <c r="T248" s="0" t="str">
        <f aca="false">INDEX(Customers!$D$2:$D$101,MATCH(D248,Customers!$A$2:$A$101,0))</f>
        <v>Kolkata</v>
      </c>
    </row>
    <row r="249" customFormat="false" ht="15" hidden="false" customHeight="false" outlineLevel="0" collapsed="false">
      <c r="A249" s="0" t="s">
        <v>514</v>
      </c>
      <c r="B249" s="37" t="n">
        <v>46207</v>
      </c>
      <c r="C249" s="37" t="n">
        <v>46208</v>
      </c>
      <c r="D249" s="38" t="s">
        <v>454</v>
      </c>
      <c r="E249" s="38" t="s">
        <v>127</v>
      </c>
      <c r="F249" s="38" t="s">
        <v>100</v>
      </c>
      <c r="G249" s="38" t="s">
        <v>170</v>
      </c>
      <c r="H249" s="0" t="n">
        <v>10</v>
      </c>
      <c r="I249" s="39" t="n">
        <v>18000</v>
      </c>
      <c r="J249" s="40" t="n">
        <v>0.1</v>
      </c>
      <c r="K249" s="39" t="n">
        <v>162000</v>
      </c>
      <c r="L249" s="39" t="n">
        <v>140000</v>
      </c>
      <c r="M249" s="39" t="n">
        <v>22000</v>
      </c>
      <c r="N249" s="38" t="s">
        <v>66</v>
      </c>
      <c r="O249" s="38" t="n">
        <f aca="false">YEAR(B249)</f>
        <v>2026</v>
      </c>
      <c r="P249" s="41" t="n">
        <f aca="false">DATE(YEAR(B249),MONTH(B249),1)</f>
        <v>46204</v>
      </c>
      <c r="Q249" s="0" t="str">
        <f aca="false">INDEX(Products!$C$2:$C$16,MATCH(E249,Products!$A$2:$A$16,0))</f>
        <v>Technology</v>
      </c>
      <c r="R249" s="0" t="str">
        <f aca="false">INDEX(Customers!$F$2:$F$101,MATCH(D249,Customers!$A$2:$A$101,0))</f>
        <v>West</v>
      </c>
      <c r="S249" s="0" t="str">
        <f aca="false">INDEX(Customers!$C$2:$C$101,MATCH(D249,Customers!$A$2:$A$101,0))</f>
        <v>Consumer</v>
      </c>
      <c r="T249" s="0" t="str">
        <f aca="false">INDEX(Customers!$D$2:$D$101,MATCH(D249,Customers!$A$2:$A$101,0))</f>
        <v>Pune</v>
      </c>
    </row>
    <row r="250" customFormat="false" ht="15" hidden="false" customHeight="false" outlineLevel="0" collapsed="false">
      <c r="A250" s="0" t="s">
        <v>515</v>
      </c>
      <c r="B250" s="37" t="n">
        <v>46076</v>
      </c>
      <c r="C250" s="37" t="n">
        <v>46082</v>
      </c>
      <c r="D250" s="38" t="s">
        <v>276</v>
      </c>
      <c r="E250" s="38" t="s">
        <v>115</v>
      </c>
      <c r="F250" s="38" t="s">
        <v>101</v>
      </c>
      <c r="G250" s="38" t="s">
        <v>170</v>
      </c>
      <c r="H250" s="0" t="n">
        <v>8</v>
      </c>
      <c r="I250" s="39" t="n">
        <v>1500</v>
      </c>
      <c r="J250" s="40" t="n">
        <v>0.2</v>
      </c>
      <c r="K250" s="39" t="n">
        <v>9600</v>
      </c>
      <c r="L250" s="39" t="n">
        <v>6800</v>
      </c>
      <c r="M250" s="39" t="n">
        <v>2800</v>
      </c>
      <c r="N250" s="38" t="s">
        <v>147</v>
      </c>
      <c r="O250" s="38" t="n">
        <f aca="false">YEAR(B250)</f>
        <v>2026</v>
      </c>
      <c r="P250" s="41" t="n">
        <f aca="false">DATE(YEAR(B250),MONTH(B250),1)</f>
        <v>46054</v>
      </c>
      <c r="Q250" s="0" t="str">
        <f aca="false">INDEX(Products!$C$2:$C$16,MATCH(E250,Products!$A$2:$A$16,0))</f>
        <v>Technology</v>
      </c>
      <c r="R250" s="0" t="str">
        <f aca="false">INDEX(Customers!$F$2:$F$101,MATCH(D250,Customers!$A$2:$A$101,0))</f>
        <v>North</v>
      </c>
      <c r="S250" s="0" t="str">
        <f aca="false">INDEX(Customers!$C$2:$C$101,MATCH(D250,Customers!$A$2:$A$101,0))</f>
        <v>Small Business</v>
      </c>
      <c r="T250" s="0" t="str">
        <f aca="false">INDEX(Customers!$D$2:$D$101,MATCH(D250,Customers!$A$2:$A$101,0))</f>
        <v>Lucknow</v>
      </c>
    </row>
    <row r="251" customFormat="false" ht="15" hidden="false" customHeight="false" outlineLevel="0" collapsed="false">
      <c r="A251" s="0" t="s">
        <v>516</v>
      </c>
      <c r="B251" s="37" t="n">
        <v>46182</v>
      </c>
      <c r="C251" s="37" t="n">
        <v>46186</v>
      </c>
      <c r="D251" s="38" t="s">
        <v>517</v>
      </c>
      <c r="E251" s="38" t="s">
        <v>120</v>
      </c>
      <c r="F251" s="38" t="s">
        <v>102</v>
      </c>
      <c r="G251" s="38" t="s">
        <v>188</v>
      </c>
      <c r="H251" s="0" t="n">
        <v>2</v>
      </c>
      <c r="I251" s="39" t="n">
        <v>400</v>
      </c>
      <c r="J251" s="40" t="n">
        <v>0.2</v>
      </c>
      <c r="K251" s="39" t="n">
        <v>640</v>
      </c>
      <c r="L251" s="39" t="n">
        <v>520</v>
      </c>
      <c r="M251" s="39" t="n">
        <v>120</v>
      </c>
      <c r="N251" s="38" t="s">
        <v>66</v>
      </c>
      <c r="O251" s="38" t="n">
        <f aca="false">YEAR(B251)</f>
        <v>2026</v>
      </c>
      <c r="P251" s="41" t="n">
        <f aca="false">DATE(YEAR(B251),MONTH(B251),1)</f>
        <v>46174</v>
      </c>
      <c r="Q251" s="0" t="str">
        <f aca="false">INDEX(Products!$C$2:$C$16,MATCH(E251,Products!$A$2:$A$16,0))</f>
        <v>Office Supplies</v>
      </c>
      <c r="R251" s="0" t="str">
        <f aca="false">INDEX(Customers!$F$2:$F$101,MATCH(D251,Customers!$A$2:$A$101,0))</f>
        <v>East</v>
      </c>
      <c r="S251" s="0" t="str">
        <f aca="false">INDEX(Customers!$C$2:$C$101,MATCH(D251,Customers!$A$2:$A$101,0))</f>
        <v>Corporate</v>
      </c>
      <c r="T251" s="0" t="str">
        <f aca="false">INDEX(Customers!$D$2:$D$101,MATCH(D251,Customers!$A$2:$A$101,0))</f>
        <v>Kolkata</v>
      </c>
    </row>
    <row r="252" customFormat="false" ht="15" hidden="false" customHeight="false" outlineLevel="0" collapsed="false">
      <c r="A252" s="0" t="s">
        <v>518</v>
      </c>
      <c r="B252" s="37" t="n">
        <v>45474</v>
      </c>
      <c r="C252" s="37" t="n">
        <v>45479</v>
      </c>
      <c r="D252" s="38" t="s">
        <v>414</v>
      </c>
      <c r="E252" s="38" t="s">
        <v>114</v>
      </c>
      <c r="F252" s="38" t="s">
        <v>102</v>
      </c>
      <c r="G252" s="38" t="s">
        <v>173</v>
      </c>
      <c r="H252" s="0" t="n">
        <v>2</v>
      </c>
      <c r="I252" s="39" t="n">
        <v>800</v>
      </c>
      <c r="J252" s="40" t="n">
        <v>0</v>
      </c>
      <c r="K252" s="39" t="n">
        <v>1600</v>
      </c>
      <c r="L252" s="39" t="n">
        <v>840</v>
      </c>
      <c r="M252" s="39" t="n">
        <v>760</v>
      </c>
      <c r="N252" s="38" t="s">
        <v>66</v>
      </c>
      <c r="O252" s="38" t="n">
        <f aca="false">YEAR(B252)</f>
        <v>2024</v>
      </c>
      <c r="P252" s="41" t="n">
        <f aca="false">DATE(YEAR(B252),MONTH(B252),1)</f>
        <v>45474</v>
      </c>
      <c r="Q252" s="0" t="str">
        <f aca="false">INDEX(Products!$C$2:$C$16,MATCH(E252,Products!$A$2:$A$16,0))</f>
        <v>Technology</v>
      </c>
      <c r="R252" s="0" t="str">
        <f aca="false">INDEX(Customers!$F$2:$F$101,MATCH(D252,Customers!$A$2:$A$101,0))</f>
        <v>South</v>
      </c>
      <c r="S252" s="0" t="str">
        <f aca="false">INDEX(Customers!$C$2:$C$101,MATCH(D252,Customers!$A$2:$A$101,0))</f>
        <v>Small Business</v>
      </c>
      <c r="T252" s="0" t="str">
        <f aca="false">INDEX(Customers!$D$2:$D$101,MATCH(D252,Customers!$A$2:$A$101,0))</f>
        <v>Bengaluru</v>
      </c>
    </row>
    <row r="253" customFormat="false" ht="15" hidden="false" customHeight="false" outlineLevel="0" collapsed="false">
      <c r="A253" s="0" t="s">
        <v>519</v>
      </c>
      <c r="B253" s="37" t="n">
        <v>45597</v>
      </c>
      <c r="C253" s="37" t="n">
        <v>45601</v>
      </c>
      <c r="D253" s="38" t="s">
        <v>192</v>
      </c>
      <c r="E253" s="38" t="s">
        <v>113</v>
      </c>
      <c r="F253" s="38" t="s">
        <v>101</v>
      </c>
      <c r="G253" s="38" t="s">
        <v>188</v>
      </c>
      <c r="H253" s="0" t="n">
        <v>3</v>
      </c>
      <c r="I253" s="39" t="n">
        <v>45000</v>
      </c>
      <c r="J253" s="40" t="n">
        <v>0.15</v>
      </c>
      <c r="K253" s="39" t="n">
        <v>114750</v>
      </c>
      <c r="L253" s="39" t="n">
        <v>108000</v>
      </c>
      <c r="M253" s="39" t="n">
        <v>6750</v>
      </c>
      <c r="N253" s="38" t="s">
        <v>66</v>
      </c>
      <c r="O253" s="38" t="n">
        <f aca="false">YEAR(B253)</f>
        <v>2024</v>
      </c>
      <c r="P253" s="41" t="n">
        <f aca="false">DATE(YEAR(B253),MONTH(B253),1)</f>
        <v>45597</v>
      </c>
      <c r="Q253" s="0" t="str">
        <f aca="false">INDEX(Products!$C$2:$C$16,MATCH(E253,Products!$A$2:$A$16,0))</f>
        <v>Technology</v>
      </c>
      <c r="R253" s="0" t="str">
        <f aca="false">INDEX(Customers!$F$2:$F$101,MATCH(D253,Customers!$A$2:$A$101,0))</f>
        <v>East</v>
      </c>
      <c r="S253" s="0" t="str">
        <f aca="false">INDEX(Customers!$C$2:$C$101,MATCH(D253,Customers!$A$2:$A$101,0))</f>
        <v>Small Business</v>
      </c>
      <c r="T253" s="0" t="str">
        <f aca="false">INDEX(Customers!$D$2:$D$101,MATCH(D253,Customers!$A$2:$A$101,0))</f>
        <v>Bhubaneswar</v>
      </c>
    </row>
    <row r="254" customFormat="false" ht="15" hidden="false" customHeight="false" outlineLevel="0" collapsed="false">
      <c r="A254" s="0" t="s">
        <v>520</v>
      </c>
      <c r="B254" s="37" t="n">
        <v>45763</v>
      </c>
      <c r="C254" s="37" t="n">
        <v>45766</v>
      </c>
      <c r="D254" s="38" t="s">
        <v>314</v>
      </c>
      <c r="E254" s="38" t="s">
        <v>116</v>
      </c>
      <c r="F254" s="38" t="s">
        <v>102</v>
      </c>
      <c r="G254" s="38" t="s">
        <v>178</v>
      </c>
      <c r="H254" s="0" t="n">
        <v>1</v>
      </c>
      <c r="I254" s="39" t="n">
        <v>12000</v>
      </c>
      <c r="J254" s="40" t="n">
        <v>0</v>
      </c>
      <c r="K254" s="39" t="n">
        <v>12000</v>
      </c>
      <c r="L254" s="39" t="n">
        <v>9000</v>
      </c>
      <c r="M254" s="39" t="n">
        <v>3000</v>
      </c>
      <c r="N254" s="38" t="s">
        <v>66</v>
      </c>
      <c r="O254" s="38" t="n">
        <f aca="false">YEAR(B254)</f>
        <v>2025</v>
      </c>
      <c r="P254" s="41" t="n">
        <f aca="false">DATE(YEAR(B254),MONTH(B254),1)</f>
        <v>45748</v>
      </c>
      <c r="Q254" s="0" t="str">
        <f aca="false">INDEX(Products!$C$2:$C$16,MATCH(E254,Products!$A$2:$A$16,0))</f>
        <v>Technology</v>
      </c>
      <c r="R254" s="0" t="str">
        <f aca="false">INDEX(Customers!$F$2:$F$101,MATCH(D254,Customers!$A$2:$A$101,0))</f>
        <v>North</v>
      </c>
      <c r="S254" s="0" t="str">
        <f aca="false">INDEX(Customers!$C$2:$C$101,MATCH(D254,Customers!$A$2:$A$101,0))</f>
        <v>Consumer</v>
      </c>
      <c r="T254" s="0" t="str">
        <f aca="false">INDEX(Customers!$D$2:$D$101,MATCH(D254,Customers!$A$2:$A$101,0))</f>
        <v>Gurugram</v>
      </c>
    </row>
    <row r="255" customFormat="false" ht="15" hidden="false" customHeight="false" outlineLevel="0" collapsed="false">
      <c r="A255" s="0" t="s">
        <v>521</v>
      </c>
      <c r="B255" s="37" t="n">
        <v>45921</v>
      </c>
      <c r="C255" s="37" t="n">
        <v>45928</v>
      </c>
      <c r="D255" s="38" t="s">
        <v>522</v>
      </c>
      <c r="E255" s="38" t="s">
        <v>119</v>
      </c>
      <c r="F255" s="38" t="s">
        <v>100</v>
      </c>
      <c r="G255" s="38" t="s">
        <v>173</v>
      </c>
      <c r="H255" s="0" t="n">
        <v>6</v>
      </c>
      <c r="I255" s="39" t="n">
        <v>250</v>
      </c>
      <c r="J255" s="40" t="n">
        <v>0</v>
      </c>
      <c r="K255" s="39" t="n">
        <v>1500</v>
      </c>
      <c r="L255" s="39" t="n">
        <v>720</v>
      </c>
      <c r="M255" s="39" t="n">
        <v>780</v>
      </c>
      <c r="N255" s="38" t="s">
        <v>66</v>
      </c>
      <c r="O255" s="38" t="n">
        <f aca="false">YEAR(B255)</f>
        <v>2025</v>
      </c>
      <c r="P255" s="41" t="n">
        <f aca="false">DATE(YEAR(B255),MONTH(B255),1)</f>
        <v>45901</v>
      </c>
      <c r="Q255" s="0" t="str">
        <f aca="false">INDEX(Products!$C$2:$C$16,MATCH(E255,Products!$A$2:$A$16,0))</f>
        <v>Office Supplies</v>
      </c>
      <c r="R255" s="0" t="str">
        <f aca="false">INDEX(Customers!$F$2:$F$101,MATCH(D255,Customers!$A$2:$A$101,0))</f>
        <v>West</v>
      </c>
      <c r="S255" s="0" t="str">
        <f aca="false">INDEX(Customers!$C$2:$C$101,MATCH(D255,Customers!$A$2:$A$101,0))</f>
        <v>Consumer</v>
      </c>
      <c r="T255" s="0" t="str">
        <f aca="false">INDEX(Customers!$D$2:$D$101,MATCH(D255,Customers!$A$2:$A$101,0))</f>
        <v>Ahmedabad</v>
      </c>
    </row>
    <row r="256" customFormat="false" ht="15" hidden="false" customHeight="false" outlineLevel="0" collapsed="false">
      <c r="A256" s="0" t="s">
        <v>523</v>
      </c>
      <c r="B256" s="37" t="n">
        <v>45749</v>
      </c>
      <c r="C256" s="37" t="n">
        <v>45754</v>
      </c>
      <c r="D256" s="38" t="s">
        <v>266</v>
      </c>
      <c r="E256" s="38" t="s">
        <v>113</v>
      </c>
      <c r="F256" s="38" t="s">
        <v>100</v>
      </c>
      <c r="G256" s="38" t="s">
        <v>173</v>
      </c>
      <c r="H256" s="0" t="n">
        <v>3</v>
      </c>
      <c r="I256" s="39" t="n">
        <v>45000</v>
      </c>
      <c r="J256" s="40" t="n">
        <v>0.25</v>
      </c>
      <c r="K256" s="39" t="n">
        <v>101250</v>
      </c>
      <c r="L256" s="39" t="n">
        <v>108000</v>
      </c>
      <c r="M256" s="39" t="n">
        <v>-6750</v>
      </c>
      <c r="N256" s="38" t="s">
        <v>66</v>
      </c>
      <c r="O256" s="38" t="n">
        <f aca="false">YEAR(B256)</f>
        <v>2025</v>
      </c>
      <c r="P256" s="41" t="n">
        <f aca="false">DATE(YEAR(B256),MONTH(B256),1)</f>
        <v>45748</v>
      </c>
      <c r="Q256" s="0" t="str">
        <f aca="false">INDEX(Products!$C$2:$C$16,MATCH(E256,Products!$A$2:$A$16,0))</f>
        <v>Technology</v>
      </c>
      <c r="R256" s="0" t="str">
        <f aca="false">INDEX(Customers!$F$2:$F$101,MATCH(D256,Customers!$A$2:$A$101,0))</f>
        <v>West</v>
      </c>
      <c r="S256" s="0" t="str">
        <f aca="false">INDEX(Customers!$C$2:$C$101,MATCH(D256,Customers!$A$2:$A$101,0))</f>
        <v>Consumer</v>
      </c>
      <c r="T256" s="0" t="str">
        <f aca="false">INDEX(Customers!$D$2:$D$101,MATCH(D256,Customers!$A$2:$A$101,0))</f>
        <v>Pune</v>
      </c>
    </row>
    <row r="257" customFormat="false" ht="15" hidden="false" customHeight="false" outlineLevel="0" collapsed="false">
      <c r="A257" s="0" t="s">
        <v>524</v>
      </c>
      <c r="B257" s="37" t="n">
        <v>45531</v>
      </c>
      <c r="C257" s="37" t="n">
        <v>45536</v>
      </c>
      <c r="D257" s="38" t="s">
        <v>251</v>
      </c>
      <c r="E257" s="38" t="s">
        <v>120</v>
      </c>
      <c r="F257" s="38" t="s">
        <v>100</v>
      </c>
      <c r="G257" s="38" t="s">
        <v>173</v>
      </c>
      <c r="H257" s="0" t="n">
        <v>1</v>
      </c>
      <c r="I257" s="39" t="n">
        <v>400</v>
      </c>
      <c r="J257" s="40" t="n">
        <v>0.25</v>
      </c>
      <c r="K257" s="39" t="n">
        <v>300</v>
      </c>
      <c r="L257" s="39" t="n">
        <v>260</v>
      </c>
      <c r="M257" s="39" t="n">
        <v>40</v>
      </c>
      <c r="N257" s="38" t="s">
        <v>66</v>
      </c>
      <c r="O257" s="38" t="n">
        <f aca="false">YEAR(B257)</f>
        <v>2024</v>
      </c>
      <c r="P257" s="41" t="n">
        <f aca="false">DATE(YEAR(B257),MONTH(B257),1)</f>
        <v>45505</v>
      </c>
      <c r="Q257" s="0" t="str">
        <f aca="false">INDEX(Products!$C$2:$C$16,MATCH(E257,Products!$A$2:$A$16,0))</f>
        <v>Office Supplies</v>
      </c>
      <c r="R257" s="0" t="str">
        <f aca="false">INDEX(Customers!$F$2:$F$101,MATCH(D257,Customers!$A$2:$A$101,0))</f>
        <v>South</v>
      </c>
      <c r="S257" s="0" t="str">
        <f aca="false">INDEX(Customers!$C$2:$C$101,MATCH(D257,Customers!$A$2:$A$101,0))</f>
        <v>Corporate</v>
      </c>
      <c r="T257" s="0" t="str">
        <f aca="false">INDEX(Customers!$D$2:$D$101,MATCH(D257,Customers!$A$2:$A$101,0))</f>
        <v>Bengaluru</v>
      </c>
    </row>
    <row r="258" customFormat="false" ht="15" hidden="false" customHeight="false" outlineLevel="0" collapsed="false">
      <c r="A258" s="0" t="s">
        <v>525</v>
      </c>
      <c r="B258" s="37" t="n">
        <v>46127</v>
      </c>
      <c r="C258" s="37" t="n">
        <v>46133</v>
      </c>
      <c r="D258" s="38" t="s">
        <v>310</v>
      </c>
      <c r="E258" s="38" t="s">
        <v>116</v>
      </c>
      <c r="F258" s="38" t="s">
        <v>102</v>
      </c>
      <c r="G258" s="38" t="s">
        <v>170</v>
      </c>
      <c r="H258" s="0" t="n">
        <v>3</v>
      </c>
      <c r="I258" s="39" t="n">
        <v>12000</v>
      </c>
      <c r="J258" s="40" t="n">
        <v>0.15</v>
      </c>
      <c r="K258" s="39" t="n">
        <v>30600</v>
      </c>
      <c r="L258" s="39" t="n">
        <v>27000</v>
      </c>
      <c r="M258" s="39" t="n">
        <v>3600</v>
      </c>
      <c r="N258" s="38" t="s">
        <v>66</v>
      </c>
      <c r="O258" s="38" t="n">
        <f aca="false">YEAR(B258)</f>
        <v>2026</v>
      </c>
      <c r="P258" s="41" t="n">
        <f aca="false">DATE(YEAR(B258),MONTH(B258),1)</f>
        <v>46113</v>
      </c>
      <c r="Q258" s="0" t="str">
        <f aca="false">INDEX(Products!$C$2:$C$16,MATCH(E258,Products!$A$2:$A$16,0))</f>
        <v>Technology</v>
      </c>
      <c r="R258" s="0" t="str">
        <f aca="false">INDEX(Customers!$F$2:$F$101,MATCH(D258,Customers!$A$2:$A$101,0))</f>
        <v>South</v>
      </c>
      <c r="S258" s="0" t="str">
        <f aca="false">INDEX(Customers!$C$2:$C$101,MATCH(D258,Customers!$A$2:$A$101,0))</f>
        <v>Small Business</v>
      </c>
      <c r="T258" s="0" t="str">
        <f aca="false">INDEX(Customers!$D$2:$D$101,MATCH(D258,Customers!$A$2:$A$101,0))</f>
        <v>Hyderabad</v>
      </c>
    </row>
    <row r="259" customFormat="false" ht="15" hidden="false" customHeight="false" outlineLevel="0" collapsed="false">
      <c r="A259" s="0" t="s">
        <v>526</v>
      </c>
      <c r="B259" s="37" t="n">
        <v>45825</v>
      </c>
      <c r="C259" s="37" t="n">
        <v>45827</v>
      </c>
      <c r="D259" s="38" t="s">
        <v>338</v>
      </c>
      <c r="E259" s="38" t="s">
        <v>123</v>
      </c>
      <c r="F259" s="38" t="s">
        <v>100</v>
      </c>
      <c r="G259" s="38" t="s">
        <v>188</v>
      </c>
      <c r="H259" s="0" t="n">
        <v>2</v>
      </c>
      <c r="I259" s="39" t="n">
        <v>2200</v>
      </c>
      <c r="J259" s="40" t="n">
        <v>0.05</v>
      </c>
      <c r="K259" s="39" t="n">
        <v>4180</v>
      </c>
      <c r="L259" s="39" t="n">
        <v>2600</v>
      </c>
      <c r="M259" s="39" t="n">
        <v>1580</v>
      </c>
      <c r="N259" s="38" t="s">
        <v>146</v>
      </c>
      <c r="O259" s="38" t="n">
        <f aca="false">YEAR(B259)</f>
        <v>2025</v>
      </c>
      <c r="P259" s="41" t="n">
        <f aca="false">DATE(YEAR(B259),MONTH(B259),1)</f>
        <v>45809</v>
      </c>
      <c r="Q259" s="0" t="str">
        <f aca="false">INDEX(Products!$C$2:$C$16,MATCH(E259,Products!$A$2:$A$16,0))</f>
        <v>Technology</v>
      </c>
      <c r="R259" s="0" t="str">
        <f aca="false">INDEX(Customers!$F$2:$F$101,MATCH(D259,Customers!$A$2:$A$101,0))</f>
        <v>East</v>
      </c>
      <c r="S259" s="0" t="str">
        <f aca="false">INDEX(Customers!$C$2:$C$101,MATCH(D259,Customers!$A$2:$A$101,0))</f>
        <v>Small Business</v>
      </c>
      <c r="T259" s="0" t="str">
        <f aca="false">INDEX(Customers!$D$2:$D$101,MATCH(D259,Customers!$A$2:$A$101,0))</f>
        <v>Bhubaneswar</v>
      </c>
    </row>
    <row r="260" customFormat="false" ht="15" hidden="false" customHeight="false" outlineLevel="0" collapsed="false">
      <c r="A260" s="0" t="s">
        <v>527</v>
      </c>
      <c r="B260" s="37" t="n">
        <v>45471</v>
      </c>
      <c r="C260" s="37" t="n">
        <v>45477</v>
      </c>
      <c r="D260" s="38" t="s">
        <v>341</v>
      </c>
      <c r="E260" s="38" t="s">
        <v>127</v>
      </c>
      <c r="F260" s="38" t="s">
        <v>101</v>
      </c>
      <c r="G260" s="38" t="s">
        <v>178</v>
      </c>
      <c r="H260" s="0" t="n">
        <v>3</v>
      </c>
      <c r="I260" s="39" t="n">
        <v>18000</v>
      </c>
      <c r="J260" s="40" t="n">
        <v>0.15</v>
      </c>
      <c r="K260" s="39" t="n">
        <v>45900</v>
      </c>
      <c r="L260" s="39" t="n">
        <v>42000</v>
      </c>
      <c r="M260" s="39" t="n">
        <v>3900</v>
      </c>
      <c r="N260" s="38" t="s">
        <v>147</v>
      </c>
      <c r="O260" s="38" t="n">
        <f aca="false">YEAR(B260)</f>
        <v>2024</v>
      </c>
      <c r="P260" s="41" t="n">
        <f aca="false">DATE(YEAR(B260),MONTH(B260),1)</f>
        <v>45444</v>
      </c>
      <c r="Q260" s="0" t="str">
        <f aca="false">INDEX(Products!$C$2:$C$16,MATCH(E260,Products!$A$2:$A$16,0))</f>
        <v>Technology</v>
      </c>
      <c r="R260" s="0" t="str">
        <f aca="false">INDEX(Customers!$F$2:$F$101,MATCH(D260,Customers!$A$2:$A$101,0))</f>
        <v>North</v>
      </c>
      <c r="S260" s="0" t="str">
        <f aca="false">INDEX(Customers!$C$2:$C$101,MATCH(D260,Customers!$A$2:$A$101,0))</f>
        <v>Corporate</v>
      </c>
      <c r="T260" s="0" t="str">
        <f aca="false">INDEX(Customers!$D$2:$D$101,MATCH(D260,Customers!$A$2:$A$101,0))</f>
        <v>Delhi</v>
      </c>
    </row>
    <row r="261" customFormat="false" ht="15" hidden="false" customHeight="false" outlineLevel="0" collapsed="false">
      <c r="A261" s="0" t="s">
        <v>528</v>
      </c>
      <c r="B261" s="37" t="n">
        <v>45682</v>
      </c>
      <c r="C261" s="37" t="n">
        <v>45689</v>
      </c>
      <c r="D261" s="38" t="s">
        <v>345</v>
      </c>
      <c r="E261" s="38" t="s">
        <v>123</v>
      </c>
      <c r="F261" s="38" t="s">
        <v>101</v>
      </c>
      <c r="G261" s="38" t="s">
        <v>185</v>
      </c>
      <c r="H261" s="0" t="n">
        <v>2</v>
      </c>
      <c r="I261" s="39" t="n">
        <v>2200</v>
      </c>
      <c r="J261" s="40" t="n">
        <v>0.2</v>
      </c>
      <c r="K261" s="39" t="n">
        <v>3520</v>
      </c>
      <c r="L261" s="39" t="n">
        <v>2600</v>
      </c>
      <c r="M261" s="39" t="n">
        <v>920</v>
      </c>
      <c r="N261" s="38" t="s">
        <v>66</v>
      </c>
      <c r="O261" s="38" t="n">
        <f aca="false">YEAR(B261)</f>
        <v>2025</v>
      </c>
      <c r="P261" s="41" t="n">
        <f aca="false">DATE(YEAR(B261),MONTH(B261),1)</f>
        <v>45658</v>
      </c>
      <c r="Q261" s="0" t="str">
        <f aca="false">INDEX(Products!$C$2:$C$16,MATCH(E261,Products!$A$2:$A$16,0))</f>
        <v>Technology</v>
      </c>
      <c r="R261" s="0" t="str">
        <f aca="false">INDEX(Customers!$F$2:$F$101,MATCH(D261,Customers!$A$2:$A$101,0))</f>
        <v>West</v>
      </c>
      <c r="S261" s="0" t="str">
        <f aca="false">INDEX(Customers!$C$2:$C$101,MATCH(D261,Customers!$A$2:$A$101,0))</f>
        <v>Consumer</v>
      </c>
      <c r="T261" s="0" t="str">
        <f aca="false">INDEX(Customers!$D$2:$D$101,MATCH(D261,Customers!$A$2:$A$101,0))</f>
        <v>Ahmedabad</v>
      </c>
    </row>
    <row r="262" customFormat="false" ht="15" hidden="false" customHeight="false" outlineLevel="0" collapsed="false">
      <c r="A262" s="0" t="s">
        <v>529</v>
      </c>
      <c r="B262" s="37" t="n">
        <v>46064</v>
      </c>
      <c r="C262" s="37" t="n">
        <v>46069</v>
      </c>
      <c r="D262" s="38" t="s">
        <v>517</v>
      </c>
      <c r="E262" s="38" t="s">
        <v>115</v>
      </c>
      <c r="F262" s="38" t="s">
        <v>100</v>
      </c>
      <c r="G262" s="38" t="s">
        <v>170</v>
      </c>
      <c r="H262" s="0" t="n">
        <v>2</v>
      </c>
      <c r="I262" s="39" t="n">
        <v>1500</v>
      </c>
      <c r="J262" s="40" t="n">
        <v>0.25</v>
      </c>
      <c r="K262" s="39" t="n">
        <v>2250</v>
      </c>
      <c r="L262" s="39" t="n">
        <v>1700</v>
      </c>
      <c r="M262" s="39" t="n">
        <v>550</v>
      </c>
      <c r="N262" s="38" t="s">
        <v>66</v>
      </c>
      <c r="O262" s="38" t="n">
        <f aca="false">YEAR(B262)</f>
        <v>2026</v>
      </c>
      <c r="P262" s="41" t="n">
        <f aca="false">DATE(YEAR(B262),MONTH(B262),1)</f>
        <v>46054</v>
      </c>
      <c r="Q262" s="0" t="str">
        <f aca="false">INDEX(Products!$C$2:$C$16,MATCH(E262,Products!$A$2:$A$16,0))</f>
        <v>Technology</v>
      </c>
      <c r="R262" s="0" t="str">
        <f aca="false">INDEX(Customers!$F$2:$F$101,MATCH(D262,Customers!$A$2:$A$101,0))</f>
        <v>East</v>
      </c>
      <c r="S262" s="0" t="str">
        <f aca="false">INDEX(Customers!$C$2:$C$101,MATCH(D262,Customers!$A$2:$A$101,0))</f>
        <v>Corporate</v>
      </c>
      <c r="T262" s="0" t="str">
        <f aca="false">INDEX(Customers!$D$2:$D$101,MATCH(D262,Customers!$A$2:$A$101,0))</f>
        <v>Kolkata</v>
      </c>
    </row>
    <row r="263" customFormat="false" ht="15" hidden="false" customHeight="false" outlineLevel="0" collapsed="false">
      <c r="A263" s="0" t="s">
        <v>530</v>
      </c>
      <c r="B263" s="37" t="n">
        <v>45766</v>
      </c>
      <c r="C263" s="37" t="n">
        <v>45767</v>
      </c>
      <c r="D263" s="38" t="s">
        <v>338</v>
      </c>
      <c r="E263" s="38" t="s">
        <v>125</v>
      </c>
      <c r="F263" s="38" t="s">
        <v>102</v>
      </c>
      <c r="G263" s="38" t="s">
        <v>188</v>
      </c>
      <c r="H263" s="0" t="n">
        <v>3</v>
      </c>
      <c r="I263" s="39" t="n">
        <v>600</v>
      </c>
      <c r="J263" s="40" t="n">
        <v>0.1</v>
      </c>
      <c r="K263" s="39" t="n">
        <v>1620</v>
      </c>
      <c r="L263" s="39" t="n">
        <v>1050</v>
      </c>
      <c r="M263" s="39" t="n">
        <v>570</v>
      </c>
      <c r="N263" s="38" t="s">
        <v>66</v>
      </c>
      <c r="O263" s="38" t="n">
        <f aca="false">YEAR(B263)</f>
        <v>2025</v>
      </c>
      <c r="P263" s="41" t="n">
        <f aca="false">DATE(YEAR(B263),MONTH(B263),1)</f>
        <v>45748</v>
      </c>
      <c r="Q263" s="0" t="str">
        <f aca="false">INDEX(Products!$C$2:$C$16,MATCH(E263,Products!$A$2:$A$16,0))</f>
        <v>Office Supplies</v>
      </c>
      <c r="R263" s="0" t="str">
        <f aca="false">INDEX(Customers!$F$2:$F$101,MATCH(D263,Customers!$A$2:$A$101,0))</f>
        <v>East</v>
      </c>
      <c r="S263" s="0" t="str">
        <f aca="false">INDEX(Customers!$C$2:$C$101,MATCH(D263,Customers!$A$2:$A$101,0))</f>
        <v>Small Business</v>
      </c>
      <c r="T263" s="0" t="str">
        <f aca="false">INDEX(Customers!$D$2:$D$101,MATCH(D263,Customers!$A$2:$A$101,0))</f>
        <v>Bhubaneswar</v>
      </c>
    </row>
    <row r="264" customFormat="false" ht="15" hidden="false" customHeight="false" outlineLevel="0" collapsed="false">
      <c r="A264" s="0" t="s">
        <v>531</v>
      </c>
      <c r="B264" s="37" t="n">
        <v>45500</v>
      </c>
      <c r="C264" s="37" t="n">
        <v>45503</v>
      </c>
      <c r="D264" s="38" t="s">
        <v>230</v>
      </c>
      <c r="E264" s="38" t="s">
        <v>117</v>
      </c>
      <c r="F264" s="38" t="s">
        <v>101</v>
      </c>
      <c r="G264" s="38" t="s">
        <v>178</v>
      </c>
      <c r="H264" s="0" t="n">
        <v>3</v>
      </c>
      <c r="I264" s="39" t="n">
        <v>6500</v>
      </c>
      <c r="J264" s="40" t="n">
        <v>0.1</v>
      </c>
      <c r="K264" s="39" t="n">
        <v>17550</v>
      </c>
      <c r="L264" s="39" t="n">
        <v>12600</v>
      </c>
      <c r="M264" s="39" t="n">
        <v>4950</v>
      </c>
      <c r="N264" s="38" t="s">
        <v>66</v>
      </c>
      <c r="O264" s="38" t="n">
        <f aca="false">YEAR(B264)</f>
        <v>2024</v>
      </c>
      <c r="P264" s="41" t="n">
        <f aca="false">DATE(YEAR(B264),MONTH(B264),1)</f>
        <v>45474</v>
      </c>
      <c r="Q264" s="0" t="str">
        <f aca="false">INDEX(Products!$C$2:$C$16,MATCH(E264,Products!$A$2:$A$16,0))</f>
        <v>Furniture</v>
      </c>
      <c r="R264" s="0" t="str">
        <f aca="false">INDEX(Customers!$F$2:$F$101,MATCH(D264,Customers!$A$2:$A$101,0))</f>
        <v>East</v>
      </c>
      <c r="S264" s="0" t="str">
        <f aca="false">INDEX(Customers!$C$2:$C$101,MATCH(D264,Customers!$A$2:$A$101,0))</f>
        <v>Consumer</v>
      </c>
      <c r="T264" s="0" t="str">
        <f aca="false">INDEX(Customers!$D$2:$D$101,MATCH(D264,Customers!$A$2:$A$101,0))</f>
        <v>Kolkata</v>
      </c>
    </row>
    <row r="265" customFormat="false" ht="15" hidden="false" customHeight="false" outlineLevel="0" collapsed="false">
      <c r="A265" s="0" t="s">
        <v>532</v>
      </c>
      <c r="B265" s="37" t="n">
        <v>45566</v>
      </c>
      <c r="C265" s="37" t="n">
        <v>45570</v>
      </c>
      <c r="D265" s="38" t="s">
        <v>236</v>
      </c>
      <c r="E265" s="38" t="s">
        <v>113</v>
      </c>
      <c r="F265" s="38" t="s">
        <v>100</v>
      </c>
      <c r="G265" s="38" t="s">
        <v>178</v>
      </c>
      <c r="H265" s="0" t="n">
        <v>3</v>
      </c>
      <c r="I265" s="39" t="n">
        <v>45000</v>
      </c>
      <c r="J265" s="40" t="n">
        <v>0.15</v>
      </c>
      <c r="K265" s="39" t="n">
        <v>114750</v>
      </c>
      <c r="L265" s="39" t="n">
        <v>108000</v>
      </c>
      <c r="M265" s="39" t="n">
        <v>6750</v>
      </c>
      <c r="N265" s="38" t="s">
        <v>66</v>
      </c>
      <c r="O265" s="38" t="n">
        <f aca="false">YEAR(B265)</f>
        <v>2024</v>
      </c>
      <c r="P265" s="41" t="n">
        <f aca="false">DATE(YEAR(B265),MONTH(B265),1)</f>
        <v>45566</v>
      </c>
      <c r="Q265" s="0" t="str">
        <f aca="false">INDEX(Products!$C$2:$C$16,MATCH(E265,Products!$A$2:$A$16,0))</f>
        <v>Technology</v>
      </c>
      <c r="R265" s="0" t="str">
        <f aca="false">INDEX(Customers!$F$2:$F$101,MATCH(D265,Customers!$A$2:$A$101,0))</f>
        <v>West</v>
      </c>
      <c r="S265" s="0" t="str">
        <f aca="false">INDEX(Customers!$C$2:$C$101,MATCH(D265,Customers!$A$2:$A$101,0))</f>
        <v>Small Business</v>
      </c>
      <c r="T265" s="0" t="str">
        <f aca="false">INDEX(Customers!$D$2:$D$101,MATCH(D265,Customers!$A$2:$A$101,0))</f>
        <v>Pune</v>
      </c>
    </row>
    <row r="266" customFormat="false" ht="15" hidden="false" customHeight="false" outlineLevel="0" collapsed="false">
      <c r="A266" s="0" t="s">
        <v>533</v>
      </c>
      <c r="B266" s="37" t="n">
        <v>46033</v>
      </c>
      <c r="C266" s="37" t="n">
        <v>46039</v>
      </c>
      <c r="D266" s="38" t="s">
        <v>270</v>
      </c>
      <c r="E266" s="38" t="s">
        <v>122</v>
      </c>
      <c r="F266" s="38" t="s">
        <v>100</v>
      </c>
      <c r="G266" s="38" t="s">
        <v>170</v>
      </c>
      <c r="H266" s="0" t="n">
        <v>3</v>
      </c>
      <c r="I266" s="39" t="n">
        <v>5500</v>
      </c>
      <c r="J266" s="40" t="n">
        <v>0.1</v>
      </c>
      <c r="K266" s="39" t="n">
        <v>14850</v>
      </c>
      <c r="L266" s="39" t="n">
        <v>11100</v>
      </c>
      <c r="M266" s="39" t="n">
        <v>3750</v>
      </c>
      <c r="N266" s="38" t="s">
        <v>66</v>
      </c>
      <c r="O266" s="38" t="n">
        <f aca="false">YEAR(B266)</f>
        <v>2026</v>
      </c>
      <c r="P266" s="41" t="n">
        <f aca="false">DATE(YEAR(B266),MONTH(B266),1)</f>
        <v>46023</v>
      </c>
      <c r="Q266" s="0" t="str">
        <f aca="false">INDEX(Products!$C$2:$C$16,MATCH(E266,Products!$A$2:$A$16,0))</f>
        <v>Furniture</v>
      </c>
      <c r="R266" s="0" t="str">
        <f aca="false">INDEX(Customers!$F$2:$F$101,MATCH(D266,Customers!$A$2:$A$101,0))</f>
        <v>West</v>
      </c>
      <c r="S266" s="0" t="str">
        <f aca="false">INDEX(Customers!$C$2:$C$101,MATCH(D266,Customers!$A$2:$A$101,0))</f>
        <v>Small Business</v>
      </c>
      <c r="T266" s="0" t="str">
        <f aca="false">INDEX(Customers!$D$2:$D$101,MATCH(D266,Customers!$A$2:$A$101,0))</f>
        <v>Pune</v>
      </c>
    </row>
    <row r="267" customFormat="false" ht="15" hidden="false" customHeight="false" outlineLevel="0" collapsed="false">
      <c r="A267" s="0" t="s">
        <v>534</v>
      </c>
      <c r="B267" s="37" t="n">
        <v>46251</v>
      </c>
      <c r="C267" s="37" t="n">
        <v>46253</v>
      </c>
      <c r="D267" s="38" t="s">
        <v>470</v>
      </c>
      <c r="E267" s="38" t="s">
        <v>116</v>
      </c>
      <c r="F267" s="38" t="s">
        <v>102</v>
      </c>
      <c r="G267" s="38" t="s">
        <v>185</v>
      </c>
      <c r="H267" s="0" t="n">
        <v>8</v>
      </c>
      <c r="I267" s="39" t="n">
        <v>12000</v>
      </c>
      <c r="J267" s="40" t="n">
        <v>0</v>
      </c>
      <c r="K267" s="39" t="n">
        <v>96000</v>
      </c>
      <c r="L267" s="39" t="n">
        <v>72000</v>
      </c>
      <c r="M267" s="39" t="n">
        <v>24000</v>
      </c>
      <c r="N267" s="38" t="s">
        <v>146</v>
      </c>
      <c r="O267" s="38" t="n">
        <f aca="false">YEAR(B267)</f>
        <v>2026</v>
      </c>
      <c r="P267" s="41" t="n">
        <f aca="false">DATE(YEAR(B267),MONTH(B267),1)</f>
        <v>46235</v>
      </c>
      <c r="Q267" s="0" t="str">
        <f aca="false">INDEX(Products!$C$2:$C$16,MATCH(E267,Products!$A$2:$A$16,0))</f>
        <v>Technology</v>
      </c>
      <c r="R267" s="0" t="str">
        <f aca="false">INDEX(Customers!$F$2:$F$101,MATCH(D267,Customers!$A$2:$A$101,0))</f>
        <v>North</v>
      </c>
      <c r="S267" s="0" t="str">
        <f aca="false">INDEX(Customers!$C$2:$C$101,MATCH(D267,Customers!$A$2:$A$101,0))</f>
        <v>Small Business</v>
      </c>
      <c r="T267" s="0" t="str">
        <f aca="false">INDEX(Customers!$D$2:$D$101,MATCH(D267,Customers!$A$2:$A$101,0))</f>
        <v>Lucknow</v>
      </c>
    </row>
    <row r="268" customFormat="false" ht="15" hidden="false" customHeight="false" outlineLevel="0" collapsed="false">
      <c r="A268" s="0" t="s">
        <v>535</v>
      </c>
      <c r="B268" s="37" t="n">
        <v>46012</v>
      </c>
      <c r="C268" s="37" t="n">
        <v>46014</v>
      </c>
      <c r="D268" s="38" t="s">
        <v>184</v>
      </c>
      <c r="E268" s="38" t="s">
        <v>122</v>
      </c>
      <c r="F268" s="38" t="s">
        <v>102</v>
      </c>
      <c r="G268" s="38" t="s">
        <v>170</v>
      </c>
      <c r="H268" s="0" t="n">
        <v>2</v>
      </c>
      <c r="I268" s="39" t="n">
        <v>5500</v>
      </c>
      <c r="J268" s="40" t="n">
        <v>0</v>
      </c>
      <c r="K268" s="39" t="n">
        <v>11000</v>
      </c>
      <c r="L268" s="39" t="n">
        <v>7400</v>
      </c>
      <c r="M268" s="39" t="n">
        <v>3600</v>
      </c>
      <c r="N268" s="38" t="s">
        <v>66</v>
      </c>
      <c r="O268" s="38" t="n">
        <f aca="false">YEAR(B268)</f>
        <v>2025</v>
      </c>
      <c r="P268" s="41" t="n">
        <f aca="false">DATE(YEAR(B268),MONTH(B268),1)</f>
        <v>45992</v>
      </c>
      <c r="Q268" s="0" t="str">
        <f aca="false">INDEX(Products!$C$2:$C$16,MATCH(E268,Products!$A$2:$A$16,0))</f>
        <v>Furniture</v>
      </c>
      <c r="R268" s="0" t="str">
        <f aca="false">INDEX(Customers!$F$2:$F$101,MATCH(D268,Customers!$A$2:$A$101,0))</f>
        <v>West</v>
      </c>
      <c r="S268" s="0" t="str">
        <f aca="false">INDEX(Customers!$C$2:$C$101,MATCH(D268,Customers!$A$2:$A$101,0))</f>
        <v>Consumer</v>
      </c>
      <c r="T268" s="0" t="str">
        <f aca="false">INDEX(Customers!$D$2:$D$101,MATCH(D268,Customers!$A$2:$A$101,0))</f>
        <v>Ahmedabad</v>
      </c>
    </row>
    <row r="269" customFormat="false" ht="15" hidden="false" customHeight="false" outlineLevel="0" collapsed="false">
      <c r="A269" s="0" t="s">
        <v>536</v>
      </c>
      <c r="B269" s="37" t="n">
        <v>45838</v>
      </c>
      <c r="C269" s="37" t="n">
        <v>45844</v>
      </c>
      <c r="D269" s="38" t="s">
        <v>517</v>
      </c>
      <c r="E269" s="38" t="s">
        <v>120</v>
      </c>
      <c r="F269" s="38" t="s">
        <v>101</v>
      </c>
      <c r="G269" s="38" t="s">
        <v>188</v>
      </c>
      <c r="H269" s="0" t="n">
        <v>2</v>
      </c>
      <c r="I269" s="39" t="n">
        <v>400</v>
      </c>
      <c r="J269" s="40" t="n">
        <v>0.05</v>
      </c>
      <c r="K269" s="39" t="n">
        <v>760</v>
      </c>
      <c r="L269" s="39" t="n">
        <v>520</v>
      </c>
      <c r="M269" s="39" t="n">
        <v>240</v>
      </c>
      <c r="N269" s="38" t="s">
        <v>66</v>
      </c>
      <c r="O269" s="38" t="n">
        <f aca="false">YEAR(B269)</f>
        <v>2025</v>
      </c>
      <c r="P269" s="41" t="n">
        <f aca="false">DATE(YEAR(B269),MONTH(B269),1)</f>
        <v>45809</v>
      </c>
      <c r="Q269" s="0" t="str">
        <f aca="false">INDEX(Products!$C$2:$C$16,MATCH(E269,Products!$A$2:$A$16,0))</f>
        <v>Office Supplies</v>
      </c>
      <c r="R269" s="0" t="str">
        <f aca="false">INDEX(Customers!$F$2:$F$101,MATCH(D269,Customers!$A$2:$A$101,0))</f>
        <v>East</v>
      </c>
      <c r="S269" s="0" t="str">
        <f aca="false">INDEX(Customers!$C$2:$C$101,MATCH(D269,Customers!$A$2:$A$101,0))</f>
        <v>Corporate</v>
      </c>
      <c r="T269" s="0" t="str">
        <f aca="false">INDEX(Customers!$D$2:$D$101,MATCH(D269,Customers!$A$2:$A$101,0))</f>
        <v>Kolkata</v>
      </c>
    </row>
    <row r="270" customFormat="false" ht="15" hidden="false" customHeight="false" outlineLevel="0" collapsed="false">
      <c r="A270" s="0" t="s">
        <v>537</v>
      </c>
      <c r="B270" s="37" t="n">
        <v>46114</v>
      </c>
      <c r="C270" s="37" t="n">
        <v>46120</v>
      </c>
      <c r="D270" s="38" t="s">
        <v>187</v>
      </c>
      <c r="E270" s="38" t="s">
        <v>114</v>
      </c>
      <c r="F270" s="38" t="s">
        <v>101</v>
      </c>
      <c r="G270" s="38" t="s">
        <v>173</v>
      </c>
      <c r="H270" s="0" t="n">
        <v>2</v>
      </c>
      <c r="I270" s="39" t="n">
        <v>800</v>
      </c>
      <c r="J270" s="40" t="n">
        <v>0.25</v>
      </c>
      <c r="K270" s="39" t="n">
        <v>1200</v>
      </c>
      <c r="L270" s="39" t="n">
        <v>840</v>
      </c>
      <c r="M270" s="39" t="n">
        <v>360</v>
      </c>
      <c r="N270" s="38" t="s">
        <v>66</v>
      </c>
      <c r="O270" s="38" t="n">
        <f aca="false">YEAR(B270)</f>
        <v>2026</v>
      </c>
      <c r="P270" s="41" t="n">
        <f aca="false">DATE(YEAR(B270),MONTH(B270),1)</f>
        <v>46113</v>
      </c>
      <c r="Q270" s="0" t="str">
        <f aca="false">INDEX(Products!$C$2:$C$16,MATCH(E270,Products!$A$2:$A$16,0))</f>
        <v>Technology</v>
      </c>
      <c r="R270" s="0" t="str">
        <f aca="false">INDEX(Customers!$F$2:$F$101,MATCH(D270,Customers!$A$2:$A$101,0))</f>
        <v>South</v>
      </c>
      <c r="S270" s="0" t="str">
        <f aca="false">INDEX(Customers!$C$2:$C$101,MATCH(D270,Customers!$A$2:$A$101,0))</f>
        <v>Consumer</v>
      </c>
      <c r="T270" s="0" t="str">
        <f aca="false">INDEX(Customers!$D$2:$D$101,MATCH(D270,Customers!$A$2:$A$101,0))</f>
        <v>Bengaluru</v>
      </c>
    </row>
    <row r="271" customFormat="false" ht="15" hidden="false" customHeight="false" outlineLevel="0" collapsed="false">
      <c r="A271" s="0" t="s">
        <v>538</v>
      </c>
      <c r="B271" s="37" t="n">
        <v>45868</v>
      </c>
      <c r="C271" s="37" t="n">
        <v>45875</v>
      </c>
      <c r="D271" s="38" t="s">
        <v>198</v>
      </c>
      <c r="E271" s="38" t="s">
        <v>113</v>
      </c>
      <c r="F271" s="38" t="s">
        <v>100</v>
      </c>
      <c r="G271" s="38" t="s">
        <v>170</v>
      </c>
      <c r="H271" s="0" t="n">
        <v>1</v>
      </c>
      <c r="I271" s="39" t="n">
        <v>45000</v>
      </c>
      <c r="J271" s="40" t="n">
        <v>0</v>
      </c>
      <c r="K271" s="39" t="n">
        <v>45000</v>
      </c>
      <c r="L271" s="39" t="n">
        <v>36000</v>
      </c>
      <c r="M271" s="39" t="n">
        <v>9000</v>
      </c>
      <c r="N271" s="38" t="s">
        <v>66</v>
      </c>
      <c r="O271" s="38" t="n">
        <f aca="false">YEAR(B271)</f>
        <v>2025</v>
      </c>
      <c r="P271" s="41" t="n">
        <f aca="false">DATE(YEAR(B271),MONTH(B271),1)</f>
        <v>45839</v>
      </c>
      <c r="Q271" s="0" t="str">
        <f aca="false">INDEX(Products!$C$2:$C$16,MATCH(E271,Products!$A$2:$A$16,0))</f>
        <v>Technology</v>
      </c>
      <c r="R271" s="0" t="str">
        <f aca="false">INDEX(Customers!$F$2:$F$101,MATCH(D271,Customers!$A$2:$A$101,0))</f>
        <v>North</v>
      </c>
      <c r="S271" s="0" t="str">
        <f aca="false">INDEX(Customers!$C$2:$C$101,MATCH(D271,Customers!$A$2:$A$101,0))</f>
        <v>Consumer</v>
      </c>
      <c r="T271" s="0" t="str">
        <f aca="false">INDEX(Customers!$D$2:$D$101,MATCH(D271,Customers!$A$2:$A$101,0))</f>
        <v>Gurugram</v>
      </c>
    </row>
    <row r="272" customFormat="false" ht="15" hidden="false" customHeight="false" outlineLevel="0" collapsed="false">
      <c r="A272" s="0" t="s">
        <v>539</v>
      </c>
      <c r="B272" s="37" t="n">
        <v>46029</v>
      </c>
      <c r="C272" s="37" t="n">
        <v>46033</v>
      </c>
      <c r="D272" s="38" t="s">
        <v>200</v>
      </c>
      <c r="E272" s="38" t="s">
        <v>122</v>
      </c>
      <c r="F272" s="38" t="s">
        <v>101</v>
      </c>
      <c r="G272" s="38" t="s">
        <v>173</v>
      </c>
      <c r="H272" s="0" t="n">
        <v>1</v>
      </c>
      <c r="I272" s="39" t="n">
        <v>5500</v>
      </c>
      <c r="J272" s="40" t="n">
        <v>0</v>
      </c>
      <c r="K272" s="39" t="n">
        <v>5500</v>
      </c>
      <c r="L272" s="39" t="n">
        <v>3700</v>
      </c>
      <c r="M272" s="39" t="n">
        <v>1800</v>
      </c>
      <c r="N272" s="38" t="s">
        <v>66</v>
      </c>
      <c r="O272" s="38" t="n">
        <f aca="false">YEAR(B272)</f>
        <v>2026</v>
      </c>
      <c r="P272" s="41" t="n">
        <f aca="false">DATE(YEAR(B272),MONTH(B272),1)</f>
        <v>46023</v>
      </c>
      <c r="Q272" s="0" t="str">
        <f aca="false">INDEX(Products!$C$2:$C$16,MATCH(E272,Products!$A$2:$A$16,0))</f>
        <v>Furniture</v>
      </c>
      <c r="R272" s="0" t="str">
        <f aca="false">INDEX(Customers!$F$2:$F$101,MATCH(D272,Customers!$A$2:$A$101,0))</f>
        <v>West</v>
      </c>
      <c r="S272" s="0" t="str">
        <f aca="false">INDEX(Customers!$C$2:$C$101,MATCH(D272,Customers!$A$2:$A$101,0))</f>
        <v>Corporate</v>
      </c>
      <c r="T272" s="0" t="str">
        <f aca="false">INDEX(Customers!$D$2:$D$101,MATCH(D272,Customers!$A$2:$A$101,0))</f>
        <v>Mumbai</v>
      </c>
    </row>
    <row r="273" customFormat="false" ht="15" hidden="false" customHeight="false" outlineLevel="0" collapsed="false">
      <c r="A273" s="0" t="s">
        <v>540</v>
      </c>
      <c r="B273" s="37" t="n">
        <v>45855</v>
      </c>
      <c r="C273" s="37" t="n">
        <v>45861</v>
      </c>
      <c r="D273" s="38" t="s">
        <v>230</v>
      </c>
      <c r="E273" s="38" t="s">
        <v>120</v>
      </c>
      <c r="F273" s="38" t="s">
        <v>101</v>
      </c>
      <c r="G273" s="38" t="s">
        <v>185</v>
      </c>
      <c r="H273" s="0" t="n">
        <v>8</v>
      </c>
      <c r="I273" s="39" t="n">
        <v>400</v>
      </c>
      <c r="J273" s="40" t="n">
        <v>0.05</v>
      </c>
      <c r="K273" s="39" t="n">
        <v>3040</v>
      </c>
      <c r="L273" s="39" t="n">
        <v>2080</v>
      </c>
      <c r="M273" s="39" t="n">
        <v>960</v>
      </c>
      <c r="N273" s="38" t="s">
        <v>146</v>
      </c>
      <c r="O273" s="38" t="n">
        <f aca="false">YEAR(B273)</f>
        <v>2025</v>
      </c>
      <c r="P273" s="41" t="n">
        <f aca="false">DATE(YEAR(B273),MONTH(B273),1)</f>
        <v>45839</v>
      </c>
      <c r="Q273" s="0" t="str">
        <f aca="false">INDEX(Products!$C$2:$C$16,MATCH(E273,Products!$A$2:$A$16,0))</f>
        <v>Office Supplies</v>
      </c>
      <c r="R273" s="0" t="str">
        <f aca="false">INDEX(Customers!$F$2:$F$101,MATCH(D273,Customers!$A$2:$A$101,0))</f>
        <v>East</v>
      </c>
      <c r="S273" s="0" t="str">
        <f aca="false">INDEX(Customers!$C$2:$C$101,MATCH(D273,Customers!$A$2:$A$101,0))</f>
        <v>Consumer</v>
      </c>
      <c r="T273" s="0" t="str">
        <f aca="false">INDEX(Customers!$D$2:$D$101,MATCH(D273,Customers!$A$2:$A$101,0))</f>
        <v>Kolkata</v>
      </c>
    </row>
    <row r="274" customFormat="false" ht="15" hidden="false" customHeight="false" outlineLevel="0" collapsed="false">
      <c r="A274" s="0" t="s">
        <v>541</v>
      </c>
      <c r="B274" s="37" t="n">
        <v>45794</v>
      </c>
      <c r="C274" s="37" t="n">
        <v>45798</v>
      </c>
      <c r="D274" s="38" t="s">
        <v>345</v>
      </c>
      <c r="E274" s="38" t="s">
        <v>124</v>
      </c>
      <c r="F274" s="38" t="s">
        <v>101</v>
      </c>
      <c r="G274" s="38" t="s">
        <v>173</v>
      </c>
      <c r="H274" s="0" t="n">
        <v>1</v>
      </c>
      <c r="I274" s="39" t="n">
        <v>3000</v>
      </c>
      <c r="J274" s="40" t="n">
        <v>0.25</v>
      </c>
      <c r="K274" s="39" t="n">
        <v>2250</v>
      </c>
      <c r="L274" s="39" t="n">
        <v>1900</v>
      </c>
      <c r="M274" s="39" t="n">
        <v>350</v>
      </c>
      <c r="N274" s="38" t="s">
        <v>66</v>
      </c>
      <c r="O274" s="38" t="n">
        <f aca="false">YEAR(B274)</f>
        <v>2025</v>
      </c>
      <c r="P274" s="41" t="n">
        <f aca="false">DATE(YEAR(B274),MONTH(B274),1)</f>
        <v>45778</v>
      </c>
      <c r="Q274" s="0" t="str">
        <f aca="false">INDEX(Products!$C$2:$C$16,MATCH(E274,Products!$A$2:$A$16,0))</f>
        <v>Technology</v>
      </c>
      <c r="R274" s="0" t="str">
        <f aca="false">INDEX(Customers!$F$2:$F$101,MATCH(D274,Customers!$A$2:$A$101,0))</f>
        <v>West</v>
      </c>
      <c r="S274" s="0" t="str">
        <f aca="false">INDEX(Customers!$C$2:$C$101,MATCH(D274,Customers!$A$2:$A$101,0))</f>
        <v>Consumer</v>
      </c>
      <c r="T274" s="0" t="str">
        <f aca="false">INDEX(Customers!$D$2:$D$101,MATCH(D274,Customers!$A$2:$A$101,0))</f>
        <v>Ahmedabad</v>
      </c>
    </row>
    <row r="275" customFormat="false" ht="15" hidden="false" customHeight="false" outlineLevel="0" collapsed="false">
      <c r="A275" s="0" t="s">
        <v>542</v>
      </c>
      <c r="B275" s="37" t="n">
        <v>45480</v>
      </c>
      <c r="C275" s="37" t="n">
        <v>45485</v>
      </c>
      <c r="D275" s="38" t="s">
        <v>204</v>
      </c>
      <c r="E275" s="38" t="s">
        <v>120</v>
      </c>
      <c r="F275" s="38" t="s">
        <v>102</v>
      </c>
      <c r="G275" s="38" t="s">
        <v>178</v>
      </c>
      <c r="H275" s="0" t="n">
        <v>10</v>
      </c>
      <c r="I275" s="39" t="n">
        <v>400</v>
      </c>
      <c r="J275" s="40" t="n">
        <v>0</v>
      </c>
      <c r="K275" s="39" t="n">
        <v>4000</v>
      </c>
      <c r="L275" s="39" t="n">
        <v>2600</v>
      </c>
      <c r="M275" s="39" t="n">
        <v>1400</v>
      </c>
      <c r="N275" s="38" t="s">
        <v>66</v>
      </c>
      <c r="O275" s="38" t="n">
        <f aca="false">YEAR(B275)</f>
        <v>2024</v>
      </c>
      <c r="P275" s="41" t="n">
        <f aca="false">DATE(YEAR(B275),MONTH(B275),1)</f>
        <v>45474</v>
      </c>
      <c r="Q275" s="0" t="str">
        <f aca="false">INDEX(Products!$C$2:$C$16,MATCH(E275,Products!$A$2:$A$16,0))</f>
        <v>Office Supplies</v>
      </c>
      <c r="R275" s="0" t="str">
        <f aca="false">INDEX(Customers!$F$2:$F$101,MATCH(D275,Customers!$A$2:$A$101,0))</f>
        <v>South</v>
      </c>
      <c r="S275" s="0" t="str">
        <f aca="false">INDEX(Customers!$C$2:$C$101,MATCH(D275,Customers!$A$2:$A$101,0))</f>
        <v>Small Business</v>
      </c>
      <c r="T275" s="0" t="str">
        <f aca="false">INDEX(Customers!$D$2:$D$101,MATCH(D275,Customers!$A$2:$A$101,0))</f>
        <v>Bengaluru</v>
      </c>
    </row>
    <row r="276" customFormat="false" ht="15" hidden="false" customHeight="false" outlineLevel="0" collapsed="false">
      <c r="A276" s="0" t="s">
        <v>543</v>
      </c>
      <c r="B276" s="37" t="n">
        <v>45976</v>
      </c>
      <c r="C276" s="37" t="n">
        <v>45977</v>
      </c>
      <c r="D276" s="38" t="s">
        <v>381</v>
      </c>
      <c r="E276" s="38" t="s">
        <v>126</v>
      </c>
      <c r="F276" s="38" t="s">
        <v>100</v>
      </c>
      <c r="G276" s="38" t="s">
        <v>173</v>
      </c>
      <c r="H276" s="0" t="n">
        <v>4</v>
      </c>
      <c r="I276" s="39" t="n">
        <v>1200</v>
      </c>
      <c r="J276" s="40" t="n">
        <v>0.1</v>
      </c>
      <c r="K276" s="39" t="n">
        <v>4320</v>
      </c>
      <c r="L276" s="39" t="n">
        <v>2800</v>
      </c>
      <c r="M276" s="39" t="n">
        <v>1520</v>
      </c>
      <c r="N276" s="38" t="s">
        <v>66</v>
      </c>
      <c r="O276" s="38" t="n">
        <f aca="false">YEAR(B276)</f>
        <v>2025</v>
      </c>
      <c r="P276" s="41" t="n">
        <f aca="false">DATE(YEAR(B276),MONTH(B276),1)</f>
        <v>45962</v>
      </c>
      <c r="Q276" s="0" t="str">
        <f aca="false">INDEX(Products!$C$2:$C$16,MATCH(E276,Products!$A$2:$A$16,0))</f>
        <v>Furniture</v>
      </c>
      <c r="R276" s="0" t="str">
        <f aca="false">INDEX(Customers!$F$2:$F$101,MATCH(D276,Customers!$A$2:$A$101,0))</f>
        <v>West</v>
      </c>
      <c r="S276" s="0" t="str">
        <f aca="false">INDEX(Customers!$C$2:$C$101,MATCH(D276,Customers!$A$2:$A$101,0))</f>
        <v>Consumer</v>
      </c>
      <c r="T276" s="0" t="str">
        <f aca="false">INDEX(Customers!$D$2:$D$101,MATCH(D276,Customers!$A$2:$A$101,0))</f>
        <v>Pune</v>
      </c>
    </row>
    <row r="277" customFormat="false" ht="15" hidden="false" customHeight="false" outlineLevel="0" collapsed="false">
      <c r="A277" s="0" t="s">
        <v>544</v>
      </c>
      <c r="B277" s="37" t="n">
        <v>45515</v>
      </c>
      <c r="C277" s="37" t="n">
        <v>45520</v>
      </c>
      <c r="D277" s="38" t="s">
        <v>331</v>
      </c>
      <c r="E277" s="38" t="s">
        <v>113</v>
      </c>
      <c r="F277" s="38" t="s">
        <v>102</v>
      </c>
      <c r="G277" s="38" t="s">
        <v>188</v>
      </c>
      <c r="H277" s="0" t="n">
        <v>2</v>
      </c>
      <c r="I277" s="39" t="n">
        <v>45000</v>
      </c>
      <c r="J277" s="40" t="n">
        <v>0</v>
      </c>
      <c r="K277" s="39" t="n">
        <v>90000</v>
      </c>
      <c r="L277" s="39" t="n">
        <v>72000</v>
      </c>
      <c r="M277" s="39" t="n">
        <v>18000</v>
      </c>
      <c r="N277" s="38" t="s">
        <v>146</v>
      </c>
      <c r="O277" s="38" t="n">
        <f aca="false">YEAR(B277)</f>
        <v>2024</v>
      </c>
      <c r="P277" s="41" t="n">
        <f aca="false">DATE(YEAR(B277),MONTH(B277),1)</f>
        <v>45505</v>
      </c>
      <c r="Q277" s="0" t="str">
        <f aca="false">INDEX(Products!$C$2:$C$16,MATCH(E277,Products!$A$2:$A$16,0))</f>
        <v>Technology</v>
      </c>
      <c r="R277" s="0" t="str">
        <f aca="false">INDEX(Customers!$F$2:$F$101,MATCH(D277,Customers!$A$2:$A$101,0))</f>
        <v>North</v>
      </c>
      <c r="S277" s="0" t="str">
        <f aca="false">INDEX(Customers!$C$2:$C$101,MATCH(D277,Customers!$A$2:$A$101,0))</f>
        <v>Corporate</v>
      </c>
      <c r="T277" s="0" t="str">
        <f aca="false">INDEX(Customers!$D$2:$D$101,MATCH(D277,Customers!$A$2:$A$101,0))</f>
        <v>Delhi</v>
      </c>
    </row>
    <row r="278" customFormat="false" ht="15" hidden="false" customHeight="false" outlineLevel="0" collapsed="false">
      <c r="A278" s="0" t="s">
        <v>545</v>
      </c>
      <c r="B278" s="37" t="n">
        <v>45308</v>
      </c>
      <c r="C278" s="37" t="n">
        <v>45309</v>
      </c>
      <c r="D278" s="38" t="s">
        <v>522</v>
      </c>
      <c r="E278" s="38" t="s">
        <v>120</v>
      </c>
      <c r="F278" s="38" t="s">
        <v>100</v>
      </c>
      <c r="G278" s="38" t="s">
        <v>178</v>
      </c>
      <c r="H278" s="0" t="n">
        <v>2</v>
      </c>
      <c r="I278" s="39" t="n">
        <v>400</v>
      </c>
      <c r="J278" s="40" t="n">
        <v>0.1</v>
      </c>
      <c r="K278" s="39" t="n">
        <v>720</v>
      </c>
      <c r="L278" s="39" t="n">
        <v>520</v>
      </c>
      <c r="M278" s="39" t="n">
        <v>200</v>
      </c>
      <c r="N278" s="38" t="s">
        <v>66</v>
      </c>
      <c r="O278" s="38" t="n">
        <f aca="false">YEAR(B278)</f>
        <v>2024</v>
      </c>
      <c r="P278" s="41" t="n">
        <f aca="false">DATE(YEAR(B278),MONTH(B278),1)</f>
        <v>45292</v>
      </c>
      <c r="Q278" s="0" t="str">
        <f aca="false">INDEX(Products!$C$2:$C$16,MATCH(E278,Products!$A$2:$A$16,0))</f>
        <v>Office Supplies</v>
      </c>
      <c r="R278" s="0" t="str">
        <f aca="false">INDEX(Customers!$F$2:$F$101,MATCH(D278,Customers!$A$2:$A$101,0))</f>
        <v>West</v>
      </c>
      <c r="S278" s="0" t="str">
        <f aca="false">INDEX(Customers!$C$2:$C$101,MATCH(D278,Customers!$A$2:$A$101,0))</f>
        <v>Consumer</v>
      </c>
      <c r="T278" s="0" t="str">
        <f aca="false">INDEX(Customers!$D$2:$D$101,MATCH(D278,Customers!$A$2:$A$101,0))</f>
        <v>Ahmedabad</v>
      </c>
    </row>
    <row r="279" customFormat="false" ht="15" hidden="false" customHeight="false" outlineLevel="0" collapsed="false">
      <c r="A279" s="0" t="s">
        <v>546</v>
      </c>
      <c r="B279" s="37" t="n">
        <v>46292</v>
      </c>
      <c r="C279" s="37" t="n">
        <v>46295</v>
      </c>
      <c r="D279" s="38" t="s">
        <v>194</v>
      </c>
      <c r="E279" s="38" t="s">
        <v>121</v>
      </c>
      <c r="F279" s="38" t="s">
        <v>102</v>
      </c>
      <c r="G279" s="38" t="s">
        <v>185</v>
      </c>
      <c r="H279" s="0" t="n">
        <v>1</v>
      </c>
      <c r="I279" s="39" t="n">
        <v>180</v>
      </c>
      <c r="J279" s="40" t="n">
        <v>0.25</v>
      </c>
      <c r="K279" s="39" t="n">
        <v>135</v>
      </c>
      <c r="L279" s="39" t="n">
        <v>70</v>
      </c>
      <c r="M279" s="39" t="n">
        <v>65</v>
      </c>
      <c r="N279" s="38" t="s">
        <v>66</v>
      </c>
      <c r="O279" s="38" t="n">
        <f aca="false">YEAR(B279)</f>
        <v>2026</v>
      </c>
      <c r="P279" s="41" t="n">
        <f aca="false">DATE(YEAR(B279),MONTH(B279),1)</f>
        <v>46266</v>
      </c>
      <c r="Q279" s="0" t="str">
        <f aca="false">INDEX(Products!$C$2:$C$16,MATCH(E279,Products!$A$2:$A$16,0))</f>
        <v>Office Supplies</v>
      </c>
      <c r="R279" s="0" t="str">
        <f aca="false">INDEX(Customers!$F$2:$F$101,MATCH(D279,Customers!$A$2:$A$101,0))</f>
        <v>North</v>
      </c>
      <c r="S279" s="0" t="str">
        <f aca="false">INDEX(Customers!$C$2:$C$101,MATCH(D279,Customers!$A$2:$A$101,0))</f>
        <v>Small Business</v>
      </c>
      <c r="T279" s="0" t="str">
        <f aca="false">INDEX(Customers!$D$2:$D$101,MATCH(D279,Customers!$A$2:$A$101,0))</f>
        <v>Gurugram</v>
      </c>
    </row>
    <row r="280" customFormat="false" ht="15" hidden="false" customHeight="false" outlineLevel="0" collapsed="false">
      <c r="A280" s="0" t="s">
        <v>547</v>
      </c>
      <c r="B280" s="37" t="n">
        <v>46232</v>
      </c>
      <c r="C280" s="37" t="n">
        <v>46233</v>
      </c>
      <c r="D280" s="38" t="s">
        <v>246</v>
      </c>
      <c r="E280" s="38" t="s">
        <v>114</v>
      </c>
      <c r="F280" s="38" t="s">
        <v>100</v>
      </c>
      <c r="G280" s="38" t="s">
        <v>188</v>
      </c>
      <c r="H280" s="0" t="n">
        <v>2</v>
      </c>
      <c r="I280" s="39" t="n">
        <v>800</v>
      </c>
      <c r="J280" s="40" t="n">
        <v>0</v>
      </c>
      <c r="K280" s="39" t="n">
        <v>1600</v>
      </c>
      <c r="L280" s="39" t="n">
        <v>840</v>
      </c>
      <c r="M280" s="39" t="n">
        <v>760</v>
      </c>
      <c r="N280" s="38" t="s">
        <v>66</v>
      </c>
      <c r="O280" s="38" t="n">
        <f aca="false">YEAR(B280)</f>
        <v>2026</v>
      </c>
      <c r="P280" s="41" t="n">
        <f aca="false">DATE(YEAR(B280),MONTH(B280),1)</f>
        <v>46204</v>
      </c>
      <c r="Q280" s="0" t="str">
        <f aca="false">INDEX(Products!$C$2:$C$16,MATCH(E280,Products!$A$2:$A$16,0))</f>
        <v>Technology</v>
      </c>
      <c r="R280" s="0" t="str">
        <f aca="false">INDEX(Customers!$F$2:$F$101,MATCH(D280,Customers!$A$2:$A$101,0))</f>
        <v>North</v>
      </c>
      <c r="S280" s="0" t="str">
        <f aca="false">INDEX(Customers!$C$2:$C$101,MATCH(D280,Customers!$A$2:$A$101,0))</f>
        <v>Consumer</v>
      </c>
      <c r="T280" s="0" t="str">
        <f aca="false">INDEX(Customers!$D$2:$D$101,MATCH(D280,Customers!$A$2:$A$101,0))</f>
        <v>Jaipur</v>
      </c>
    </row>
    <row r="281" customFormat="false" ht="15" hidden="false" customHeight="false" outlineLevel="0" collapsed="false">
      <c r="A281" s="0" t="s">
        <v>548</v>
      </c>
      <c r="B281" s="37" t="n">
        <v>46106</v>
      </c>
      <c r="C281" s="37" t="n">
        <v>46110</v>
      </c>
      <c r="D281" s="38" t="s">
        <v>202</v>
      </c>
      <c r="E281" s="38" t="s">
        <v>117</v>
      </c>
      <c r="F281" s="38" t="s">
        <v>101</v>
      </c>
      <c r="G281" s="38" t="s">
        <v>188</v>
      </c>
      <c r="H281" s="0" t="n">
        <v>1</v>
      </c>
      <c r="I281" s="39" t="n">
        <v>6500</v>
      </c>
      <c r="J281" s="40" t="n">
        <v>0.1</v>
      </c>
      <c r="K281" s="39" t="n">
        <v>5850</v>
      </c>
      <c r="L281" s="39" t="n">
        <v>4200</v>
      </c>
      <c r="M281" s="39" t="n">
        <v>1650</v>
      </c>
      <c r="N281" s="38" t="s">
        <v>66</v>
      </c>
      <c r="O281" s="38" t="n">
        <f aca="false">YEAR(B281)</f>
        <v>2026</v>
      </c>
      <c r="P281" s="41" t="n">
        <f aca="false">DATE(YEAR(B281),MONTH(B281),1)</f>
        <v>46082</v>
      </c>
      <c r="Q281" s="0" t="str">
        <f aca="false">INDEX(Products!$C$2:$C$16,MATCH(E281,Products!$A$2:$A$16,0))</f>
        <v>Furniture</v>
      </c>
      <c r="R281" s="0" t="str">
        <f aca="false">INDEX(Customers!$F$2:$F$101,MATCH(D281,Customers!$A$2:$A$101,0))</f>
        <v>South</v>
      </c>
      <c r="S281" s="0" t="str">
        <f aca="false">INDEX(Customers!$C$2:$C$101,MATCH(D281,Customers!$A$2:$A$101,0))</f>
        <v>Corporate</v>
      </c>
      <c r="T281" s="0" t="str">
        <f aca="false">INDEX(Customers!$D$2:$D$101,MATCH(D281,Customers!$A$2:$A$101,0))</f>
        <v>Hyderabad</v>
      </c>
    </row>
    <row r="282" customFormat="false" ht="15" hidden="false" customHeight="false" outlineLevel="0" collapsed="false">
      <c r="A282" s="0" t="s">
        <v>549</v>
      </c>
      <c r="B282" s="37" t="n">
        <v>45599</v>
      </c>
      <c r="C282" s="37" t="n">
        <v>45605</v>
      </c>
      <c r="D282" s="38" t="s">
        <v>184</v>
      </c>
      <c r="E282" s="38" t="s">
        <v>116</v>
      </c>
      <c r="F282" s="38" t="s">
        <v>102</v>
      </c>
      <c r="G282" s="38" t="s">
        <v>178</v>
      </c>
      <c r="H282" s="0" t="n">
        <v>5</v>
      </c>
      <c r="I282" s="39" t="n">
        <v>12000</v>
      </c>
      <c r="J282" s="40" t="n">
        <v>0</v>
      </c>
      <c r="K282" s="39" t="n">
        <v>60000</v>
      </c>
      <c r="L282" s="39" t="n">
        <v>45000</v>
      </c>
      <c r="M282" s="39" t="n">
        <v>15000</v>
      </c>
      <c r="N282" s="38" t="s">
        <v>66</v>
      </c>
      <c r="O282" s="38" t="n">
        <f aca="false">YEAR(B282)</f>
        <v>2024</v>
      </c>
      <c r="P282" s="41" t="n">
        <f aca="false">DATE(YEAR(B282),MONTH(B282),1)</f>
        <v>45597</v>
      </c>
      <c r="Q282" s="0" t="str">
        <f aca="false">INDEX(Products!$C$2:$C$16,MATCH(E282,Products!$A$2:$A$16,0))</f>
        <v>Technology</v>
      </c>
      <c r="R282" s="0" t="str">
        <f aca="false">INDEX(Customers!$F$2:$F$101,MATCH(D282,Customers!$A$2:$A$101,0))</f>
        <v>West</v>
      </c>
      <c r="S282" s="0" t="str">
        <f aca="false">INDEX(Customers!$C$2:$C$101,MATCH(D282,Customers!$A$2:$A$101,0))</f>
        <v>Consumer</v>
      </c>
      <c r="T282" s="0" t="str">
        <f aca="false">INDEX(Customers!$D$2:$D$101,MATCH(D282,Customers!$A$2:$A$101,0))</f>
        <v>Ahmedabad</v>
      </c>
    </row>
    <row r="283" customFormat="false" ht="15" hidden="false" customHeight="false" outlineLevel="0" collapsed="false">
      <c r="A283" s="0" t="s">
        <v>550</v>
      </c>
      <c r="B283" s="37" t="n">
        <v>45857</v>
      </c>
      <c r="C283" s="37" t="n">
        <v>45861</v>
      </c>
      <c r="D283" s="38" t="s">
        <v>517</v>
      </c>
      <c r="E283" s="38" t="s">
        <v>119</v>
      </c>
      <c r="F283" s="38" t="s">
        <v>102</v>
      </c>
      <c r="G283" s="38" t="s">
        <v>173</v>
      </c>
      <c r="H283" s="0" t="n">
        <v>1</v>
      </c>
      <c r="I283" s="39" t="n">
        <v>250</v>
      </c>
      <c r="J283" s="40" t="n">
        <v>0</v>
      </c>
      <c r="K283" s="39" t="n">
        <v>250</v>
      </c>
      <c r="L283" s="39" t="n">
        <v>120</v>
      </c>
      <c r="M283" s="39" t="n">
        <v>130</v>
      </c>
      <c r="N283" s="38" t="s">
        <v>66</v>
      </c>
      <c r="O283" s="38" t="n">
        <f aca="false">YEAR(B283)</f>
        <v>2025</v>
      </c>
      <c r="P283" s="41" t="n">
        <f aca="false">DATE(YEAR(B283),MONTH(B283),1)</f>
        <v>45839</v>
      </c>
      <c r="Q283" s="0" t="str">
        <f aca="false">INDEX(Products!$C$2:$C$16,MATCH(E283,Products!$A$2:$A$16,0))</f>
        <v>Office Supplies</v>
      </c>
      <c r="R283" s="0" t="str">
        <f aca="false">INDEX(Customers!$F$2:$F$101,MATCH(D283,Customers!$A$2:$A$101,0))</f>
        <v>East</v>
      </c>
      <c r="S283" s="0" t="str">
        <f aca="false">INDEX(Customers!$C$2:$C$101,MATCH(D283,Customers!$A$2:$A$101,0))</f>
        <v>Corporate</v>
      </c>
      <c r="T283" s="0" t="str">
        <f aca="false">INDEX(Customers!$D$2:$D$101,MATCH(D283,Customers!$A$2:$A$101,0))</f>
        <v>Kolkata</v>
      </c>
    </row>
    <row r="284" customFormat="false" ht="15" hidden="false" customHeight="false" outlineLevel="0" collapsed="false">
      <c r="A284" s="0" t="s">
        <v>551</v>
      </c>
      <c r="B284" s="37" t="n">
        <v>46095</v>
      </c>
      <c r="C284" s="37" t="n">
        <v>46098</v>
      </c>
      <c r="D284" s="38" t="s">
        <v>272</v>
      </c>
      <c r="E284" s="38" t="s">
        <v>123</v>
      </c>
      <c r="F284" s="38" t="s">
        <v>100</v>
      </c>
      <c r="G284" s="38" t="s">
        <v>188</v>
      </c>
      <c r="H284" s="0" t="n">
        <v>3</v>
      </c>
      <c r="I284" s="39" t="n">
        <v>2200</v>
      </c>
      <c r="J284" s="40" t="n">
        <v>0.25</v>
      </c>
      <c r="K284" s="39" t="n">
        <v>4950</v>
      </c>
      <c r="L284" s="39" t="n">
        <v>3900</v>
      </c>
      <c r="M284" s="39" t="n">
        <v>1050</v>
      </c>
      <c r="N284" s="38" t="s">
        <v>146</v>
      </c>
      <c r="O284" s="38" t="n">
        <f aca="false">YEAR(B284)</f>
        <v>2026</v>
      </c>
      <c r="P284" s="41" t="n">
        <f aca="false">DATE(YEAR(B284),MONTH(B284),1)</f>
        <v>46082</v>
      </c>
      <c r="Q284" s="0" t="str">
        <f aca="false">INDEX(Products!$C$2:$C$16,MATCH(E284,Products!$A$2:$A$16,0))</f>
        <v>Technology</v>
      </c>
      <c r="R284" s="0" t="str">
        <f aca="false">INDEX(Customers!$F$2:$F$101,MATCH(D284,Customers!$A$2:$A$101,0))</f>
        <v>West</v>
      </c>
      <c r="S284" s="0" t="str">
        <f aca="false">INDEX(Customers!$C$2:$C$101,MATCH(D284,Customers!$A$2:$A$101,0))</f>
        <v>Corporate</v>
      </c>
      <c r="T284" s="0" t="str">
        <f aca="false">INDEX(Customers!$D$2:$D$101,MATCH(D284,Customers!$A$2:$A$101,0))</f>
        <v>Ahmedabad</v>
      </c>
    </row>
    <row r="285" customFormat="false" ht="15" hidden="false" customHeight="false" outlineLevel="0" collapsed="false">
      <c r="A285" s="0" t="s">
        <v>552</v>
      </c>
      <c r="B285" s="37" t="n">
        <v>46214</v>
      </c>
      <c r="C285" s="37" t="n">
        <v>46221</v>
      </c>
      <c r="D285" s="38" t="s">
        <v>314</v>
      </c>
      <c r="E285" s="38" t="s">
        <v>116</v>
      </c>
      <c r="F285" s="38" t="s">
        <v>101</v>
      </c>
      <c r="G285" s="38" t="s">
        <v>170</v>
      </c>
      <c r="H285" s="0" t="n">
        <v>3</v>
      </c>
      <c r="I285" s="39" t="n">
        <v>12000</v>
      </c>
      <c r="J285" s="40" t="n">
        <v>0.15</v>
      </c>
      <c r="K285" s="39" t="n">
        <v>30600</v>
      </c>
      <c r="L285" s="39" t="n">
        <v>27000</v>
      </c>
      <c r="M285" s="39" t="n">
        <v>3600</v>
      </c>
      <c r="N285" s="38" t="s">
        <v>66</v>
      </c>
      <c r="O285" s="38" t="n">
        <f aca="false">YEAR(B285)</f>
        <v>2026</v>
      </c>
      <c r="P285" s="41" t="n">
        <f aca="false">DATE(YEAR(B285),MONTH(B285),1)</f>
        <v>46204</v>
      </c>
      <c r="Q285" s="0" t="str">
        <f aca="false">INDEX(Products!$C$2:$C$16,MATCH(E285,Products!$A$2:$A$16,0))</f>
        <v>Technology</v>
      </c>
      <c r="R285" s="0" t="str">
        <f aca="false">INDEX(Customers!$F$2:$F$101,MATCH(D285,Customers!$A$2:$A$101,0))</f>
        <v>North</v>
      </c>
      <c r="S285" s="0" t="str">
        <f aca="false">INDEX(Customers!$C$2:$C$101,MATCH(D285,Customers!$A$2:$A$101,0))</f>
        <v>Consumer</v>
      </c>
      <c r="T285" s="0" t="str">
        <f aca="false">INDEX(Customers!$D$2:$D$101,MATCH(D285,Customers!$A$2:$A$101,0))</f>
        <v>Gurugram</v>
      </c>
    </row>
    <row r="286" customFormat="false" ht="15" hidden="false" customHeight="false" outlineLevel="0" collapsed="false">
      <c r="A286" s="0" t="s">
        <v>553</v>
      </c>
      <c r="B286" s="37" t="n">
        <v>46239</v>
      </c>
      <c r="C286" s="37" t="n">
        <v>46242</v>
      </c>
      <c r="D286" s="38" t="s">
        <v>381</v>
      </c>
      <c r="E286" s="38" t="s">
        <v>123</v>
      </c>
      <c r="F286" s="38" t="s">
        <v>102</v>
      </c>
      <c r="G286" s="38" t="s">
        <v>178</v>
      </c>
      <c r="H286" s="0" t="n">
        <v>6</v>
      </c>
      <c r="I286" s="39" t="n">
        <v>2200</v>
      </c>
      <c r="J286" s="40" t="n">
        <v>0.15</v>
      </c>
      <c r="K286" s="39" t="n">
        <v>11220</v>
      </c>
      <c r="L286" s="39" t="n">
        <v>7800</v>
      </c>
      <c r="M286" s="39" t="n">
        <v>3420</v>
      </c>
      <c r="N286" s="38" t="s">
        <v>66</v>
      </c>
      <c r="O286" s="38" t="n">
        <f aca="false">YEAR(B286)</f>
        <v>2026</v>
      </c>
      <c r="P286" s="41" t="n">
        <f aca="false">DATE(YEAR(B286),MONTH(B286),1)</f>
        <v>46235</v>
      </c>
      <c r="Q286" s="0" t="str">
        <f aca="false">INDEX(Products!$C$2:$C$16,MATCH(E286,Products!$A$2:$A$16,0))</f>
        <v>Technology</v>
      </c>
      <c r="R286" s="0" t="str">
        <f aca="false">INDEX(Customers!$F$2:$F$101,MATCH(D286,Customers!$A$2:$A$101,0))</f>
        <v>West</v>
      </c>
      <c r="S286" s="0" t="str">
        <f aca="false">INDEX(Customers!$C$2:$C$101,MATCH(D286,Customers!$A$2:$A$101,0))</f>
        <v>Consumer</v>
      </c>
      <c r="T286" s="0" t="str">
        <f aca="false">INDEX(Customers!$D$2:$D$101,MATCH(D286,Customers!$A$2:$A$101,0))</f>
        <v>Pune</v>
      </c>
    </row>
    <row r="287" customFormat="false" ht="15" hidden="false" customHeight="false" outlineLevel="0" collapsed="false">
      <c r="A287" s="0" t="s">
        <v>554</v>
      </c>
      <c r="B287" s="37" t="n">
        <v>46276</v>
      </c>
      <c r="C287" s="37" t="n">
        <v>46278</v>
      </c>
      <c r="D287" s="38" t="s">
        <v>298</v>
      </c>
      <c r="E287" s="38" t="s">
        <v>113</v>
      </c>
      <c r="F287" s="38" t="s">
        <v>102</v>
      </c>
      <c r="G287" s="38" t="s">
        <v>185</v>
      </c>
      <c r="H287" s="0" t="n">
        <v>3</v>
      </c>
      <c r="I287" s="39" t="n">
        <v>45000</v>
      </c>
      <c r="J287" s="40" t="n">
        <v>0.25</v>
      </c>
      <c r="K287" s="39" t="n">
        <v>101250</v>
      </c>
      <c r="L287" s="39" t="n">
        <v>108000</v>
      </c>
      <c r="M287" s="39" t="n">
        <v>-6750</v>
      </c>
      <c r="N287" s="38" t="s">
        <v>146</v>
      </c>
      <c r="O287" s="38" t="n">
        <f aca="false">YEAR(B287)</f>
        <v>2026</v>
      </c>
      <c r="P287" s="41" t="n">
        <f aca="false">DATE(YEAR(B287),MONTH(B287),1)</f>
        <v>46266</v>
      </c>
      <c r="Q287" s="0" t="str">
        <f aca="false">INDEX(Products!$C$2:$C$16,MATCH(E287,Products!$A$2:$A$16,0))</f>
        <v>Technology</v>
      </c>
      <c r="R287" s="0" t="str">
        <f aca="false">INDEX(Customers!$F$2:$F$101,MATCH(D287,Customers!$A$2:$A$101,0))</f>
        <v>North</v>
      </c>
      <c r="S287" s="0" t="str">
        <f aca="false">INDEX(Customers!$C$2:$C$101,MATCH(D287,Customers!$A$2:$A$101,0))</f>
        <v>Consumer</v>
      </c>
      <c r="T287" s="0" t="str">
        <f aca="false">INDEX(Customers!$D$2:$D$101,MATCH(D287,Customers!$A$2:$A$101,0))</f>
        <v>Lucknow</v>
      </c>
    </row>
    <row r="288" customFormat="false" ht="15" hidden="false" customHeight="false" outlineLevel="0" collapsed="false">
      <c r="A288" s="0" t="s">
        <v>555</v>
      </c>
      <c r="B288" s="37" t="n">
        <v>45869</v>
      </c>
      <c r="C288" s="37" t="n">
        <v>45871</v>
      </c>
      <c r="D288" s="38" t="s">
        <v>253</v>
      </c>
      <c r="E288" s="38" t="s">
        <v>115</v>
      </c>
      <c r="F288" s="38" t="s">
        <v>101</v>
      </c>
      <c r="G288" s="38" t="s">
        <v>188</v>
      </c>
      <c r="H288" s="0" t="n">
        <v>3</v>
      </c>
      <c r="I288" s="39" t="n">
        <v>1500</v>
      </c>
      <c r="J288" s="40" t="n">
        <v>0.25</v>
      </c>
      <c r="K288" s="39" t="n">
        <v>3375</v>
      </c>
      <c r="L288" s="39" t="n">
        <v>2550</v>
      </c>
      <c r="M288" s="39" t="n">
        <v>825</v>
      </c>
      <c r="N288" s="38" t="s">
        <v>66</v>
      </c>
      <c r="O288" s="38" t="n">
        <f aca="false">YEAR(B288)</f>
        <v>2025</v>
      </c>
      <c r="P288" s="41" t="n">
        <f aca="false">DATE(YEAR(B288),MONTH(B288),1)</f>
        <v>45839</v>
      </c>
      <c r="Q288" s="0" t="str">
        <f aca="false">INDEX(Products!$C$2:$C$16,MATCH(E288,Products!$A$2:$A$16,0))</f>
        <v>Technology</v>
      </c>
      <c r="R288" s="0" t="str">
        <f aca="false">INDEX(Customers!$F$2:$F$101,MATCH(D288,Customers!$A$2:$A$101,0))</f>
        <v>East</v>
      </c>
      <c r="S288" s="0" t="str">
        <f aca="false">INDEX(Customers!$C$2:$C$101,MATCH(D288,Customers!$A$2:$A$101,0))</f>
        <v>Small Business</v>
      </c>
      <c r="T288" s="0" t="str">
        <f aca="false">INDEX(Customers!$D$2:$D$101,MATCH(D288,Customers!$A$2:$A$101,0))</f>
        <v>Bhubaneswar</v>
      </c>
    </row>
    <row r="289" customFormat="false" ht="15" hidden="false" customHeight="false" outlineLevel="0" collapsed="false">
      <c r="A289" s="0" t="s">
        <v>556</v>
      </c>
      <c r="B289" s="37" t="n">
        <v>45435</v>
      </c>
      <c r="C289" s="37" t="n">
        <v>45442</v>
      </c>
      <c r="D289" s="38" t="s">
        <v>192</v>
      </c>
      <c r="E289" s="38" t="s">
        <v>124</v>
      </c>
      <c r="F289" s="38" t="s">
        <v>100</v>
      </c>
      <c r="G289" s="38" t="s">
        <v>188</v>
      </c>
      <c r="H289" s="0" t="n">
        <v>10</v>
      </c>
      <c r="I289" s="39" t="n">
        <v>3000</v>
      </c>
      <c r="J289" s="40" t="n">
        <v>0.2</v>
      </c>
      <c r="K289" s="39" t="n">
        <v>24000</v>
      </c>
      <c r="L289" s="39" t="n">
        <v>19000</v>
      </c>
      <c r="M289" s="39" t="n">
        <v>5000</v>
      </c>
      <c r="N289" s="38" t="s">
        <v>66</v>
      </c>
      <c r="O289" s="38" t="n">
        <f aca="false">YEAR(B289)</f>
        <v>2024</v>
      </c>
      <c r="P289" s="41" t="n">
        <f aca="false">DATE(YEAR(B289),MONTH(B289),1)</f>
        <v>45413</v>
      </c>
      <c r="Q289" s="0" t="str">
        <f aca="false">INDEX(Products!$C$2:$C$16,MATCH(E289,Products!$A$2:$A$16,0))</f>
        <v>Technology</v>
      </c>
      <c r="R289" s="0" t="str">
        <f aca="false">INDEX(Customers!$F$2:$F$101,MATCH(D289,Customers!$A$2:$A$101,0))</f>
        <v>East</v>
      </c>
      <c r="S289" s="0" t="str">
        <f aca="false">INDEX(Customers!$C$2:$C$101,MATCH(D289,Customers!$A$2:$A$101,0))</f>
        <v>Small Business</v>
      </c>
      <c r="T289" s="0" t="str">
        <f aca="false">INDEX(Customers!$D$2:$D$101,MATCH(D289,Customers!$A$2:$A$101,0))</f>
        <v>Bhubaneswar</v>
      </c>
    </row>
    <row r="290" customFormat="false" ht="15" hidden="false" customHeight="false" outlineLevel="0" collapsed="false">
      <c r="A290" s="0" t="s">
        <v>557</v>
      </c>
      <c r="B290" s="37" t="n">
        <v>45392</v>
      </c>
      <c r="C290" s="37" t="n">
        <v>45396</v>
      </c>
      <c r="D290" s="38" t="s">
        <v>414</v>
      </c>
      <c r="E290" s="38" t="s">
        <v>113</v>
      </c>
      <c r="F290" s="38" t="s">
        <v>101</v>
      </c>
      <c r="G290" s="38" t="s">
        <v>188</v>
      </c>
      <c r="H290" s="0" t="n">
        <v>1</v>
      </c>
      <c r="I290" s="39" t="n">
        <v>45000</v>
      </c>
      <c r="J290" s="40" t="n">
        <v>0</v>
      </c>
      <c r="K290" s="39" t="n">
        <v>45000</v>
      </c>
      <c r="L290" s="39" t="n">
        <v>36000</v>
      </c>
      <c r="M290" s="39" t="n">
        <v>9000</v>
      </c>
      <c r="N290" s="38" t="s">
        <v>66</v>
      </c>
      <c r="O290" s="38" t="n">
        <f aca="false">YEAR(B290)</f>
        <v>2024</v>
      </c>
      <c r="P290" s="41" t="n">
        <f aca="false">DATE(YEAR(B290),MONTH(B290),1)</f>
        <v>45383</v>
      </c>
      <c r="Q290" s="0" t="str">
        <f aca="false">INDEX(Products!$C$2:$C$16,MATCH(E290,Products!$A$2:$A$16,0))</f>
        <v>Technology</v>
      </c>
      <c r="R290" s="0" t="str">
        <f aca="false">INDEX(Customers!$F$2:$F$101,MATCH(D290,Customers!$A$2:$A$101,0))</f>
        <v>South</v>
      </c>
      <c r="S290" s="0" t="str">
        <f aca="false">INDEX(Customers!$C$2:$C$101,MATCH(D290,Customers!$A$2:$A$101,0))</f>
        <v>Small Business</v>
      </c>
      <c r="T290" s="0" t="str">
        <f aca="false">INDEX(Customers!$D$2:$D$101,MATCH(D290,Customers!$A$2:$A$101,0))</f>
        <v>Bengaluru</v>
      </c>
    </row>
    <row r="291" customFormat="false" ht="15" hidden="false" customHeight="false" outlineLevel="0" collapsed="false">
      <c r="A291" s="0" t="s">
        <v>558</v>
      </c>
      <c r="B291" s="37" t="n">
        <v>46284</v>
      </c>
      <c r="C291" s="37" t="n">
        <v>46291</v>
      </c>
      <c r="D291" s="38" t="s">
        <v>266</v>
      </c>
      <c r="E291" s="38" t="s">
        <v>119</v>
      </c>
      <c r="F291" s="38" t="s">
        <v>101</v>
      </c>
      <c r="G291" s="38" t="s">
        <v>185</v>
      </c>
      <c r="H291" s="0" t="n">
        <v>2</v>
      </c>
      <c r="I291" s="39" t="n">
        <v>250</v>
      </c>
      <c r="J291" s="40" t="n">
        <v>0.2</v>
      </c>
      <c r="K291" s="39" t="n">
        <v>400</v>
      </c>
      <c r="L291" s="39" t="n">
        <v>240</v>
      </c>
      <c r="M291" s="39" t="n">
        <v>160</v>
      </c>
      <c r="N291" s="38" t="s">
        <v>66</v>
      </c>
      <c r="O291" s="38" t="n">
        <f aca="false">YEAR(B291)</f>
        <v>2026</v>
      </c>
      <c r="P291" s="41" t="n">
        <f aca="false">DATE(YEAR(B291),MONTH(B291),1)</f>
        <v>46266</v>
      </c>
      <c r="Q291" s="0" t="str">
        <f aca="false">INDEX(Products!$C$2:$C$16,MATCH(E291,Products!$A$2:$A$16,0))</f>
        <v>Office Supplies</v>
      </c>
      <c r="R291" s="0" t="str">
        <f aca="false">INDEX(Customers!$F$2:$F$101,MATCH(D291,Customers!$A$2:$A$101,0))</f>
        <v>West</v>
      </c>
      <c r="S291" s="0" t="str">
        <f aca="false">INDEX(Customers!$C$2:$C$101,MATCH(D291,Customers!$A$2:$A$101,0))</f>
        <v>Consumer</v>
      </c>
      <c r="T291" s="0" t="str">
        <f aca="false">INDEX(Customers!$D$2:$D$101,MATCH(D291,Customers!$A$2:$A$101,0))</f>
        <v>Pune</v>
      </c>
    </row>
    <row r="292" customFormat="false" ht="15" hidden="false" customHeight="false" outlineLevel="0" collapsed="false">
      <c r="A292" s="0" t="s">
        <v>559</v>
      </c>
      <c r="B292" s="37" t="n">
        <v>46255</v>
      </c>
      <c r="C292" s="37" t="n">
        <v>46259</v>
      </c>
      <c r="D292" s="38" t="s">
        <v>202</v>
      </c>
      <c r="E292" s="38" t="s">
        <v>121</v>
      </c>
      <c r="F292" s="38" t="s">
        <v>102</v>
      </c>
      <c r="G292" s="38" t="s">
        <v>185</v>
      </c>
      <c r="H292" s="0" t="n">
        <v>2</v>
      </c>
      <c r="I292" s="39" t="n">
        <v>180</v>
      </c>
      <c r="J292" s="40" t="n">
        <v>0.2</v>
      </c>
      <c r="K292" s="39" t="n">
        <v>288</v>
      </c>
      <c r="L292" s="39" t="n">
        <v>140</v>
      </c>
      <c r="M292" s="39" t="n">
        <v>148</v>
      </c>
      <c r="N292" s="38" t="s">
        <v>66</v>
      </c>
      <c r="O292" s="38" t="n">
        <f aca="false">YEAR(B292)</f>
        <v>2026</v>
      </c>
      <c r="P292" s="41" t="n">
        <f aca="false">DATE(YEAR(B292),MONTH(B292),1)</f>
        <v>46235</v>
      </c>
      <c r="Q292" s="0" t="str">
        <f aca="false">INDEX(Products!$C$2:$C$16,MATCH(E292,Products!$A$2:$A$16,0))</f>
        <v>Office Supplies</v>
      </c>
      <c r="R292" s="0" t="str">
        <f aca="false">INDEX(Customers!$F$2:$F$101,MATCH(D292,Customers!$A$2:$A$101,0))</f>
        <v>South</v>
      </c>
      <c r="S292" s="0" t="str">
        <f aca="false">INDEX(Customers!$C$2:$C$101,MATCH(D292,Customers!$A$2:$A$101,0))</f>
        <v>Corporate</v>
      </c>
      <c r="T292" s="0" t="str">
        <f aca="false">INDEX(Customers!$D$2:$D$101,MATCH(D292,Customers!$A$2:$A$101,0))</f>
        <v>Hyderabad</v>
      </c>
    </row>
    <row r="293" customFormat="false" ht="15" hidden="false" customHeight="false" outlineLevel="0" collapsed="false">
      <c r="A293" s="0" t="s">
        <v>560</v>
      </c>
      <c r="B293" s="37" t="n">
        <v>46109</v>
      </c>
      <c r="C293" s="37" t="n">
        <v>46111</v>
      </c>
      <c r="D293" s="38" t="s">
        <v>305</v>
      </c>
      <c r="E293" s="38" t="s">
        <v>117</v>
      </c>
      <c r="F293" s="38" t="s">
        <v>101</v>
      </c>
      <c r="G293" s="38" t="s">
        <v>173</v>
      </c>
      <c r="H293" s="0" t="n">
        <v>4</v>
      </c>
      <c r="I293" s="39" t="n">
        <v>6500</v>
      </c>
      <c r="J293" s="40" t="n">
        <v>0</v>
      </c>
      <c r="K293" s="39" t="n">
        <v>26000</v>
      </c>
      <c r="L293" s="39" t="n">
        <v>16800</v>
      </c>
      <c r="M293" s="39" t="n">
        <v>9200</v>
      </c>
      <c r="N293" s="38" t="s">
        <v>66</v>
      </c>
      <c r="O293" s="38" t="n">
        <f aca="false">YEAR(B293)</f>
        <v>2026</v>
      </c>
      <c r="P293" s="41" t="n">
        <f aca="false">DATE(YEAR(B293),MONTH(B293),1)</f>
        <v>46082</v>
      </c>
      <c r="Q293" s="0" t="str">
        <f aca="false">INDEX(Products!$C$2:$C$16,MATCH(E293,Products!$A$2:$A$16,0))</f>
        <v>Furniture</v>
      </c>
      <c r="R293" s="0" t="str">
        <f aca="false">INDEX(Customers!$F$2:$F$101,MATCH(D293,Customers!$A$2:$A$101,0))</f>
        <v>South</v>
      </c>
      <c r="S293" s="0" t="str">
        <f aca="false">INDEX(Customers!$C$2:$C$101,MATCH(D293,Customers!$A$2:$A$101,0))</f>
        <v>Consumer</v>
      </c>
      <c r="T293" s="0" t="str">
        <f aca="false">INDEX(Customers!$D$2:$D$101,MATCH(D293,Customers!$A$2:$A$101,0))</f>
        <v>Chennai</v>
      </c>
    </row>
    <row r="294" customFormat="false" ht="15" hidden="false" customHeight="false" outlineLevel="0" collapsed="false">
      <c r="A294" s="0" t="s">
        <v>561</v>
      </c>
      <c r="B294" s="37" t="n">
        <v>46049</v>
      </c>
      <c r="C294" s="37" t="n">
        <v>46053</v>
      </c>
      <c r="D294" s="38" t="s">
        <v>348</v>
      </c>
      <c r="E294" s="38" t="s">
        <v>115</v>
      </c>
      <c r="F294" s="38" t="s">
        <v>100</v>
      </c>
      <c r="G294" s="38" t="s">
        <v>178</v>
      </c>
      <c r="H294" s="0" t="n">
        <v>2</v>
      </c>
      <c r="I294" s="39" t="n">
        <v>1500</v>
      </c>
      <c r="J294" s="40" t="n">
        <v>0</v>
      </c>
      <c r="K294" s="39" t="n">
        <v>3000</v>
      </c>
      <c r="L294" s="39" t="n">
        <v>1700</v>
      </c>
      <c r="M294" s="39" t="n">
        <v>1300</v>
      </c>
      <c r="N294" s="38" t="s">
        <v>146</v>
      </c>
      <c r="O294" s="38" t="n">
        <f aca="false">YEAR(B294)</f>
        <v>2026</v>
      </c>
      <c r="P294" s="41" t="n">
        <f aca="false">DATE(YEAR(B294),MONTH(B294),1)</f>
        <v>46023</v>
      </c>
      <c r="Q294" s="0" t="str">
        <f aca="false">INDEX(Products!$C$2:$C$16,MATCH(E294,Products!$A$2:$A$16,0))</f>
        <v>Technology</v>
      </c>
      <c r="R294" s="0" t="str">
        <f aca="false">INDEX(Customers!$F$2:$F$101,MATCH(D294,Customers!$A$2:$A$101,0))</f>
        <v>East</v>
      </c>
      <c r="S294" s="0" t="str">
        <f aca="false">INDEX(Customers!$C$2:$C$101,MATCH(D294,Customers!$A$2:$A$101,0))</f>
        <v>Corporate</v>
      </c>
      <c r="T294" s="0" t="str">
        <f aca="false">INDEX(Customers!$D$2:$D$101,MATCH(D294,Customers!$A$2:$A$101,0))</f>
        <v>Kolkata</v>
      </c>
    </row>
    <row r="295" customFormat="false" ht="15" hidden="false" customHeight="false" outlineLevel="0" collapsed="false">
      <c r="A295" s="0" t="s">
        <v>562</v>
      </c>
      <c r="B295" s="37" t="n">
        <v>46071</v>
      </c>
      <c r="C295" s="37" t="n">
        <v>46074</v>
      </c>
      <c r="D295" s="38" t="s">
        <v>172</v>
      </c>
      <c r="E295" s="38" t="s">
        <v>118</v>
      </c>
      <c r="F295" s="38" t="s">
        <v>100</v>
      </c>
      <c r="G295" s="38" t="s">
        <v>185</v>
      </c>
      <c r="H295" s="0" t="n">
        <v>1</v>
      </c>
      <c r="I295" s="39" t="n">
        <v>9000</v>
      </c>
      <c r="J295" s="40" t="n">
        <v>0</v>
      </c>
      <c r="K295" s="39" t="n">
        <v>9000</v>
      </c>
      <c r="L295" s="39" t="n">
        <v>6500</v>
      </c>
      <c r="M295" s="39" t="n">
        <v>2500</v>
      </c>
      <c r="N295" s="38" t="s">
        <v>66</v>
      </c>
      <c r="O295" s="38" t="n">
        <f aca="false">YEAR(B295)</f>
        <v>2026</v>
      </c>
      <c r="P295" s="41" t="n">
        <f aca="false">DATE(YEAR(B295),MONTH(B295),1)</f>
        <v>46054</v>
      </c>
      <c r="Q295" s="0" t="str">
        <f aca="false">INDEX(Products!$C$2:$C$16,MATCH(E295,Products!$A$2:$A$16,0))</f>
        <v>Furniture</v>
      </c>
      <c r="R295" s="0" t="str">
        <f aca="false">INDEX(Customers!$F$2:$F$101,MATCH(D295,Customers!$A$2:$A$101,0))</f>
        <v>East</v>
      </c>
      <c r="S295" s="0" t="str">
        <f aca="false">INDEX(Customers!$C$2:$C$101,MATCH(D295,Customers!$A$2:$A$101,0))</f>
        <v>Consumer</v>
      </c>
      <c r="T295" s="0" t="str">
        <f aca="false">INDEX(Customers!$D$2:$D$101,MATCH(D295,Customers!$A$2:$A$101,0))</f>
        <v>Bhubaneswar</v>
      </c>
    </row>
    <row r="296" customFormat="false" ht="15" hidden="false" customHeight="false" outlineLevel="0" collapsed="false">
      <c r="A296" s="0" t="s">
        <v>563</v>
      </c>
      <c r="B296" s="37" t="n">
        <v>45709</v>
      </c>
      <c r="C296" s="37" t="n">
        <v>45710</v>
      </c>
      <c r="D296" s="38" t="s">
        <v>322</v>
      </c>
      <c r="E296" s="38" t="s">
        <v>121</v>
      </c>
      <c r="F296" s="38" t="s">
        <v>102</v>
      </c>
      <c r="G296" s="38" t="s">
        <v>178</v>
      </c>
      <c r="H296" s="0" t="n">
        <v>1</v>
      </c>
      <c r="I296" s="39" t="n">
        <v>180</v>
      </c>
      <c r="J296" s="40" t="n">
        <v>0.05</v>
      </c>
      <c r="K296" s="39" t="n">
        <v>171</v>
      </c>
      <c r="L296" s="39" t="n">
        <v>70</v>
      </c>
      <c r="M296" s="39" t="n">
        <v>101</v>
      </c>
      <c r="N296" s="38" t="s">
        <v>66</v>
      </c>
      <c r="O296" s="38" t="n">
        <f aca="false">YEAR(B296)</f>
        <v>2025</v>
      </c>
      <c r="P296" s="41" t="n">
        <f aca="false">DATE(YEAR(B296),MONTH(B296),1)</f>
        <v>45689</v>
      </c>
      <c r="Q296" s="0" t="str">
        <f aca="false">INDEX(Products!$C$2:$C$16,MATCH(E296,Products!$A$2:$A$16,0))</f>
        <v>Office Supplies</v>
      </c>
      <c r="R296" s="0" t="str">
        <f aca="false">INDEX(Customers!$F$2:$F$101,MATCH(D296,Customers!$A$2:$A$101,0))</f>
        <v>North</v>
      </c>
      <c r="S296" s="0" t="str">
        <f aca="false">INDEX(Customers!$C$2:$C$101,MATCH(D296,Customers!$A$2:$A$101,0))</f>
        <v>Consumer</v>
      </c>
      <c r="T296" s="0" t="str">
        <f aca="false">INDEX(Customers!$D$2:$D$101,MATCH(D296,Customers!$A$2:$A$101,0))</f>
        <v>Jaipur</v>
      </c>
    </row>
    <row r="297" customFormat="false" ht="15" hidden="false" customHeight="false" outlineLevel="0" collapsed="false">
      <c r="A297" s="0" t="s">
        <v>564</v>
      </c>
      <c r="B297" s="37" t="n">
        <v>45686</v>
      </c>
      <c r="C297" s="37" t="n">
        <v>45687</v>
      </c>
      <c r="D297" s="38" t="s">
        <v>390</v>
      </c>
      <c r="E297" s="38" t="s">
        <v>126</v>
      </c>
      <c r="F297" s="38" t="s">
        <v>100</v>
      </c>
      <c r="G297" s="38" t="s">
        <v>188</v>
      </c>
      <c r="H297" s="0" t="n">
        <v>1</v>
      </c>
      <c r="I297" s="39" t="n">
        <v>1200</v>
      </c>
      <c r="J297" s="40" t="n">
        <v>0.1</v>
      </c>
      <c r="K297" s="39" t="n">
        <v>1080</v>
      </c>
      <c r="L297" s="39" t="n">
        <v>700</v>
      </c>
      <c r="M297" s="39" t="n">
        <v>380</v>
      </c>
      <c r="N297" s="38" t="s">
        <v>66</v>
      </c>
      <c r="O297" s="38" t="n">
        <f aca="false">YEAR(B297)</f>
        <v>2025</v>
      </c>
      <c r="P297" s="41" t="n">
        <f aca="false">DATE(YEAR(B297),MONTH(B297),1)</f>
        <v>45658</v>
      </c>
      <c r="Q297" s="0" t="str">
        <f aca="false">INDEX(Products!$C$2:$C$16,MATCH(E297,Products!$A$2:$A$16,0))</f>
        <v>Furniture</v>
      </c>
      <c r="R297" s="0" t="str">
        <f aca="false">INDEX(Customers!$F$2:$F$101,MATCH(D297,Customers!$A$2:$A$101,0))</f>
        <v>South</v>
      </c>
      <c r="S297" s="0" t="str">
        <f aca="false">INDEX(Customers!$C$2:$C$101,MATCH(D297,Customers!$A$2:$A$101,0))</f>
        <v>Consumer</v>
      </c>
      <c r="T297" s="0" t="str">
        <f aca="false">INDEX(Customers!$D$2:$D$101,MATCH(D297,Customers!$A$2:$A$101,0))</f>
        <v>Chennai</v>
      </c>
    </row>
    <row r="298" customFormat="false" ht="15" hidden="false" customHeight="false" outlineLevel="0" collapsed="false">
      <c r="A298" s="0" t="s">
        <v>565</v>
      </c>
      <c r="B298" s="37" t="n">
        <v>45825</v>
      </c>
      <c r="C298" s="37" t="n">
        <v>45827</v>
      </c>
      <c r="D298" s="38" t="s">
        <v>230</v>
      </c>
      <c r="E298" s="38" t="s">
        <v>122</v>
      </c>
      <c r="F298" s="38" t="s">
        <v>100</v>
      </c>
      <c r="G298" s="38" t="s">
        <v>170</v>
      </c>
      <c r="H298" s="0" t="n">
        <v>3</v>
      </c>
      <c r="I298" s="39" t="n">
        <v>5500</v>
      </c>
      <c r="J298" s="40" t="n">
        <v>0</v>
      </c>
      <c r="K298" s="39" t="n">
        <v>16500</v>
      </c>
      <c r="L298" s="39" t="n">
        <v>11100</v>
      </c>
      <c r="M298" s="39" t="n">
        <v>5400</v>
      </c>
      <c r="N298" s="38" t="s">
        <v>66</v>
      </c>
      <c r="O298" s="38" t="n">
        <f aca="false">YEAR(B298)</f>
        <v>2025</v>
      </c>
      <c r="P298" s="41" t="n">
        <f aca="false">DATE(YEAR(B298),MONTH(B298),1)</f>
        <v>45809</v>
      </c>
      <c r="Q298" s="0" t="str">
        <f aca="false">INDEX(Products!$C$2:$C$16,MATCH(E298,Products!$A$2:$A$16,0))</f>
        <v>Furniture</v>
      </c>
      <c r="R298" s="0" t="str">
        <f aca="false">INDEX(Customers!$F$2:$F$101,MATCH(D298,Customers!$A$2:$A$101,0))</f>
        <v>East</v>
      </c>
      <c r="S298" s="0" t="str">
        <f aca="false">INDEX(Customers!$C$2:$C$101,MATCH(D298,Customers!$A$2:$A$101,0))</f>
        <v>Consumer</v>
      </c>
      <c r="T298" s="0" t="str">
        <f aca="false">INDEX(Customers!$D$2:$D$101,MATCH(D298,Customers!$A$2:$A$101,0))</f>
        <v>Kolkata</v>
      </c>
    </row>
    <row r="299" customFormat="false" ht="15" hidden="false" customHeight="false" outlineLevel="0" collapsed="false">
      <c r="A299" s="0" t="s">
        <v>566</v>
      </c>
      <c r="B299" s="37" t="n">
        <v>45356</v>
      </c>
      <c r="C299" s="37" t="n">
        <v>45358</v>
      </c>
      <c r="D299" s="38" t="s">
        <v>467</v>
      </c>
      <c r="E299" s="38" t="s">
        <v>115</v>
      </c>
      <c r="F299" s="38" t="s">
        <v>101</v>
      </c>
      <c r="G299" s="38" t="s">
        <v>185</v>
      </c>
      <c r="H299" s="0" t="n">
        <v>2</v>
      </c>
      <c r="I299" s="39" t="n">
        <v>1500</v>
      </c>
      <c r="J299" s="40" t="n">
        <v>0.1</v>
      </c>
      <c r="K299" s="39" t="n">
        <v>2700</v>
      </c>
      <c r="L299" s="39" t="n">
        <v>1700</v>
      </c>
      <c r="M299" s="39" t="n">
        <v>1000</v>
      </c>
      <c r="N299" s="38" t="s">
        <v>66</v>
      </c>
      <c r="O299" s="38" t="n">
        <f aca="false">YEAR(B299)</f>
        <v>2024</v>
      </c>
      <c r="P299" s="41" t="n">
        <f aca="false">DATE(YEAR(B299),MONTH(B299),1)</f>
        <v>45352</v>
      </c>
      <c r="Q299" s="0" t="str">
        <f aca="false">INDEX(Products!$C$2:$C$16,MATCH(E299,Products!$A$2:$A$16,0))</f>
        <v>Technology</v>
      </c>
      <c r="R299" s="0" t="str">
        <f aca="false">INDEX(Customers!$F$2:$F$101,MATCH(D299,Customers!$A$2:$A$101,0))</f>
        <v>West</v>
      </c>
      <c r="S299" s="0" t="str">
        <f aca="false">INDEX(Customers!$C$2:$C$101,MATCH(D299,Customers!$A$2:$A$101,0))</f>
        <v>Corporate</v>
      </c>
      <c r="T299" s="0" t="str">
        <f aca="false">INDEX(Customers!$D$2:$D$101,MATCH(D299,Customers!$A$2:$A$101,0))</f>
        <v>Ahmedabad</v>
      </c>
    </row>
    <row r="300" customFormat="false" ht="15" hidden="false" customHeight="false" outlineLevel="0" collapsed="false">
      <c r="A300" s="0" t="s">
        <v>567</v>
      </c>
      <c r="B300" s="37" t="n">
        <v>46258</v>
      </c>
      <c r="C300" s="37" t="n">
        <v>46260</v>
      </c>
      <c r="D300" s="38" t="s">
        <v>400</v>
      </c>
      <c r="E300" s="38" t="s">
        <v>117</v>
      </c>
      <c r="F300" s="38" t="s">
        <v>102</v>
      </c>
      <c r="G300" s="38" t="s">
        <v>188</v>
      </c>
      <c r="H300" s="0" t="n">
        <v>4</v>
      </c>
      <c r="I300" s="39" t="n">
        <v>6500</v>
      </c>
      <c r="J300" s="40" t="n">
        <v>0.1</v>
      </c>
      <c r="K300" s="39" t="n">
        <v>23400</v>
      </c>
      <c r="L300" s="39" t="n">
        <v>16800</v>
      </c>
      <c r="M300" s="39" t="n">
        <v>6600</v>
      </c>
      <c r="N300" s="38" t="s">
        <v>66</v>
      </c>
      <c r="O300" s="38" t="n">
        <f aca="false">YEAR(B300)</f>
        <v>2026</v>
      </c>
      <c r="P300" s="41" t="n">
        <f aca="false">DATE(YEAR(B300),MONTH(B300),1)</f>
        <v>46235</v>
      </c>
      <c r="Q300" s="0" t="str">
        <f aca="false">INDEX(Products!$C$2:$C$16,MATCH(E300,Products!$A$2:$A$16,0))</f>
        <v>Furniture</v>
      </c>
      <c r="R300" s="0" t="str">
        <f aca="false">INDEX(Customers!$F$2:$F$101,MATCH(D300,Customers!$A$2:$A$101,0))</f>
        <v>North</v>
      </c>
      <c r="S300" s="0" t="str">
        <f aca="false">INDEX(Customers!$C$2:$C$101,MATCH(D300,Customers!$A$2:$A$101,0))</f>
        <v>Small Business</v>
      </c>
      <c r="T300" s="0" t="str">
        <f aca="false">INDEX(Customers!$D$2:$D$101,MATCH(D300,Customers!$A$2:$A$101,0))</f>
        <v>Lucknow</v>
      </c>
    </row>
    <row r="301" customFormat="false" ht="15" hidden="false" customHeight="false" outlineLevel="0" collapsed="false">
      <c r="A301" s="0" t="s">
        <v>568</v>
      </c>
      <c r="B301" s="37" t="n">
        <v>45603</v>
      </c>
      <c r="C301" s="37" t="n">
        <v>45604</v>
      </c>
      <c r="D301" s="38" t="s">
        <v>343</v>
      </c>
      <c r="E301" s="38" t="s">
        <v>115</v>
      </c>
      <c r="F301" s="38" t="s">
        <v>102</v>
      </c>
      <c r="G301" s="38" t="s">
        <v>185</v>
      </c>
      <c r="H301" s="0" t="n">
        <v>8</v>
      </c>
      <c r="I301" s="39" t="n">
        <v>1500</v>
      </c>
      <c r="J301" s="40" t="n">
        <v>0.05</v>
      </c>
      <c r="K301" s="39" t="n">
        <v>11400</v>
      </c>
      <c r="L301" s="39" t="n">
        <v>6800</v>
      </c>
      <c r="M301" s="39" t="n">
        <v>4600</v>
      </c>
      <c r="N301" s="38" t="s">
        <v>66</v>
      </c>
      <c r="O301" s="38" t="n">
        <f aca="false">YEAR(B301)</f>
        <v>2024</v>
      </c>
      <c r="P301" s="41" t="n">
        <f aca="false">DATE(YEAR(B301),MONTH(B301),1)</f>
        <v>45597</v>
      </c>
      <c r="Q301" s="0" t="str">
        <f aca="false">INDEX(Products!$C$2:$C$16,MATCH(E301,Products!$A$2:$A$16,0))</f>
        <v>Technology</v>
      </c>
      <c r="R301" s="0" t="str">
        <f aca="false">INDEX(Customers!$F$2:$F$101,MATCH(D301,Customers!$A$2:$A$101,0))</f>
        <v>West</v>
      </c>
      <c r="S301" s="0" t="str">
        <f aca="false">INDEX(Customers!$C$2:$C$101,MATCH(D301,Customers!$A$2:$A$101,0))</f>
        <v>Consumer</v>
      </c>
      <c r="T301" s="0" t="str">
        <f aca="false">INDEX(Customers!$D$2:$D$101,MATCH(D301,Customers!$A$2:$A$101,0))</f>
        <v>Mumbai</v>
      </c>
    </row>
    <row r="302" customFormat="false" ht="15" hidden="false" customHeight="false" outlineLevel="0" collapsed="false">
      <c r="A302" s="0" t="s">
        <v>569</v>
      </c>
      <c r="B302" s="37" t="n">
        <v>45634</v>
      </c>
      <c r="C302" s="37" t="n">
        <v>45638</v>
      </c>
      <c r="D302" s="38" t="s">
        <v>498</v>
      </c>
      <c r="E302" s="38" t="s">
        <v>120</v>
      </c>
      <c r="F302" s="38" t="s">
        <v>102</v>
      </c>
      <c r="G302" s="38" t="s">
        <v>188</v>
      </c>
      <c r="H302" s="0" t="n">
        <v>5</v>
      </c>
      <c r="I302" s="39" t="n">
        <v>400</v>
      </c>
      <c r="J302" s="40" t="n">
        <v>0.25</v>
      </c>
      <c r="K302" s="39" t="n">
        <v>1500</v>
      </c>
      <c r="L302" s="39" t="n">
        <v>1300</v>
      </c>
      <c r="M302" s="39" t="n">
        <v>200</v>
      </c>
      <c r="N302" s="38" t="s">
        <v>66</v>
      </c>
      <c r="O302" s="38" t="n">
        <f aca="false">YEAR(B302)</f>
        <v>2024</v>
      </c>
      <c r="P302" s="41" t="n">
        <f aca="false">DATE(YEAR(B302),MONTH(B302),1)</f>
        <v>45627</v>
      </c>
      <c r="Q302" s="0" t="str">
        <f aca="false">INDEX(Products!$C$2:$C$16,MATCH(E302,Products!$A$2:$A$16,0))</f>
        <v>Office Supplies</v>
      </c>
      <c r="R302" s="0" t="str">
        <f aca="false">INDEX(Customers!$F$2:$F$101,MATCH(D302,Customers!$A$2:$A$101,0))</f>
        <v>East</v>
      </c>
      <c r="S302" s="0" t="str">
        <f aca="false">INDEX(Customers!$C$2:$C$101,MATCH(D302,Customers!$A$2:$A$101,0))</f>
        <v>Consumer</v>
      </c>
      <c r="T302" s="0" t="str">
        <f aca="false">INDEX(Customers!$D$2:$D$101,MATCH(D302,Customers!$A$2:$A$101,0))</f>
        <v>Bhubaneswar</v>
      </c>
    </row>
    <row r="303" customFormat="false" ht="15" hidden="false" customHeight="false" outlineLevel="0" collapsed="false">
      <c r="A303" s="0" t="s">
        <v>570</v>
      </c>
      <c r="B303" s="37" t="n">
        <v>46262</v>
      </c>
      <c r="C303" s="37" t="n">
        <v>46268</v>
      </c>
      <c r="D303" s="38" t="s">
        <v>390</v>
      </c>
      <c r="E303" s="38" t="s">
        <v>122</v>
      </c>
      <c r="F303" s="38" t="s">
        <v>100</v>
      </c>
      <c r="G303" s="38" t="s">
        <v>185</v>
      </c>
      <c r="H303" s="0" t="n">
        <v>1</v>
      </c>
      <c r="I303" s="39" t="n">
        <v>5500</v>
      </c>
      <c r="J303" s="40" t="n">
        <v>0.05</v>
      </c>
      <c r="K303" s="39" t="n">
        <v>5225</v>
      </c>
      <c r="L303" s="39" t="n">
        <v>3700</v>
      </c>
      <c r="M303" s="39" t="n">
        <v>1525</v>
      </c>
      <c r="N303" s="38" t="s">
        <v>146</v>
      </c>
      <c r="O303" s="38" t="n">
        <f aca="false">YEAR(B303)</f>
        <v>2026</v>
      </c>
      <c r="P303" s="41" t="n">
        <f aca="false">DATE(YEAR(B303),MONTH(B303),1)</f>
        <v>46235</v>
      </c>
      <c r="Q303" s="0" t="str">
        <f aca="false">INDEX(Products!$C$2:$C$16,MATCH(E303,Products!$A$2:$A$16,0))</f>
        <v>Furniture</v>
      </c>
      <c r="R303" s="0" t="str">
        <f aca="false">INDEX(Customers!$F$2:$F$101,MATCH(D303,Customers!$A$2:$A$101,0))</f>
        <v>South</v>
      </c>
      <c r="S303" s="0" t="str">
        <f aca="false">INDEX(Customers!$C$2:$C$101,MATCH(D303,Customers!$A$2:$A$101,0))</f>
        <v>Consumer</v>
      </c>
      <c r="T303" s="0" t="str">
        <f aca="false">INDEX(Customers!$D$2:$D$101,MATCH(D303,Customers!$A$2:$A$101,0))</f>
        <v>Chennai</v>
      </c>
    </row>
    <row r="304" customFormat="false" ht="15" hidden="false" customHeight="false" outlineLevel="0" collapsed="false">
      <c r="A304" s="0" t="s">
        <v>571</v>
      </c>
      <c r="B304" s="37" t="n">
        <v>46003</v>
      </c>
      <c r="C304" s="37" t="n">
        <v>46009</v>
      </c>
      <c r="D304" s="38" t="s">
        <v>310</v>
      </c>
      <c r="E304" s="38" t="s">
        <v>124</v>
      </c>
      <c r="F304" s="38" t="s">
        <v>100</v>
      </c>
      <c r="G304" s="38" t="s">
        <v>170</v>
      </c>
      <c r="H304" s="0" t="n">
        <v>2</v>
      </c>
      <c r="I304" s="39" t="n">
        <v>3000</v>
      </c>
      <c r="J304" s="40" t="n">
        <v>0.15</v>
      </c>
      <c r="K304" s="39" t="n">
        <v>5100</v>
      </c>
      <c r="L304" s="39" t="n">
        <v>3800</v>
      </c>
      <c r="M304" s="39" t="n">
        <v>1300</v>
      </c>
      <c r="N304" s="38" t="s">
        <v>66</v>
      </c>
      <c r="O304" s="38" t="n">
        <f aca="false">YEAR(B304)</f>
        <v>2025</v>
      </c>
      <c r="P304" s="41" t="n">
        <f aca="false">DATE(YEAR(B304),MONTH(B304),1)</f>
        <v>45992</v>
      </c>
      <c r="Q304" s="0" t="str">
        <f aca="false">INDEX(Products!$C$2:$C$16,MATCH(E304,Products!$A$2:$A$16,0))</f>
        <v>Technology</v>
      </c>
      <c r="R304" s="0" t="str">
        <f aca="false">INDEX(Customers!$F$2:$F$101,MATCH(D304,Customers!$A$2:$A$101,0))</f>
        <v>South</v>
      </c>
      <c r="S304" s="0" t="str">
        <f aca="false">INDEX(Customers!$C$2:$C$101,MATCH(D304,Customers!$A$2:$A$101,0))</f>
        <v>Small Business</v>
      </c>
      <c r="T304" s="0" t="str">
        <f aca="false">INDEX(Customers!$D$2:$D$101,MATCH(D304,Customers!$A$2:$A$101,0))</f>
        <v>Hyderabad</v>
      </c>
    </row>
    <row r="305" customFormat="false" ht="15" hidden="false" customHeight="false" outlineLevel="0" collapsed="false">
      <c r="A305" s="0" t="s">
        <v>572</v>
      </c>
      <c r="B305" s="37" t="n">
        <v>45408</v>
      </c>
      <c r="C305" s="37" t="n">
        <v>45413</v>
      </c>
      <c r="D305" s="38" t="s">
        <v>371</v>
      </c>
      <c r="E305" s="38" t="s">
        <v>118</v>
      </c>
      <c r="F305" s="38" t="s">
        <v>100</v>
      </c>
      <c r="G305" s="38" t="s">
        <v>188</v>
      </c>
      <c r="H305" s="0" t="n">
        <v>1</v>
      </c>
      <c r="I305" s="39" t="n">
        <v>9000</v>
      </c>
      <c r="J305" s="40" t="n">
        <v>0.15</v>
      </c>
      <c r="K305" s="39" t="n">
        <v>7650</v>
      </c>
      <c r="L305" s="39" t="n">
        <v>6500</v>
      </c>
      <c r="M305" s="39" t="n">
        <v>1150</v>
      </c>
      <c r="N305" s="38" t="s">
        <v>66</v>
      </c>
      <c r="O305" s="38" t="n">
        <f aca="false">YEAR(B305)</f>
        <v>2024</v>
      </c>
      <c r="P305" s="41" t="n">
        <f aca="false">DATE(YEAR(B305),MONTH(B305),1)</f>
        <v>45383</v>
      </c>
      <c r="Q305" s="0" t="str">
        <f aca="false">INDEX(Products!$C$2:$C$16,MATCH(E305,Products!$A$2:$A$16,0))</f>
        <v>Furniture</v>
      </c>
      <c r="R305" s="0" t="str">
        <f aca="false">INDEX(Customers!$F$2:$F$101,MATCH(D305,Customers!$A$2:$A$101,0))</f>
        <v>South</v>
      </c>
      <c r="S305" s="0" t="str">
        <f aca="false">INDEX(Customers!$C$2:$C$101,MATCH(D305,Customers!$A$2:$A$101,0))</f>
        <v>Consumer</v>
      </c>
      <c r="T305" s="0" t="str">
        <f aca="false">INDEX(Customers!$D$2:$D$101,MATCH(D305,Customers!$A$2:$A$101,0))</f>
        <v>Bengaluru</v>
      </c>
    </row>
    <row r="306" customFormat="false" ht="15" hidden="false" customHeight="false" outlineLevel="0" collapsed="false">
      <c r="A306" s="0" t="s">
        <v>573</v>
      </c>
      <c r="B306" s="37" t="n">
        <v>46257</v>
      </c>
      <c r="C306" s="37" t="n">
        <v>46263</v>
      </c>
      <c r="D306" s="38" t="s">
        <v>425</v>
      </c>
      <c r="E306" s="38" t="s">
        <v>120</v>
      </c>
      <c r="F306" s="38" t="s">
        <v>101</v>
      </c>
      <c r="G306" s="38" t="s">
        <v>178</v>
      </c>
      <c r="H306" s="0" t="n">
        <v>1</v>
      </c>
      <c r="I306" s="39" t="n">
        <v>400</v>
      </c>
      <c r="J306" s="40" t="n">
        <v>0.25</v>
      </c>
      <c r="K306" s="39" t="n">
        <v>300</v>
      </c>
      <c r="L306" s="39" t="n">
        <v>260</v>
      </c>
      <c r="M306" s="39" t="n">
        <v>40</v>
      </c>
      <c r="N306" s="38" t="s">
        <v>66</v>
      </c>
      <c r="O306" s="38" t="n">
        <f aca="false">YEAR(B306)</f>
        <v>2026</v>
      </c>
      <c r="P306" s="41" t="n">
        <f aca="false">DATE(YEAR(B306),MONTH(B306),1)</f>
        <v>46235</v>
      </c>
      <c r="Q306" s="0" t="str">
        <f aca="false">INDEX(Products!$C$2:$C$16,MATCH(E306,Products!$A$2:$A$16,0))</f>
        <v>Office Supplies</v>
      </c>
      <c r="R306" s="0" t="str">
        <f aca="false">INDEX(Customers!$F$2:$F$101,MATCH(D306,Customers!$A$2:$A$101,0))</f>
        <v>North</v>
      </c>
      <c r="S306" s="0" t="str">
        <f aca="false">INDEX(Customers!$C$2:$C$101,MATCH(D306,Customers!$A$2:$A$101,0))</f>
        <v>Small Business</v>
      </c>
      <c r="T306" s="0" t="str">
        <f aca="false">INDEX(Customers!$D$2:$D$101,MATCH(D306,Customers!$A$2:$A$101,0))</f>
        <v>Lucknow</v>
      </c>
    </row>
    <row r="307" customFormat="false" ht="15" hidden="false" customHeight="false" outlineLevel="0" collapsed="false">
      <c r="A307" s="0" t="s">
        <v>574</v>
      </c>
      <c r="B307" s="37" t="n">
        <v>45803</v>
      </c>
      <c r="C307" s="37" t="n">
        <v>45805</v>
      </c>
      <c r="D307" s="38" t="s">
        <v>198</v>
      </c>
      <c r="E307" s="38" t="s">
        <v>123</v>
      </c>
      <c r="F307" s="38" t="s">
        <v>101</v>
      </c>
      <c r="G307" s="38" t="s">
        <v>173</v>
      </c>
      <c r="H307" s="0" t="n">
        <v>3</v>
      </c>
      <c r="I307" s="39" t="n">
        <v>2200</v>
      </c>
      <c r="J307" s="40" t="n">
        <v>0</v>
      </c>
      <c r="K307" s="39" t="n">
        <v>6600</v>
      </c>
      <c r="L307" s="39" t="n">
        <v>3900</v>
      </c>
      <c r="M307" s="39" t="n">
        <v>2700</v>
      </c>
      <c r="N307" s="38" t="s">
        <v>66</v>
      </c>
      <c r="O307" s="38" t="n">
        <f aca="false">YEAR(B307)</f>
        <v>2025</v>
      </c>
      <c r="P307" s="41" t="n">
        <f aca="false">DATE(YEAR(B307),MONTH(B307),1)</f>
        <v>45778</v>
      </c>
      <c r="Q307" s="0" t="str">
        <f aca="false">INDEX(Products!$C$2:$C$16,MATCH(E307,Products!$A$2:$A$16,0))</f>
        <v>Technology</v>
      </c>
      <c r="R307" s="0" t="str">
        <f aca="false">INDEX(Customers!$F$2:$F$101,MATCH(D307,Customers!$A$2:$A$101,0))</f>
        <v>North</v>
      </c>
      <c r="S307" s="0" t="str">
        <f aca="false">INDEX(Customers!$C$2:$C$101,MATCH(D307,Customers!$A$2:$A$101,0))</f>
        <v>Consumer</v>
      </c>
      <c r="T307" s="0" t="str">
        <f aca="false">INDEX(Customers!$D$2:$D$101,MATCH(D307,Customers!$A$2:$A$101,0))</f>
        <v>Gurugram</v>
      </c>
    </row>
    <row r="308" customFormat="false" ht="15" hidden="false" customHeight="false" outlineLevel="0" collapsed="false">
      <c r="A308" s="0" t="s">
        <v>575</v>
      </c>
      <c r="B308" s="37" t="n">
        <v>45751</v>
      </c>
      <c r="C308" s="37" t="n">
        <v>45756</v>
      </c>
      <c r="D308" s="38" t="s">
        <v>517</v>
      </c>
      <c r="E308" s="38" t="s">
        <v>114</v>
      </c>
      <c r="F308" s="38" t="s">
        <v>102</v>
      </c>
      <c r="G308" s="38" t="s">
        <v>188</v>
      </c>
      <c r="H308" s="0" t="n">
        <v>2</v>
      </c>
      <c r="I308" s="39" t="n">
        <v>800</v>
      </c>
      <c r="J308" s="40" t="n">
        <v>0.1</v>
      </c>
      <c r="K308" s="39" t="n">
        <v>1440</v>
      </c>
      <c r="L308" s="39" t="n">
        <v>840</v>
      </c>
      <c r="M308" s="39" t="n">
        <v>600</v>
      </c>
      <c r="N308" s="38" t="s">
        <v>146</v>
      </c>
      <c r="O308" s="38" t="n">
        <f aca="false">YEAR(B308)</f>
        <v>2025</v>
      </c>
      <c r="P308" s="41" t="n">
        <f aca="false">DATE(YEAR(B308),MONTH(B308),1)</f>
        <v>45748</v>
      </c>
      <c r="Q308" s="0" t="str">
        <f aca="false">INDEX(Products!$C$2:$C$16,MATCH(E308,Products!$A$2:$A$16,0))</f>
        <v>Technology</v>
      </c>
      <c r="R308" s="0" t="str">
        <f aca="false">INDEX(Customers!$F$2:$F$101,MATCH(D308,Customers!$A$2:$A$101,0))</f>
        <v>East</v>
      </c>
      <c r="S308" s="0" t="str">
        <f aca="false">INDEX(Customers!$C$2:$C$101,MATCH(D308,Customers!$A$2:$A$101,0))</f>
        <v>Corporate</v>
      </c>
      <c r="T308" s="0" t="str">
        <f aca="false">INDEX(Customers!$D$2:$D$101,MATCH(D308,Customers!$A$2:$A$101,0))</f>
        <v>Kolkata</v>
      </c>
    </row>
    <row r="309" customFormat="false" ht="15" hidden="false" customHeight="false" outlineLevel="0" collapsed="false">
      <c r="A309" s="0" t="s">
        <v>576</v>
      </c>
      <c r="B309" s="37" t="n">
        <v>45848</v>
      </c>
      <c r="C309" s="37" t="n">
        <v>45849</v>
      </c>
      <c r="D309" s="38" t="s">
        <v>182</v>
      </c>
      <c r="E309" s="38" t="s">
        <v>119</v>
      </c>
      <c r="F309" s="38" t="s">
        <v>102</v>
      </c>
      <c r="G309" s="38" t="s">
        <v>188</v>
      </c>
      <c r="H309" s="0" t="n">
        <v>4</v>
      </c>
      <c r="I309" s="39" t="n">
        <v>250</v>
      </c>
      <c r="J309" s="40" t="n">
        <v>0.05</v>
      </c>
      <c r="K309" s="39" t="n">
        <v>950</v>
      </c>
      <c r="L309" s="39" t="n">
        <v>480</v>
      </c>
      <c r="M309" s="39" t="n">
        <v>470</v>
      </c>
      <c r="N309" s="38" t="s">
        <v>66</v>
      </c>
      <c r="O309" s="38" t="n">
        <f aca="false">YEAR(B309)</f>
        <v>2025</v>
      </c>
      <c r="P309" s="41" t="n">
        <f aca="false">DATE(YEAR(B309),MONTH(B309),1)</f>
        <v>45839</v>
      </c>
      <c r="Q309" s="0" t="str">
        <f aca="false">INDEX(Products!$C$2:$C$16,MATCH(E309,Products!$A$2:$A$16,0))</f>
        <v>Office Supplies</v>
      </c>
      <c r="R309" s="0" t="str">
        <f aca="false">INDEX(Customers!$F$2:$F$101,MATCH(D309,Customers!$A$2:$A$101,0))</f>
        <v>North</v>
      </c>
      <c r="S309" s="0" t="str">
        <f aca="false">INDEX(Customers!$C$2:$C$101,MATCH(D309,Customers!$A$2:$A$101,0))</f>
        <v>Small Business</v>
      </c>
      <c r="T309" s="0" t="str">
        <f aca="false">INDEX(Customers!$D$2:$D$101,MATCH(D309,Customers!$A$2:$A$101,0))</f>
        <v>Gurugram</v>
      </c>
    </row>
    <row r="310" customFormat="false" ht="15" hidden="false" customHeight="false" outlineLevel="0" collapsed="false">
      <c r="A310" s="0" t="s">
        <v>577</v>
      </c>
      <c r="B310" s="37" t="n">
        <v>46079</v>
      </c>
      <c r="C310" s="37" t="n">
        <v>46081</v>
      </c>
      <c r="D310" s="38" t="s">
        <v>196</v>
      </c>
      <c r="E310" s="38" t="s">
        <v>114</v>
      </c>
      <c r="F310" s="38" t="s">
        <v>100</v>
      </c>
      <c r="G310" s="38" t="s">
        <v>188</v>
      </c>
      <c r="H310" s="0" t="n">
        <v>3</v>
      </c>
      <c r="I310" s="39" t="n">
        <v>800</v>
      </c>
      <c r="J310" s="40" t="n">
        <v>0.05</v>
      </c>
      <c r="K310" s="39" t="n">
        <v>2280</v>
      </c>
      <c r="L310" s="39" t="n">
        <v>1260</v>
      </c>
      <c r="M310" s="39" t="n">
        <v>1020</v>
      </c>
      <c r="N310" s="38" t="s">
        <v>66</v>
      </c>
      <c r="O310" s="38" t="n">
        <f aca="false">YEAR(B310)</f>
        <v>2026</v>
      </c>
      <c r="P310" s="41" t="n">
        <f aca="false">DATE(YEAR(B310),MONTH(B310),1)</f>
        <v>46054</v>
      </c>
      <c r="Q310" s="0" t="str">
        <f aca="false">INDEX(Products!$C$2:$C$16,MATCH(E310,Products!$A$2:$A$16,0))</f>
        <v>Technology</v>
      </c>
      <c r="R310" s="0" t="str">
        <f aca="false">INDEX(Customers!$F$2:$F$101,MATCH(D310,Customers!$A$2:$A$101,0))</f>
        <v>South</v>
      </c>
      <c r="S310" s="0" t="str">
        <f aca="false">INDEX(Customers!$C$2:$C$101,MATCH(D310,Customers!$A$2:$A$101,0))</f>
        <v>Consumer</v>
      </c>
      <c r="T310" s="0" t="str">
        <f aca="false">INDEX(Customers!$D$2:$D$101,MATCH(D310,Customers!$A$2:$A$101,0))</f>
        <v>Chennai</v>
      </c>
    </row>
    <row r="311" customFormat="false" ht="15" hidden="false" customHeight="false" outlineLevel="0" collapsed="false">
      <c r="A311" s="0" t="s">
        <v>578</v>
      </c>
      <c r="B311" s="37" t="n">
        <v>45954</v>
      </c>
      <c r="C311" s="37" t="n">
        <v>45958</v>
      </c>
      <c r="D311" s="38" t="s">
        <v>345</v>
      </c>
      <c r="E311" s="38" t="s">
        <v>123</v>
      </c>
      <c r="F311" s="38" t="s">
        <v>101</v>
      </c>
      <c r="G311" s="38" t="s">
        <v>178</v>
      </c>
      <c r="H311" s="0" t="n">
        <v>8</v>
      </c>
      <c r="I311" s="39" t="n">
        <v>2200</v>
      </c>
      <c r="J311" s="40" t="n">
        <v>0.05</v>
      </c>
      <c r="K311" s="39" t="n">
        <v>16720</v>
      </c>
      <c r="L311" s="39" t="n">
        <v>10400</v>
      </c>
      <c r="M311" s="39" t="n">
        <v>6320</v>
      </c>
      <c r="N311" s="38" t="s">
        <v>66</v>
      </c>
      <c r="O311" s="38" t="n">
        <f aca="false">YEAR(B311)</f>
        <v>2025</v>
      </c>
      <c r="P311" s="41" t="n">
        <f aca="false">DATE(YEAR(B311),MONTH(B311),1)</f>
        <v>45931</v>
      </c>
      <c r="Q311" s="0" t="str">
        <f aca="false">INDEX(Products!$C$2:$C$16,MATCH(E311,Products!$A$2:$A$16,0))</f>
        <v>Technology</v>
      </c>
      <c r="R311" s="0" t="str">
        <f aca="false">INDEX(Customers!$F$2:$F$101,MATCH(D311,Customers!$A$2:$A$101,0))</f>
        <v>West</v>
      </c>
      <c r="S311" s="0" t="str">
        <f aca="false">INDEX(Customers!$C$2:$C$101,MATCH(D311,Customers!$A$2:$A$101,0))</f>
        <v>Consumer</v>
      </c>
      <c r="T311" s="0" t="str">
        <f aca="false">INDEX(Customers!$D$2:$D$101,MATCH(D311,Customers!$A$2:$A$101,0))</f>
        <v>Ahmedabad</v>
      </c>
    </row>
    <row r="312" customFormat="false" ht="15" hidden="false" customHeight="false" outlineLevel="0" collapsed="false">
      <c r="A312" s="0" t="s">
        <v>579</v>
      </c>
      <c r="B312" s="37" t="n">
        <v>45814</v>
      </c>
      <c r="C312" s="37" t="n">
        <v>45820</v>
      </c>
      <c r="D312" s="38" t="s">
        <v>234</v>
      </c>
      <c r="E312" s="38" t="s">
        <v>116</v>
      </c>
      <c r="F312" s="38" t="s">
        <v>102</v>
      </c>
      <c r="G312" s="38" t="s">
        <v>188</v>
      </c>
      <c r="H312" s="0" t="n">
        <v>2</v>
      </c>
      <c r="I312" s="39" t="n">
        <v>12000</v>
      </c>
      <c r="J312" s="40" t="n">
        <v>0.15</v>
      </c>
      <c r="K312" s="39" t="n">
        <v>20400</v>
      </c>
      <c r="L312" s="39" t="n">
        <v>18000</v>
      </c>
      <c r="M312" s="39" t="n">
        <v>2400</v>
      </c>
      <c r="N312" s="38" t="s">
        <v>66</v>
      </c>
      <c r="O312" s="38" t="n">
        <f aca="false">YEAR(B312)</f>
        <v>2025</v>
      </c>
      <c r="P312" s="41" t="n">
        <f aca="false">DATE(YEAR(B312),MONTH(B312),1)</f>
        <v>45809</v>
      </c>
      <c r="Q312" s="0" t="str">
        <f aca="false">INDEX(Products!$C$2:$C$16,MATCH(E312,Products!$A$2:$A$16,0))</f>
        <v>Technology</v>
      </c>
      <c r="R312" s="0" t="str">
        <f aca="false">INDEX(Customers!$F$2:$F$101,MATCH(D312,Customers!$A$2:$A$101,0))</f>
        <v>South</v>
      </c>
      <c r="S312" s="0" t="str">
        <f aca="false">INDEX(Customers!$C$2:$C$101,MATCH(D312,Customers!$A$2:$A$101,0))</f>
        <v>Corporate</v>
      </c>
      <c r="T312" s="0" t="str">
        <f aca="false">INDEX(Customers!$D$2:$D$101,MATCH(D312,Customers!$A$2:$A$101,0))</f>
        <v>Bengaluru</v>
      </c>
    </row>
    <row r="313" customFormat="false" ht="15" hidden="false" customHeight="false" outlineLevel="0" collapsed="false">
      <c r="A313" s="0" t="s">
        <v>580</v>
      </c>
      <c r="B313" s="37" t="n">
        <v>45766</v>
      </c>
      <c r="C313" s="37" t="n">
        <v>45773</v>
      </c>
      <c r="D313" s="38" t="s">
        <v>329</v>
      </c>
      <c r="E313" s="38" t="s">
        <v>119</v>
      </c>
      <c r="F313" s="38" t="s">
        <v>102</v>
      </c>
      <c r="G313" s="38" t="s">
        <v>173</v>
      </c>
      <c r="H313" s="0" t="n">
        <v>3</v>
      </c>
      <c r="I313" s="39" t="n">
        <v>250</v>
      </c>
      <c r="J313" s="40" t="n">
        <v>0.2</v>
      </c>
      <c r="K313" s="39" t="n">
        <v>600</v>
      </c>
      <c r="L313" s="39" t="n">
        <v>360</v>
      </c>
      <c r="M313" s="39" t="n">
        <v>240</v>
      </c>
      <c r="N313" s="38" t="s">
        <v>66</v>
      </c>
      <c r="O313" s="38" t="n">
        <f aca="false">YEAR(B313)</f>
        <v>2025</v>
      </c>
      <c r="P313" s="41" t="n">
        <f aca="false">DATE(YEAR(B313),MONTH(B313),1)</f>
        <v>45748</v>
      </c>
      <c r="Q313" s="0" t="str">
        <f aca="false">INDEX(Products!$C$2:$C$16,MATCH(E313,Products!$A$2:$A$16,0))</f>
        <v>Office Supplies</v>
      </c>
      <c r="R313" s="0" t="str">
        <f aca="false">INDEX(Customers!$F$2:$F$101,MATCH(D313,Customers!$A$2:$A$101,0))</f>
        <v>West</v>
      </c>
      <c r="S313" s="0" t="str">
        <f aca="false">INDEX(Customers!$C$2:$C$101,MATCH(D313,Customers!$A$2:$A$101,0))</f>
        <v>Corporate</v>
      </c>
      <c r="T313" s="0" t="str">
        <f aca="false">INDEX(Customers!$D$2:$D$101,MATCH(D313,Customers!$A$2:$A$101,0))</f>
        <v>Pune</v>
      </c>
    </row>
    <row r="314" customFormat="false" ht="15" hidden="false" customHeight="false" outlineLevel="0" collapsed="false">
      <c r="A314" s="0" t="s">
        <v>581</v>
      </c>
      <c r="B314" s="37" t="n">
        <v>45399</v>
      </c>
      <c r="C314" s="37" t="n">
        <v>45402</v>
      </c>
      <c r="D314" s="38" t="s">
        <v>221</v>
      </c>
      <c r="E314" s="38" t="s">
        <v>120</v>
      </c>
      <c r="F314" s="38" t="s">
        <v>100</v>
      </c>
      <c r="G314" s="38" t="s">
        <v>173</v>
      </c>
      <c r="H314" s="0" t="n">
        <v>2</v>
      </c>
      <c r="I314" s="39" t="n">
        <v>400</v>
      </c>
      <c r="J314" s="40" t="n">
        <v>0</v>
      </c>
      <c r="K314" s="39" t="n">
        <v>800</v>
      </c>
      <c r="L314" s="39" t="n">
        <v>520</v>
      </c>
      <c r="M314" s="39" t="n">
        <v>280</v>
      </c>
      <c r="N314" s="38" t="s">
        <v>66</v>
      </c>
      <c r="O314" s="38" t="n">
        <f aca="false">YEAR(B314)</f>
        <v>2024</v>
      </c>
      <c r="P314" s="41" t="n">
        <f aca="false">DATE(YEAR(B314),MONTH(B314),1)</f>
        <v>45383</v>
      </c>
      <c r="Q314" s="0" t="str">
        <f aca="false">INDEX(Products!$C$2:$C$16,MATCH(E314,Products!$A$2:$A$16,0))</f>
        <v>Office Supplies</v>
      </c>
      <c r="R314" s="0" t="str">
        <f aca="false">INDEX(Customers!$F$2:$F$101,MATCH(D314,Customers!$A$2:$A$101,0))</f>
        <v>North</v>
      </c>
      <c r="S314" s="0" t="str">
        <f aca="false">INDEX(Customers!$C$2:$C$101,MATCH(D314,Customers!$A$2:$A$101,0))</f>
        <v>Consumer</v>
      </c>
      <c r="T314" s="0" t="str">
        <f aca="false">INDEX(Customers!$D$2:$D$101,MATCH(D314,Customers!$A$2:$A$101,0))</f>
        <v>Delhi</v>
      </c>
    </row>
    <row r="315" customFormat="false" ht="15" hidden="false" customHeight="false" outlineLevel="0" collapsed="false">
      <c r="A315" s="0" t="s">
        <v>582</v>
      </c>
      <c r="B315" s="37" t="n">
        <v>46095</v>
      </c>
      <c r="C315" s="37" t="n">
        <v>46097</v>
      </c>
      <c r="D315" s="38" t="s">
        <v>206</v>
      </c>
      <c r="E315" s="38" t="s">
        <v>120</v>
      </c>
      <c r="F315" s="38" t="s">
        <v>101</v>
      </c>
      <c r="G315" s="38" t="s">
        <v>178</v>
      </c>
      <c r="H315" s="0" t="n">
        <v>2</v>
      </c>
      <c r="I315" s="39" t="n">
        <v>400</v>
      </c>
      <c r="J315" s="40" t="n">
        <v>0.05</v>
      </c>
      <c r="K315" s="39" t="n">
        <v>760</v>
      </c>
      <c r="L315" s="39" t="n">
        <v>520</v>
      </c>
      <c r="M315" s="39" t="n">
        <v>240</v>
      </c>
      <c r="N315" s="38" t="s">
        <v>66</v>
      </c>
      <c r="O315" s="38" t="n">
        <f aca="false">YEAR(B315)</f>
        <v>2026</v>
      </c>
      <c r="P315" s="41" t="n">
        <f aca="false">DATE(YEAR(B315),MONTH(B315),1)</f>
        <v>46082</v>
      </c>
      <c r="Q315" s="0" t="str">
        <f aca="false">INDEX(Products!$C$2:$C$16,MATCH(E315,Products!$A$2:$A$16,0))</f>
        <v>Office Supplies</v>
      </c>
      <c r="R315" s="0" t="str">
        <f aca="false">INDEX(Customers!$F$2:$F$101,MATCH(D315,Customers!$A$2:$A$101,0))</f>
        <v>West</v>
      </c>
      <c r="S315" s="0" t="str">
        <f aca="false">INDEX(Customers!$C$2:$C$101,MATCH(D315,Customers!$A$2:$A$101,0))</f>
        <v>Corporate</v>
      </c>
      <c r="T315" s="0" t="str">
        <f aca="false">INDEX(Customers!$D$2:$D$101,MATCH(D315,Customers!$A$2:$A$101,0))</f>
        <v>Pune</v>
      </c>
    </row>
    <row r="316" customFormat="false" ht="15" hidden="false" customHeight="false" outlineLevel="0" collapsed="false">
      <c r="A316" s="0" t="s">
        <v>583</v>
      </c>
      <c r="B316" s="37" t="n">
        <v>45618</v>
      </c>
      <c r="C316" s="37" t="n">
        <v>45619</v>
      </c>
      <c r="D316" s="38" t="s">
        <v>184</v>
      </c>
      <c r="E316" s="38" t="s">
        <v>120</v>
      </c>
      <c r="F316" s="38" t="s">
        <v>102</v>
      </c>
      <c r="G316" s="38" t="s">
        <v>178</v>
      </c>
      <c r="H316" s="0" t="n">
        <v>2</v>
      </c>
      <c r="I316" s="39" t="n">
        <v>400</v>
      </c>
      <c r="J316" s="40" t="n">
        <v>0.25</v>
      </c>
      <c r="K316" s="39" t="n">
        <v>600</v>
      </c>
      <c r="L316" s="39" t="n">
        <v>520</v>
      </c>
      <c r="M316" s="39" t="n">
        <v>80</v>
      </c>
      <c r="N316" s="38" t="s">
        <v>66</v>
      </c>
      <c r="O316" s="38" t="n">
        <f aca="false">YEAR(B316)</f>
        <v>2024</v>
      </c>
      <c r="P316" s="41" t="n">
        <f aca="false">DATE(YEAR(B316),MONTH(B316),1)</f>
        <v>45597</v>
      </c>
      <c r="Q316" s="0" t="str">
        <f aca="false">INDEX(Products!$C$2:$C$16,MATCH(E316,Products!$A$2:$A$16,0))</f>
        <v>Office Supplies</v>
      </c>
      <c r="R316" s="0" t="str">
        <f aca="false">INDEX(Customers!$F$2:$F$101,MATCH(D316,Customers!$A$2:$A$101,0))</f>
        <v>West</v>
      </c>
      <c r="S316" s="0" t="str">
        <f aca="false">INDEX(Customers!$C$2:$C$101,MATCH(D316,Customers!$A$2:$A$101,0))</f>
        <v>Consumer</v>
      </c>
      <c r="T316" s="0" t="str">
        <f aca="false">INDEX(Customers!$D$2:$D$101,MATCH(D316,Customers!$A$2:$A$101,0))</f>
        <v>Ahmedabad</v>
      </c>
    </row>
    <row r="317" customFormat="false" ht="15" hidden="false" customHeight="false" outlineLevel="0" collapsed="false">
      <c r="A317" s="0" t="s">
        <v>584</v>
      </c>
      <c r="B317" s="37" t="n">
        <v>45403</v>
      </c>
      <c r="C317" s="37" t="n">
        <v>45409</v>
      </c>
      <c r="D317" s="38" t="s">
        <v>206</v>
      </c>
      <c r="E317" s="38" t="s">
        <v>123</v>
      </c>
      <c r="F317" s="38" t="s">
        <v>100</v>
      </c>
      <c r="G317" s="38" t="s">
        <v>188</v>
      </c>
      <c r="H317" s="0" t="n">
        <v>4</v>
      </c>
      <c r="I317" s="39" t="n">
        <v>2200</v>
      </c>
      <c r="J317" s="40" t="n">
        <v>0.2</v>
      </c>
      <c r="K317" s="39" t="n">
        <v>7040</v>
      </c>
      <c r="L317" s="39" t="n">
        <v>5200</v>
      </c>
      <c r="M317" s="39" t="n">
        <v>1840</v>
      </c>
      <c r="N317" s="38" t="s">
        <v>66</v>
      </c>
      <c r="O317" s="38" t="n">
        <f aca="false">YEAR(B317)</f>
        <v>2024</v>
      </c>
      <c r="P317" s="41" t="n">
        <f aca="false">DATE(YEAR(B317),MONTH(B317),1)</f>
        <v>45383</v>
      </c>
      <c r="Q317" s="0" t="str">
        <f aca="false">INDEX(Products!$C$2:$C$16,MATCH(E317,Products!$A$2:$A$16,0))</f>
        <v>Technology</v>
      </c>
      <c r="R317" s="0" t="str">
        <f aca="false">INDEX(Customers!$F$2:$F$101,MATCH(D317,Customers!$A$2:$A$101,0))</f>
        <v>West</v>
      </c>
      <c r="S317" s="0" t="str">
        <f aca="false">INDEX(Customers!$C$2:$C$101,MATCH(D317,Customers!$A$2:$A$101,0))</f>
        <v>Corporate</v>
      </c>
      <c r="T317" s="0" t="str">
        <f aca="false">INDEX(Customers!$D$2:$D$101,MATCH(D317,Customers!$A$2:$A$101,0))</f>
        <v>Pune</v>
      </c>
    </row>
    <row r="318" customFormat="false" ht="15" hidden="false" customHeight="false" outlineLevel="0" collapsed="false">
      <c r="A318" s="0" t="s">
        <v>585</v>
      </c>
      <c r="B318" s="37" t="n">
        <v>45865</v>
      </c>
      <c r="C318" s="37" t="n">
        <v>45869</v>
      </c>
      <c r="D318" s="38" t="s">
        <v>404</v>
      </c>
      <c r="E318" s="38" t="s">
        <v>118</v>
      </c>
      <c r="F318" s="38" t="s">
        <v>101</v>
      </c>
      <c r="G318" s="38" t="s">
        <v>173</v>
      </c>
      <c r="H318" s="0" t="n">
        <v>8</v>
      </c>
      <c r="I318" s="39" t="n">
        <v>9000</v>
      </c>
      <c r="J318" s="40" t="n">
        <v>0</v>
      </c>
      <c r="K318" s="39" t="n">
        <v>72000</v>
      </c>
      <c r="L318" s="39" t="n">
        <v>52000</v>
      </c>
      <c r="M318" s="39" t="n">
        <v>20000</v>
      </c>
      <c r="N318" s="38" t="s">
        <v>66</v>
      </c>
      <c r="O318" s="38" t="n">
        <f aca="false">YEAR(B318)</f>
        <v>2025</v>
      </c>
      <c r="P318" s="41" t="n">
        <f aca="false">DATE(YEAR(B318),MONTH(B318),1)</f>
        <v>45839</v>
      </c>
      <c r="Q318" s="0" t="str">
        <f aca="false">INDEX(Products!$C$2:$C$16,MATCH(E318,Products!$A$2:$A$16,0))</f>
        <v>Furniture</v>
      </c>
      <c r="R318" s="0" t="str">
        <f aca="false">INDEX(Customers!$F$2:$F$101,MATCH(D318,Customers!$A$2:$A$101,0))</f>
        <v>West</v>
      </c>
      <c r="S318" s="0" t="str">
        <f aca="false">INDEX(Customers!$C$2:$C$101,MATCH(D318,Customers!$A$2:$A$101,0))</f>
        <v>Small Business</v>
      </c>
      <c r="T318" s="0" t="str">
        <f aca="false">INDEX(Customers!$D$2:$D$101,MATCH(D318,Customers!$A$2:$A$101,0))</f>
        <v>Mumbai</v>
      </c>
    </row>
    <row r="319" customFormat="false" ht="15" hidden="false" customHeight="false" outlineLevel="0" collapsed="false">
      <c r="A319" s="0" t="s">
        <v>586</v>
      </c>
      <c r="B319" s="37" t="n">
        <v>45697</v>
      </c>
      <c r="C319" s="37" t="n">
        <v>45698</v>
      </c>
      <c r="D319" s="38" t="s">
        <v>522</v>
      </c>
      <c r="E319" s="38" t="s">
        <v>119</v>
      </c>
      <c r="F319" s="38" t="s">
        <v>101</v>
      </c>
      <c r="G319" s="38" t="s">
        <v>188</v>
      </c>
      <c r="H319" s="0" t="n">
        <v>4</v>
      </c>
      <c r="I319" s="39" t="n">
        <v>250</v>
      </c>
      <c r="J319" s="40" t="n">
        <v>0</v>
      </c>
      <c r="K319" s="39" t="n">
        <v>1000</v>
      </c>
      <c r="L319" s="39" t="n">
        <v>480</v>
      </c>
      <c r="M319" s="39" t="n">
        <v>520</v>
      </c>
      <c r="N319" s="38" t="s">
        <v>66</v>
      </c>
      <c r="O319" s="38" t="n">
        <f aca="false">YEAR(B319)</f>
        <v>2025</v>
      </c>
      <c r="P319" s="41" t="n">
        <f aca="false">DATE(YEAR(B319),MONTH(B319),1)</f>
        <v>45689</v>
      </c>
      <c r="Q319" s="0" t="str">
        <f aca="false">INDEX(Products!$C$2:$C$16,MATCH(E319,Products!$A$2:$A$16,0))</f>
        <v>Office Supplies</v>
      </c>
      <c r="R319" s="0" t="str">
        <f aca="false">INDEX(Customers!$F$2:$F$101,MATCH(D319,Customers!$A$2:$A$101,0))</f>
        <v>West</v>
      </c>
      <c r="S319" s="0" t="str">
        <f aca="false">INDEX(Customers!$C$2:$C$101,MATCH(D319,Customers!$A$2:$A$101,0))</f>
        <v>Consumer</v>
      </c>
      <c r="T319" s="0" t="str">
        <f aca="false">INDEX(Customers!$D$2:$D$101,MATCH(D319,Customers!$A$2:$A$101,0))</f>
        <v>Ahmedabad</v>
      </c>
    </row>
    <row r="320" customFormat="false" ht="15" hidden="false" customHeight="false" outlineLevel="0" collapsed="false">
      <c r="A320" s="0" t="s">
        <v>587</v>
      </c>
      <c r="B320" s="37" t="n">
        <v>45511</v>
      </c>
      <c r="C320" s="37" t="n">
        <v>45513</v>
      </c>
      <c r="D320" s="38" t="s">
        <v>169</v>
      </c>
      <c r="E320" s="38" t="s">
        <v>124</v>
      </c>
      <c r="F320" s="38" t="s">
        <v>100</v>
      </c>
      <c r="G320" s="38" t="s">
        <v>188</v>
      </c>
      <c r="H320" s="0" t="n">
        <v>1</v>
      </c>
      <c r="I320" s="39" t="n">
        <v>3000</v>
      </c>
      <c r="J320" s="40" t="n">
        <v>0.2</v>
      </c>
      <c r="K320" s="39" t="n">
        <v>2400</v>
      </c>
      <c r="L320" s="39" t="n">
        <v>1900</v>
      </c>
      <c r="M320" s="39" t="n">
        <v>500</v>
      </c>
      <c r="N320" s="38" t="s">
        <v>66</v>
      </c>
      <c r="O320" s="38" t="n">
        <f aca="false">YEAR(B320)</f>
        <v>2024</v>
      </c>
      <c r="P320" s="41" t="n">
        <f aca="false">DATE(YEAR(B320),MONTH(B320),1)</f>
        <v>45505</v>
      </c>
      <c r="Q320" s="0" t="str">
        <f aca="false">INDEX(Products!$C$2:$C$16,MATCH(E320,Products!$A$2:$A$16,0))</f>
        <v>Technology</v>
      </c>
      <c r="R320" s="0" t="str">
        <f aca="false">INDEX(Customers!$F$2:$F$101,MATCH(D320,Customers!$A$2:$A$101,0))</f>
        <v>East</v>
      </c>
      <c r="S320" s="0" t="str">
        <f aca="false">INDEX(Customers!$C$2:$C$101,MATCH(D320,Customers!$A$2:$A$101,0))</f>
        <v>Small Business</v>
      </c>
      <c r="T320" s="0" t="str">
        <f aca="false">INDEX(Customers!$D$2:$D$101,MATCH(D320,Customers!$A$2:$A$101,0))</f>
        <v>Kolkata</v>
      </c>
    </row>
    <row r="321" customFormat="false" ht="15" hidden="false" customHeight="false" outlineLevel="0" collapsed="false">
      <c r="A321" s="0" t="s">
        <v>588</v>
      </c>
      <c r="B321" s="37" t="n">
        <v>45666</v>
      </c>
      <c r="C321" s="37" t="n">
        <v>45669</v>
      </c>
      <c r="D321" s="38" t="s">
        <v>208</v>
      </c>
      <c r="E321" s="38" t="s">
        <v>115</v>
      </c>
      <c r="F321" s="38" t="s">
        <v>101</v>
      </c>
      <c r="G321" s="38" t="s">
        <v>185</v>
      </c>
      <c r="H321" s="0" t="n">
        <v>1</v>
      </c>
      <c r="I321" s="39" t="n">
        <v>1500</v>
      </c>
      <c r="J321" s="40" t="n">
        <v>0</v>
      </c>
      <c r="K321" s="39" t="n">
        <v>1500</v>
      </c>
      <c r="L321" s="39" t="n">
        <v>850</v>
      </c>
      <c r="M321" s="39" t="n">
        <v>650</v>
      </c>
      <c r="N321" s="38" t="s">
        <v>66</v>
      </c>
      <c r="O321" s="38" t="n">
        <f aca="false">YEAR(B321)</f>
        <v>2025</v>
      </c>
      <c r="P321" s="41" t="n">
        <f aca="false">DATE(YEAR(B321),MONTH(B321),1)</f>
        <v>45658</v>
      </c>
      <c r="Q321" s="0" t="str">
        <f aca="false">INDEX(Products!$C$2:$C$16,MATCH(E321,Products!$A$2:$A$16,0))</f>
        <v>Technology</v>
      </c>
      <c r="R321" s="0" t="str">
        <f aca="false">INDEX(Customers!$F$2:$F$101,MATCH(D321,Customers!$A$2:$A$101,0))</f>
        <v>North</v>
      </c>
      <c r="S321" s="0" t="str">
        <f aca="false">INDEX(Customers!$C$2:$C$101,MATCH(D321,Customers!$A$2:$A$101,0))</f>
        <v>Corporate</v>
      </c>
      <c r="T321" s="0" t="str">
        <f aca="false">INDEX(Customers!$D$2:$D$101,MATCH(D321,Customers!$A$2:$A$101,0))</f>
        <v>Gurugram</v>
      </c>
    </row>
    <row r="322" customFormat="false" ht="15" hidden="false" customHeight="false" outlineLevel="0" collapsed="false">
      <c r="A322" s="0" t="s">
        <v>589</v>
      </c>
      <c r="B322" s="37" t="n">
        <v>45903</v>
      </c>
      <c r="C322" s="37" t="n">
        <v>45907</v>
      </c>
      <c r="D322" s="38" t="s">
        <v>348</v>
      </c>
      <c r="E322" s="38" t="s">
        <v>118</v>
      </c>
      <c r="F322" s="38" t="s">
        <v>100</v>
      </c>
      <c r="G322" s="38" t="s">
        <v>170</v>
      </c>
      <c r="H322" s="0" t="n">
        <v>3</v>
      </c>
      <c r="I322" s="39" t="n">
        <v>9000</v>
      </c>
      <c r="J322" s="40" t="n">
        <v>0.15</v>
      </c>
      <c r="K322" s="39" t="n">
        <v>22950</v>
      </c>
      <c r="L322" s="39" t="n">
        <v>19500</v>
      </c>
      <c r="M322" s="39" t="n">
        <v>3450</v>
      </c>
      <c r="N322" s="38" t="s">
        <v>66</v>
      </c>
      <c r="O322" s="38" t="n">
        <f aca="false">YEAR(B322)</f>
        <v>2025</v>
      </c>
      <c r="P322" s="41" t="n">
        <f aca="false">DATE(YEAR(B322),MONTH(B322),1)</f>
        <v>45901</v>
      </c>
      <c r="Q322" s="0" t="str">
        <f aca="false">INDEX(Products!$C$2:$C$16,MATCH(E322,Products!$A$2:$A$16,0))</f>
        <v>Furniture</v>
      </c>
      <c r="R322" s="0" t="str">
        <f aca="false">INDEX(Customers!$F$2:$F$101,MATCH(D322,Customers!$A$2:$A$101,0))</f>
        <v>East</v>
      </c>
      <c r="S322" s="0" t="str">
        <f aca="false">INDEX(Customers!$C$2:$C$101,MATCH(D322,Customers!$A$2:$A$101,0))</f>
        <v>Corporate</v>
      </c>
      <c r="T322" s="0" t="str">
        <f aca="false">INDEX(Customers!$D$2:$D$101,MATCH(D322,Customers!$A$2:$A$101,0))</f>
        <v>Kolkata</v>
      </c>
    </row>
    <row r="323" customFormat="false" ht="15" hidden="false" customHeight="false" outlineLevel="0" collapsed="false">
      <c r="A323" s="0" t="s">
        <v>590</v>
      </c>
      <c r="B323" s="37" t="n">
        <v>45468</v>
      </c>
      <c r="C323" s="37" t="n">
        <v>45475</v>
      </c>
      <c r="D323" s="38" t="s">
        <v>227</v>
      </c>
      <c r="E323" s="38" t="s">
        <v>122</v>
      </c>
      <c r="F323" s="38" t="s">
        <v>101</v>
      </c>
      <c r="G323" s="38" t="s">
        <v>188</v>
      </c>
      <c r="H323" s="0" t="n">
        <v>3</v>
      </c>
      <c r="I323" s="39" t="n">
        <v>5500</v>
      </c>
      <c r="J323" s="40" t="n">
        <v>0.25</v>
      </c>
      <c r="K323" s="39" t="n">
        <v>12375</v>
      </c>
      <c r="L323" s="39" t="n">
        <v>11100</v>
      </c>
      <c r="M323" s="39" t="n">
        <v>1275</v>
      </c>
      <c r="N323" s="38" t="s">
        <v>66</v>
      </c>
      <c r="O323" s="38" t="n">
        <f aca="false">YEAR(B323)</f>
        <v>2024</v>
      </c>
      <c r="P323" s="41" t="n">
        <f aca="false">DATE(YEAR(B323),MONTH(B323),1)</f>
        <v>45444</v>
      </c>
      <c r="Q323" s="0" t="str">
        <f aca="false">INDEX(Products!$C$2:$C$16,MATCH(E323,Products!$A$2:$A$16,0))</f>
        <v>Furniture</v>
      </c>
      <c r="R323" s="0" t="str">
        <f aca="false">INDEX(Customers!$F$2:$F$101,MATCH(D323,Customers!$A$2:$A$101,0))</f>
        <v>North</v>
      </c>
      <c r="S323" s="0" t="str">
        <f aca="false">INDEX(Customers!$C$2:$C$101,MATCH(D323,Customers!$A$2:$A$101,0))</f>
        <v>Consumer</v>
      </c>
      <c r="T323" s="0" t="str">
        <f aca="false">INDEX(Customers!$D$2:$D$101,MATCH(D323,Customers!$A$2:$A$101,0))</f>
        <v>Delhi</v>
      </c>
    </row>
    <row r="324" customFormat="false" ht="15" hidden="false" customHeight="false" outlineLevel="0" collapsed="false">
      <c r="A324" s="0" t="s">
        <v>591</v>
      </c>
      <c r="B324" s="37" t="n">
        <v>45612</v>
      </c>
      <c r="C324" s="37" t="n">
        <v>45613</v>
      </c>
      <c r="D324" s="38" t="s">
        <v>268</v>
      </c>
      <c r="E324" s="38" t="s">
        <v>115</v>
      </c>
      <c r="F324" s="38" t="s">
        <v>100</v>
      </c>
      <c r="G324" s="38" t="s">
        <v>170</v>
      </c>
      <c r="H324" s="0" t="n">
        <v>1</v>
      </c>
      <c r="I324" s="39" t="n">
        <v>1500</v>
      </c>
      <c r="J324" s="40" t="n">
        <v>0</v>
      </c>
      <c r="K324" s="39" t="n">
        <v>1500</v>
      </c>
      <c r="L324" s="39" t="n">
        <v>850</v>
      </c>
      <c r="M324" s="39" t="n">
        <v>650</v>
      </c>
      <c r="N324" s="38" t="s">
        <v>66</v>
      </c>
      <c r="O324" s="38" t="n">
        <f aca="false">YEAR(B324)</f>
        <v>2024</v>
      </c>
      <c r="P324" s="41" t="n">
        <f aca="false">DATE(YEAR(B324),MONTH(B324),1)</f>
        <v>45597</v>
      </c>
      <c r="Q324" s="0" t="str">
        <f aca="false">INDEX(Products!$C$2:$C$16,MATCH(E324,Products!$A$2:$A$16,0))</f>
        <v>Technology</v>
      </c>
      <c r="R324" s="0" t="str">
        <f aca="false">INDEX(Customers!$F$2:$F$101,MATCH(D324,Customers!$A$2:$A$101,0))</f>
        <v>South</v>
      </c>
      <c r="S324" s="0" t="str">
        <f aca="false">INDEX(Customers!$C$2:$C$101,MATCH(D324,Customers!$A$2:$A$101,0))</f>
        <v>Consumer</v>
      </c>
      <c r="T324" s="0" t="str">
        <f aca="false">INDEX(Customers!$D$2:$D$101,MATCH(D324,Customers!$A$2:$A$101,0))</f>
        <v>Bengaluru</v>
      </c>
    </row>
    <row r="325" customFormat="false" ht="15" hidden="false" customHeight="false" outlineLevel="0" collapsed="false">
      <c r="A325" s="0" t="s">
        <v>592</v>
      </c>
      <c r="B325" s="37" t="n">
        <v>45720</v>
      </c>
      <c r="C325" s="37" t="n">
        <v>45725</v>
      </c>
      <c r="D325" s="38" t="s">
        <v>447</v>
      </c>
      <c r="E325" s="38" t="s">
        <v>119</v>
      </c>
      <c r="F325" s="38" t="s">
        <v>101</v>
      </c>
      <c r="G325" s="38" t="s">
        <v>173</v>
      </c>
      <c r="H325" s="0" t="n">
        <v>1</v>
      </c>
      <c r="I325" s="39" t="n">
        <v>250</v>
      </c>
      <c r="J325" s="40" t="n">
        <v>0.1</v>
      </c>
      <c r="K325" s="39" t="n">
        <v>225</v>
      </c>
      <c r="L325" s="39" t="n">
        <v>120</v>
      </c>
      <c r="M325" s="39" t="n">
        <v>105</v>
      </c>
      <c r="N325" s="38" t="s">
        <v>66</v>
      </c>
      <c r="O325" s="38" t="n">
        <f aca="false">YEAR(B325)</f>
        <v>2025</v>
      </c>
      <c r="P325" s="41" t="n">
        <f aca="false">DATE(YEAR(B325),MONTH(B325),1)</f>
        <v>45717</v>
      </c>
      <c r="Q325" s="0" t="str">
        <f aca="false">INDEX(Products!$C$2:$C$16,MATCH(E325,Products!$A$2:$A$16,0))</f>
        <v>Office Supplies</v>
      </c>
      <c r="R325" s="0" t="str">
        <f aca="false">INDEX(Customers!$F$2:$F$101,MATCH(D325,Customers!$A$2:$A$101,0))</f>
        <v>North</v>
      </c>
      <c r="S325" s="0" t="str">
        <f aca="false">INDEX(Customers!$C$2:$C$101,MATCH(D325,Customers!$A$2:$A$101,0))</f>
        <v>Corporate</v>
      </c>
      <c r="T325" s="0" t="str">
        <f aca="false">INDEX(Customers!$D$2:$D$101,MATCH(D325,Customers!$A$2:$A$101,0))</f>
        <v>Jaipur</v>
      </c>
    </row>
    <row r="326" customFormat="false" ht="15" hidden="false" customHeight="false" outlineLevel="0" collapsed="false">
      <c r="A326" s="0" t="s">
        <v>593</v>
      </c>
      <c r="B326" s="37" t="n">
        <v>46233</v>
      </c>
      <c r="C326" s="37" t="n">
        <v>46239</v>
      </c>
      <c r="D326" s="38" t="s">
        <v>208</v>
      </c>
      <c r="E326" s="38" t="s">
        <v>124</v>
      </c>
      <c r="F326" s="38" t="s">
        <v>102</v>
      </c>
      <c r="G326" s="38" t="s">
        <v>173</v>
      </c>
      <c r="H326" s="0" t="n">
        <v>6</v>
      </c>
      <c r="I326" s="39" t="n">
        <v>3000</v>
      </c>
      <c r="J326" s="40" t="n">
        <v>0</v>
      </c>
      <c r="K326" s="39" t="n">
        <v>18000</v>
      </c>
      <c r="L326" s="39" t="n">
        <v>11400</v>
      </c>
      <c r="M326" s="39" t="n">
        <v>6600</v>
      </c>
      <c r="N326" s="38" t="s">
        <v>66</v>
      </c>
      <c r="O326" s="38" t="n">
        <f aca="false">YEAR(B326)</f>
        <v>2026</v>
      </c>
      <c r="P326" s="41" t="n">
        <f aca="false">DATE(YEAR(B326),MONTH(B326),1)</f>
        <v>46204</v>
      </c>
      <c r="Q326" s="0" t="str">
        <f aca="false">INDEX(Products!$C$2:$C$16,MATCH(E326,Products!$A$2:$A$16,0))</f>
        <v>Technology</v>
      </c>
      <c r="R326" s="0" t="str">
        <f aca="false">INDEX(Customers!$F$2:$F$101,MATCH(D326,Customers!$A$2:$A$101,0))</f>
        <v>North</v>
      </c>
      <c r="S326" s="0" t="str">
        <f aca="false">INDEX(Customers!$C$2:$C$101,MATCH(D326,Customers!$A$2:$A$101,0))</f>
        <v>Corporate</v>
      </c>
      <c r="T326" s="0" t="str">
        <f aca="false">INDEX(Customers!$D$2:$D$101,MATCH(D326,Customers!$A$2:$A$101,0))</f>
        <v>Gurugram</v>
      </c>
    </row>
    <row r="327" customFormat="false" ht="15" hidden="false" customHeight="false" outlineLevel="0" collapsed="false">
      <c r="A327" s="0" t="s">
        <v>594</v>
      </c>
      <c r="B327" s="37" t="n">
        <v>45614</v>
      </c>
      <c r="C327" s="37" t="n">
        <v>45621</v>
      </c>
      <c r="D327" s="38" t="s">
        <v>210</v>
      </c>
      <c r="E327" s="38" t="s">
        <v>115</v>
      </c>
      <c r="F327" s="38" t="s">
        <v>101</v>
      </c>
      <c r="G327" s="38" t="s">
        <v>178</v>
      </c>
      <c r="H327" s="0" t="n">
        <v>2</v>
      </c>
      <c r="I327" s="39" t="n">
        <v>1500</v>
      </c>
      <c r="J327" s="40" t="n">
        <v>0</v>
      </c>
      <c r="K327" s="39" t="n">
        <v>3000</v>
      </c>
      <c r="L327" s="39" t="n">
        <v>1700</v>
      </c>
      <c r="M327" s="39" t="n">
        <v>1300</v>
      </c>
      <c r="N327" s="38" t="s">
        <v>66</v>
      </c>
      <c r="O327" s="38" t="n">
        <f aca="false">YEAR(B327)</f>
        <v>2024</v>
      </c>
      <c r="P327" s="41" t="n">
        <f aca="false">DATE(YEAR(B327),MONTH(B327),1)</f>
        <v>45597</v>
      </c>
      <c r="Q327" s="0" t="str">
        <f aca="false">INDEX(Products!$C$2:$C$16,MATCH(E327,Products!$A$2:$A$16,0))</f>
        <v>Technology</v>
      </c>
      <c r="R327" s="0" t="str">
        <f aca="false">INDEX(Customers!$F$2:$F$101,MATCH(D327,Customers!$A$2:$A$101,0))</f>
        <v>North</v>
      </c>
      <c r="S327" s="0" t="str">
        <f aca="false">INDEX(Customers!$C$2:$C$101,MATCH(D327,Customers!$A$2:$A$101,0))</f>
        <v>Corporate</v>
      </c>
      <c r="T327" s="0" t="str">
        <f aca="false">INDEX(Customers!$D$2:$D$101,MATCH(D327,Customers!$A$2:$A$101,0))</f>
        <v>Jaipur</v>
      </c>
    </row>
    <row r="328" customFormat="false" ht="15" hidden="false" customHeight="false" outlineLevel="0" collapsed="false">
      <c r="A328" s="0" t="s">
        <v>595</v>
      </c>
      <c r="B328" s="37" t="n">
        <v>45685</v>
      </c>
      <c r="C328" s="37" t="n">
        <v>45690</v>
      </c>
      <c r="D328" s="38" t="s">
        <v>236</v>
      </c>
      <c r="E328" s="38" t="s">
        <v>126</v>
      </c>
      <c r="F328" s="38" t="s">
        <v>101</v>
      </c>
      <c r="G328" s="38" t="s">
        <v>185</v>
      </c>
      <c r="H328" s="0" t="n">
        <v>2</v>
      </c>
      <c r="I328" s="39" t="n">
        <v>1200</v>
      </c>
      <c r="J328" s="40" t="n">
        <v>0.1</v>
      </c>
      <c r="K328" s="39" t="n">
        <v>2160</v>
      </c>
      <c r="L328" s="39" t="n">
        <v>1400</v>
      </c>
      <c r="M328" s="39" t="n">
        <v>760</v>
      </c>
      <c r="N328" s="38" t="s">
        <v>66</v>
      </c>
      <c r="O328" s="38" t="n">
        <f aca="false">YEAR(B328)</f>
        <v>2025</v>
      </c>
      <c r="P328" s="41" t="n">
        <f aca="false">DATE(YEAR(B328),MONTH(B328),1)</f>
        <v>45658</v>
      </c>
      <c r="Q328" s="0" t="str">
        <f aca="false">INDEX(Products!$C$2:$C$16,MATCH(E328,Products!$A$2:$A$16,0))</f>
        <v>Furniture</v>
      </c>
      <c r="R328" s="0" t="str">
        <f aca="false">INDEX(Customers!$F$2:$F$101,MATCH(D328,Customers!$A$2:$A$101,0))</f>
        <v>West</v>
      </c>
      <c r="S328" s="0" t="str">
        <f aca="false">INDEX(Customers!$C$2:$C$101,MATCH(D328,Customers!$A$2:$A$101,0))</f>
        <v>Small Business</v>
      </c>
      <c r="T328" s="0" t="str">
        <f aca="false">INDEX(Customers!$D$2:$D$101,MATCH(D328,Customers!$A$2:$A$101,0))</f>
        <v>Pune</v>
      </c>
    </row>
    <row r="329" customFormat="false" ht="15" hidden="false" customHeight="false" outlineLevel="0" collapsed="false">
      <c r="A329" s="0" t="s">
        <v>596</v>
      </c>
      <c r="B329" s="37" t="n">
        <v>45463</v>
      </c>
      <c r="C329" s="37" t="n">
        <v>45464</v>
      </c>
      <c r="D329" s="38" t="s">
        <v>172</v>
      </c>
      <c r="E329" s="38" t="s">
        <v>120</v>
      </c>
      <c r="F329" s="38" t="s">
        <v>100</v>
      </c>
      <c r="G329" s="38" t="s">
        <v>170</v>
      </c>
      <c r="H329" s="0" t="n">
        <v>3</v>
      </c>
      <c r="I329" s="39" t="n">
        <v>400</v>
      </c>
      <c r="J329" s="40" t="n">
        <v>0.25</v>
      </c>
      <c r="K329" s="39" t="n">
        <v>900</v>
      </c>
      <c r="L329" s="39" t="n">
        <v>780</v>
      </c>
      <c r="M329" s="39" t="n">
        <v>120</v>
      </c>
      <c r="N329" s="38" t="s">
        <v>66</v>
      </c>
      <c r="O329" s="38" t="n">
        <f aca="false">YEAR(B329)</f>
        <v>2024</v>
      </c>
      <c r="P329" s="41" t="n">
        <f aca="false">DATE(YEAR(B329),MONTH(B329),1)</f>
        <v>45444</v>
      </c>
      <c r="Q329" s="0" t="str">
        <f aca="false">INDEX(Products!$C$2:$C$16,MATCH(E329,Products!$A$2:$A$16,0))</f>
        <v>Office Supplies</v>
      </c>
      <c r="R329" s="0" t="str">
        <f aca="false">INDEX(Customers!$F$2:$F$101,MATCH(D329,Customers!$A$2:$A$101,0))</f>
        <v>East</v>
      </c>
      <c r="S329" s="0" t="str">
        <f aca="false">INDEX(Customers!$C$2:$C$101,MATCH(D329,Customers!$A$2:$A$101,0))</f>
        <v>Consumer</v>
      </c>
      <c r="T329" s="0" t="str">
        <f aca="false">INDEX(Customers!$D$2:$D$101,MATCH(D329,Customers!$A$2:$A$101,0))</f>
        <v>Bhubaneswar</v>
      </c>
    </row>
    <row r="330" customFormat="false" ht="15" hidden="false" customHeight="false" outlineLevel="0" collapsed="false">
      <c r="A330" s="0" t="s">
        <v>597</v>
      </c>
      <c r="B330" s="37" t="n">
        <v>45587</v>
      </c>
      <c r="C330" s="37" t="n">
        <v>45589</v>
      </c>
      <c r="D330" s="38" t="s">
        <v>255</v>
      </c>
      <c r="E330" s="38" t="s">
        <v>121</v>
      </c>
      <c r="F330" s="38" t="s">
        <v>102</v>
      </c>
      <c r="G330" s="38" t="s">
        <v>185</v>
      </c>
      <c r="H330" s="0" t="n">
        <v>4</v>
      </c>
      <c r="I330" s="39" t="n">
        <v>180</v>
      </c>
      <c r="J330" s="40" t="n">
        <v>0.15</v>
      </c>
      <c r="K330" s="39" t="n">
        <v>612</v>
      </c>
      <c r="L330" s="39" t="n">
        <v>280</v>
      </c>
      <c r="M330" s="39" t="n">
        <v>332</v>
      </c>
      <c r="N330" s="38" t="s">
        <v>66</v>
      </c>
      <c r="O330" s="38" t="n">
        <f aca="false">YEAR(B330)</f>
        <v>2024</v>
      </c>
      <c r="P330" s="41" t="n">
        <f aca="false">DATE(YEAR(B330),MONTH(B330),1)</f>
        <v>45566</v>
      </c>
      <c r="Q330" s="0" t="str">
        <f aca="false">INDEX(Products!$C$2:$C$16,MATCH(E330,Products!$A$2:$A$16,0))</f>
        <v>Office Supplies</v>
      </c>
      <c r="R330" s="0" t="str">
        <f aca="false">INDEX(Customers!$F$2:$F$101,MATCH(D330,Customers!$A$2:$A$101,0))</f>
        <v>East</v>
      </c>
      <c r="S330" s="0" t="str">
        <f aca="false">INDEX(Customers!$C$2:$C$101,MATCH(D330,Customers!$A$2:$A$101,0))</f>
        <v>Small Business</v>
      </c>
      <c r="T330" s="0" t="str">
        <f aca="false">INDEX(Customers!$D$2:$D$101,MATCH(D330,Customers!$A$2:$A$101,0))</f>
        <v>Kolkata</v>
      </c>
    </row>
    <row r="331" customFormat="false" ht="15" hidden="false" customHeight="false" outlineLevel="0" collapsed="false">
      <c r="A331" s="0" t="s">
        <v>598</v>
      </c>
      <c r="B331" s="37" t="n">
        <v>45408</v>
      </c>
      <c r="C331" s="37" t="n">
        <v>45411</v>
      </c>
      <c r="D331" s="38" t="s">
        <v>369</v>
      </c>
      <c r="E331" s="38" t="s">
        <v>122</v>
      </c>
      <c r="F331" s="38" t="s">
        <v>101</v>
      </c>
      <c r="G331" s="38" t="s">
        <v>188</v>
      </c>
      <c r="H331" s="0" t="n">
        <v>4</v>
      </c>
      <c r="I331" s="39" t="n">
        <v>5500</v>
      </c>
      <c r="J331" s="40" t="n">
        <v>0.25</v>
      </c>
      <c r="K331" s="39" t="n">
        <v>16500</v>
      </c>
      <c r="L331" s="39" t="n">
        <v>14800</v>
      </c>
      <c r="M331" s="39" t="n">
        <v>1700</v>
      </c>
      <c r="N331" s="38" t="s">
        <v>66</v>
      </c>
      <c r="O331" s="38" t="n">
        <f aca="false">YEAR(B331)</f>
        <v>2024</v>
      </c>
      <c r="P331" s="41" t="n">
        <f aca="false">DATE(YEAR(B331),MONTH(B331),1)</f>
        <v>45383</v>
      </c>
      <c r="Q331" s="0" t="str">
        <f aca="false">INDEX(Products!$C$2:$C$16,MATCH(E331,Products!$A$2:$A$16,0))</f>
        <v>Furniture</v>
      </c>
      <c r="R331" s="0" t="str">
        <f aca="false">INDEX(Customers!$F$2:$F$101,MATCH(D331,Customers!$A$2:$A$101,0))</f>
        <v>West</v>
      </c>
      <c r="S331" s="0" t="str">
        <f aca="false">INDEX(Customers!$C$2:$C$101,MATCH(D331,Customers!$A$2:$A$101,0))</f>
        <v>Consumer</v>
      </c>
      <c r="T331" s="0" t="str">
        <f aca="false">INDEX(Customers!$D$2:$D$101,MATCH(D331,Customers!$A$2:$A$101,0))</f>
        <v>Mumbai</v>
      </c>
    </row>
    <row r="332" customFormat="false" ht="15" hidden="false" customHeight="false" outlineLevel="0" collapsed="false">
      <c r="A332" s="0" t="s">
        <v>599</v>
      </c>
      <c r="B332" s="37" t="n">
        <v>46028</v>
      </c>
      <c r="C332" s="37" t="n">
        <v>46032</v>
      </c>
      <c r="D332" s="38" t="s">
        <v>302</v>
      </c>
      <c r="E332" s="38" t="s">
        <v>125</v>
      </c>
      <c r="F332" s="38" t="s">
        <v>100</v>
      </c>
      <c r="G332" s="38" t="s">
        <v>173</v>
      </c>
      <c r="H332" s="0" t="n">
        <v>2</v>
      </c>
      <c r="I332" s="39" t="n">
        <v>600</v>
      </c>
      <c r="J332" s="40" t="n">
        <v>0.1</v>
      </c>
      <c r="K332" s="39" t="n">
        <v>1080</v>
      </c>
      <c r="L332" s="39" t="n">
        <v>700</v>
      </c>
      <c r="M332" s="39" t="n">
        <v>380</v>
      </c>
      <c r="N332" s="38" t="s">
        <v>66</v>
      </c>
      <c r="O332" s="38" t="n">
        <f aca="false">YEAR(B332)</f>
        <v>2026</v>
      </c>
      <c r="P332" s="41" t="n">
        <f aca="false">DATE(YEAR(B332),MONTH(B332),1)</f>
        <v>46023</v>
      </c>
      <c r="Q332" s="0" t="str">
        <f aca="false">INDEX(Products!$C$2:$C$16,MATCH(E332,Products!$A$2:$A$16,0))</f>
        <v>Office Supplies</v>
      </c>
      <c r="R332" s="0" t="str">
        <f aca="false">INDEX(Customers!$F$2:$F$101,MATCH(D332,Customers!$A$2:$A$101,0))</f>
        <v>East</v>
      </c>
      <c r="S332" s="0" t="str">
        <f aca="false">INDEX(Customers!$C$2:$C$101,MATCH(D332,Customers!$A$2:$A$101,0))</f>
        <v>Consumer</v>
      </c>
      <c r="T332" s="0" t="str">
        <f aca="false">INDEX(Customers!$D$2:$D$101,MATCH(D332,Customers!$A$2:$A$101,0))</f>
        <v>Bhubaneswar</v>
      </c>
    </row>
    <row r="333" customFormat="false" ht="15" hidden="false" customHeight="false" outlineLevel="0" collapsed="false">
      <c r="A333" s="0" t="s">
        <v>600</v>
      </c>
      <c r="B333" s="37" t="n">
        <v>45561</v>
      </c>
      <c r="C333" s="37" t="n">
        <v>45564</v>
      </c>
      <c r="D333" s="38" t="s">
        <v>294</v>
      </c>
      <c r="E333" s="38" t="s">
        <v>120</v>
      </c>
      <c r="F333" s="38" t="s">
        <v>101</v>
      </c>
      <c r="G333" s="38" t="s">
        <v>178</v>
      </c>
      <c r="H333" s="0" t="n">
        <v>5</v>
      </c>
      <c r="I333" s="39" t="n">
        <v>400</v>
      </c>
      <c r="J333" s="40" t="n">
        <v>0</v>
      </c>
      <c r="K333" s="39" t="n">
        <v>2000</v>
      </c>
      <c r="L333" s="39" t="n">
        <v>1300</v>
      </c>
      <c r="M333" s="39" t="n">
        <v>700</v>
      </c>
      <c r="N333" s="38" t="s">
        <v>66</v>
      </c>
      <c r="O333" s="38" t="n">
        <f aca="false">YEAR(B333)</f>
        <v>2024</v>
      </c>
      <c r="P333" s="41" t="n">
        <f aca="false">DATE(YEAR(B333),MONTH(B333),1)</f>
        <v>45536</v>
      </c>
      <c r="Q333" s="0" t="str">
        <f aca="false">INDEX(Products!$C$2:$C$16,MATCH(E333,Products!$A$2:$A$16,0))</f>
        <v>Office Supplies</v>
      </c>
      <c r="R333" s="0" t="str">
        <f aca="false">INDEX(Customers!$F$2:$F$101,MATCH(D333,Customers!$A$2:$A$101,0))</f>
        <v>South</v>
      </c>
      <c r="S333" s="0" t="str">
        <f aca="false">INDEX(Customers!$C$2:$C$101,MATCH(D333,Customers!$A$2:$A$101,0))</f>
        <v>Small Business</v>
      </c>
      <c r="T333" s="0" t="str">
        <f aca="false">INDEX(Customers!$D$2:$D$101,MATCH(D333,Customers!$A$2:$A$101,0))</f>
        <v>Chennai</v>
      </c>
    </row>
    <row r="334" customFormat="false" ht="15" hidden="false" customHeight="false" outlineLevel="0" collapsed="false">
      <c r="A334" s="0" t="s">
        <v>601</v>
      </c>
      <c r="B334" s="37" t="n">
        <v>46122</v>
      </c>
      <c r="C334" s="37" t="n">
        <v>46128</v>
      </c>
      <c r="D334" s="38" t="s">
        <v>407</v>
      </c>
      <c r="E334" s="38" t="s">
        <v>116</v>
      </c>
      <c r="F334" s="38" t="s">
        <v>102</v>
      </c>
      <c r="G334" s="38" t="s">
        <v>188</v>
      </c>
      <c r="H334" s="0" t="n">
        <v>3</v>
      </c>
      <c r="I334" s="39" t="n">
        <v>12000</v>
      </c>
      <c r="J334" s="40" t="n">
        <v>0.05</v>
      </c>
      <c r="K334" s="39" t="n">
        <v>34200</v>
      </c>
      <c r="L334" s="39" t="n">
        <v>27000</v>
      </c>
      <c r="M334" s="39" t="n">
        <v>7200</v>
      </c>
      <c r="N334" s="38" t="s">
        <v>66</v>
      </c>
      <c r="O334" s="38" t="n">
        <f aca="false">YEAR(B334)</f>
        <v>2026</v>
      </c>
      <c r="P334" s="41" t="n">
        <f aca="false">DATE(YEAR(B334),MONTH(B334),1)</f>
        <v>46113</v>
      </c>
      <c r="Q334" s="0" t="str">
        <f aca="false">INDEX(Products!$C$2:$C$16,MATCH(E334,Products!$A$2:$A$16,0))</f>
        <v>Technology</v>
      </c>
      <c r="R334" s="0" t="str">
        <f aca="false">INDEX(Customers!$F$2:$F$101,MATCH(D334,Customers!$A$2:$A$101,0))</f>
        <v>North</v>
      </c>
      <c r="S334" s="0" t="str">
        <f aca="false">INDEX(Customers!$C$2:$C$101,MATCH(D334,Customers!$A$2:$A$101,0))</f>
        <v>Small Business</v>
      </c>
      <c r="T334" s="0" t="str">
        <f aca="false">INDEX(Customers!$D$2:$D$101,MATCH(D334,Customers!$A$2:$A$101,0))</f>
        <v>Delhi</v>
      </c>
    </row>
    <row r="335" customFormat="false" ht="15" hidden="false" customHeight="false" outlineLevel="0" collapsed="false">
      <c r="A335" s="0" t="s">
        <v>602</v>
      </c>
      <c r="B335" s="37" t="n">
        <v>45434</v>
      </c>
      <c r="C335" s="37" t="n">
        <v>45441</v>
      </c>
      <c r="D335" s="38" t="s">
        <v>219</v>
      </c>
      <c r="E335" s="38" t="s">
        <v>122</v>
      </c>
      <c r="F335" s="38" t="s">
        <v>100</v>
      </c>
      <c r="G335" s="38" t="s">
        <v>188</v>
      </c>
      <c r="H335" s="0" t="n">
        <v>1</v>
      </c>
      <c r="I335" s="39" t="n">
        <v>5500</v>
      </c>
      <c r="J335" s="40" t="n">
        <v>0</v>
      </c>
      <c r="K335" s="39" t="n">
        <v>5500</v>
      </c>
      <c r="L335" s="39" t="n">
        <v>3700</v>
      </c>
      <c r="M335" s="39" t="n">
        <v>1800</v>
      </c>
      <c r="N335" s="38" t="s">
        <v>66</v>
      </c>
      <c r="O335" s="38" t="n">
        <f aca="false">YEAR(B335)</f>
        <v>2024</v>
      </c>
      <c r="P335" s="41" t="n">
        <f aca="false">DATE(YEAR(B335),MONTH(B335),1)</f>
        <v>45413</v>
      </c>
      <c r="Q335" s="0" t="str">
        <f aca="false">INDEX(Products!$C$2:$C$16,MATCH(E335,Products!$A$2:$A$16,0))</f>
        <v>Furniture</v>
      </c>
      <c r="R335" s="0" t="str">
        <f aca="false">INDEX(Customers!$F$2:$F$101,MATCH(D335,Customers!$A$2:$A$101,0))</f>
        <v>North</v>
      </c>
      <c r="S335" s="0" t="str">
        <f aca="false">INDEX(Customers!$C$2:$C$101,MATCH(D335,Customers!$A$2:$A$101,0))</f>
        <v>Small Business</v>
      </c>
      <c r="T335" s="0" t="str">
        <f aca="false">INDEX(Customers!$D$2:$D$101,MATCH(D335,Customers!$A$2:$A$101,0))</f>
        <v>Lucknow</v>
      </c>
    </row>
    <row r="336" customFormat="false" ht="15" hidden="false" customHeight="false" outlineLevel="0" collapsed="false">
      <c r="A336" s="0" t="s">
        <v>603</v>
      </c>
      <c r="B336" s="37" t="n">
        <v>45843</v>
      </c>
      <c r="C336" s="37" t="n">
        <v>45845</v>
      </c>
      <c r="D336" s="38" t="s">
        <v>194</v>
      </c>
      <c r="E336" s="38" t="s">
        <v>122</v>
      </c>
      <c r="F336" s="38" t="s">
        <v>101</v>
      </c>
      <c r="G336" s="38" t="s">
        <v>170</v>
      </c>
      <c r="H336" s="0" t="n">
        <v>2</v>
      </c>
      <c r="I336" s="39" t="n">
        <v>5500</v>
      </c>
      <c r="J336" s="40" t="n">
        <v>0.2</v>
      </c>
      <c r="K336" s="39" t="n">
        <v>8800</v>
      </c>
      <c r="L336" s="39" t="n">
        <v>7400</v>
      </c>
      <c r="M336" s="39" t="n">
        <v>1400</v>
      </c>
      <c r="N336" s="38" t="s">
        <v>66</v>
      </c>
      <c r="O336" s="38" t="n">
        <f aca="false">YEAR(B336)</f>
        <v>2025</v>
      </c>
      <c r="P336" s="41" t="n">
        <f aca="false">DATE(YEAR(B336),MONTH(B336),1)</f>
        <v>45839</v>
      </c>
      <c r="Q336" s="0" t="str">
        <f aca="false">INDEX(Products!$C$2:$C$16,MATCH(E336,Products!$A$2:$A$16,0))</f>
        <v>Furniture</v>
      </c>
      <c r="R336" s="0" t="str">
        <f aca="false">INDEX(Customers!$F$2:$F$101,MATCH(D336,Customers!$A$2:$A$101,0))</f>
        <v>North</v>
      </c>
      <c r="S336" s="0" t="str">
        <f aca="false">INDEX(Customers!$C$2:$C$101,MATCH(D336,Customers!$A$2:$A$101,0))</f>
        <v>Small Business</v>
      </c>
      <c r="T336" s="0" t="str">
        <f aca="false">INDEX(Customers!$D$2:$D$101,MATCH(D336,Customers!$A$2:$A$101,0))</f>
        <v>Gurugram</v>
      </c>
    </row>
    <row r="337" customFormat="false" ht="15" hidden="false" customHeight="false" outlineLevel="0" collapsed="false">
      <c r="A337" s="0" t="s">
        <v>604</v>
      </c>
      <c r="B337" s="37" t="n">
        <v>45987</v>
      </c>
      <c r="C337" s="37" t="n">
        <v>45994</v>
      </c>
      <c r="D337" s="38" t="s">
        <v>447</v>
      </c>
      <c r="E337" s="38" t="s">
        <v>127</v>
      </c>
      <c r="F337" s="38" t="s">
        <v>101</v>
      </c>
      <c r="G337" s="38" t="s">
        <v>178</v>
      </c>
      <c r="H337" s="0" t="n">
        <v>1</v>
      </c>
      <c r="I337" s="39" t="n">
        <v>18000</v>
      </c>
      <c r="J337" s="40" t="n">
        <v>0.25</v>
      </c>
      <c r="K337" s="39" t="n">
        <v>13500</v>
      </c>
      <c r="L337" s="39" t="n">
        <v>14000</v>
      </c>
      <c r="M337" s="39" t="n">
        <v>-500</v>
      </c>
      <c r="N337" s="38" t="s">
        <v>147</v>
      </c>
      <c r="O337" s="38" t="n">
        <f aca="false">YEAR(B337)</f>
        <v>2025</v>
      </c>
      <c r="P337" s="41" t="n">
        <f aca="false">DATE(YEAR(B337),MONTH(B337),1)</f>
        <v>45962</v>
      </c>
      <c r="Q337" s="0" t="str">
        <f aca="false">INDEX(Products!$C$2:$C$16,MATCH(E337,Products!$A$2:$A$16,0))</f>
        <v>Technology</v>
      </c>
      <c r="R337" s="0" t="str">
        <f aca="false">INDEX(Customers!$F$2:$F$101,MATCH(D337,Customers!$A$2:$A$101,0))</f>
        <v>North</v>
      </c>
      <c r="S337" s="0" t="str">
        <f aca="false">INDEX(Customers!$C$2:$C$101,MATCH(D337,Customers!$A$2:$A$101,0))</f>
        <v>Corporate</v>
      </c>
      <c r="T337" s="0" t="str">
        <f aca="false">INDEX(Customers!$D$2:$D$101,MATCH(D337,Customers!$A$2:$A$101,0))</f>
        <v>Jaipur</v>
      </c>
    </row>
    <row r="338" customFormat="false" ht="15" hidden="false" customHeight="false" outlineLevel="0" collapsed="false">
      <c r="A338" s="0" t="s">
        <v>605</v>
      </c>
      <c r="B338" s="37" t="n">
        <v>46010</v>
      </c>
      <c r="C338" s="37" t="n">
        <v>46017</v>
      </c>
      <c r="D338" s="38" t="s">
        <v>215</v>
      </c>
      <c r="E338" s="38" t="s">
        <v>115</v>
      </c>
      <c r="F338" s="38" t="s">
        <v>102</v>
      </c>
      <c r="G338" s="38" t="s">
        <v>170</v>
      </c>
      <c r="H338" s="0" t="n">
        <v>1</v>
      </c>
      <c r="I338" s="39" t="n">
        <v>1500</v>
      </c>
      <c r="J338" s="40" t="n">
        <v>0</v>
      </c>
      <c r="K338" s="39" t="n">
        <v>1500</v>
      </c>
      <c r="L338" s="39" t="n">
        <v>850</v>
      </c>
      <c r="M338" s="39" t="n">
        <v>650</v>
      </c>
      <c r="N338" s="38" t="s">
        <v>66</v>
      </c>
      <c r="O338" s="38" t="n">
        <f aca="false">YEAR(B338)</f>
        <v>2025</v>
      </c>
      <c r="P338" s="41" t="n">
        <f aca="false">DATE(YEAR(B338),MONTH(B338),1)</f>
        <v>45992</v>
      </c>
      <c r="Q338" s="0" t="str">
        <f aca="false">INDEX(Products!$C$2:$C$16,MATCH(E338,Products!$A$2:$A$16,0))</f>
        <v>Technology</v>
      </c>
      <c r="R338" s="0" t="str">
        <f aca="false">INDEX(Customers!$F$2:$F$101,MATCH(D338,Customers!$A$2:$A$101,0))</f>
        <v>North</v>
      </c>
      <c r="S338" s="0" t="str">
        <f aca="false">INDEX(Customers!$C$2:$C$101,MATCH(D338,Customers!$A$2:$A$101,0))</f>
        <v>Consumer</v>
      </c>
      <c r="T338" s="0" t="str">
        <f aca="false">INDEX(Customers!$D$2:$D$101,MATCH(D338,Customers!$A$2:$A$101,0))</f>
        <v>Jaipur</v>
      </c>
    </row>
    <row r="339" customFormat="false" ht="15" hidden="false" customHeight="false" outlineLevel="0" collapsed="false">
      <c r="A339" s="0" t="s">
        <v>606</v>
      </c>
      <c r="B339" s="37" t="n">
        <v>45984</v>
      </c>
      <c r="C339" s="37" t="n">
        <v>45988</v>
      </c>
      <c r="D339" s="38" t="s">
        <v>270</v>
      </c>
      <c r="E339" s="38" t="s">
        <v>126</v>
      </c>
      <c r="F339" s="38" t="s">
        <v>102</v>
      </c>
      <c r="G339" s="38" t="s">
        <v>170</v>
      </c>
      <c r="H339" s="0" t="n">
        <v>2</v>
      </c>
      <c r="I339" s="39" t="n">
        <v>1200</v>
      </c>
      <c r="J339" s="40" t="n">
        <v>0.15</v>
      </c>
      <c r="K339" s="39" t="n">
        <v>2040</v>
      </c>
      <c r="L339" s="39" t="n">
        <v>1400</v>
      </c>
      <c r="M339" s="39" t="n">
        <v>640</v>
      </c>
      <c r="N339" s="38" t="s">
        <v>66</v>
      </c>
      <c r="O339" s="38" t="n">
        <f aca="false">YEAR(B339)</f>
        <v>2025</v>
      </c>
      <c r="P339" s="41" t="n">
        <f aca="false">DATE(YEAR(B339),MONTH(B339),1)</f>
        <v>45962</v>
      </c>
      <c r="Q339" s="0" t="str">
        <f aca="false">INDEX(Products!$C$2:$C$16,MATCH(E339,Products!$A$2:$A$16,0))</f>
        <v>Furniture</v>
      </c>
      <c r="R339" s="0" t="str">
        <f aca="false">INDEX(Customers!$F$2:$F$101,MATCH(D339,Customers!$A$2:$A$101,0))</f>
        <v>West</v>
      </c>
      <c r="S339" s="0" t="str">
        <f aca="false">INDEX(Customers!$C$2:$C$101,MATCH(D339,Customers!$A$2:$A$101,0))</f>
        <v>Small Business</v>
      </c>
      <c r="T339" s="0" t="str">
        <f aca="false">INDEX(Customers!$D$2:$D$101,MATCH(D339,Customers!$A$2:$A$101,0))</f>
        <v>Pune</v>
      </c>
    </row>
    <row r="340" customFormat="false" ht="15" hidden="false" customHeight="false" outlineLevel="0" collapsed="false">
      <c r="A340" s="0" t="s">
        <v>607</v>
      </c>
      <c r="B340" s="37" t="n">
        <v>45369</v>
      </c>
      <c r="C340" s="37" t="n">
        <v>45375</v>
      </c>
      <c r="D340" s="38" t="s">
        <v>517</v>
      </c>
      <c r="E340" s="38" t="s">
        <v>120</v>
      </c>
      <c r="F340" s="38" t="s">
        <v>100</v>
      </c>
      <c r="G340" s="38" t="s">
        <v>185</v>
      </c>
      <c r="H340" s="0" t="n">
        <v>4</v>
      </c>
      <c r="I340" s="39" t="n">
        <v>400</v>
      </c>
      <c r="J340" s="40" t="n">
        <v>0.25</v>
      </c>
      <c r="K340" s="39" t="n">
        <v>1200</v>
      </c>
      <c r="L340" s="39" t="n">
        <v>1040</v>
      </c>
      <c r="M340" s="39" t="n">
        <v>160</v>
      </c>
      <c r="N340" s="38" t="s">
        <v>66</v>
      </c>
      <c r="O340" s="38" t="n">
        <f aca="false">YEAR(B340)</f>
        <v>2024</v>
      </c>
      <c r="P340" s="41" t="n">
        <f aca="false">DATE(YEAR(B340),MONTH(B340),1)</f>
        <v>45352</v>
      </c>
      <c r="Q340" s="0" t="str">
        <f aca="false">INDEX(Products!$C$2:$C$16,MATCH(E340,Products!$A$2:$A$16,0))</f>
        <v>Office Supplies</v>
      </c>
      <c r="R340" s="0" t="str">
        <f aca="false">INDEX(Customers!$F$2:$F$101,MATCH(D340,Customers!$A$2:$A$101,0))</f>
        <v>East</v>
      </c>
      <c r="S340" s="0" t="str">
        <f aca="false">INDEX(Customers!$C$2:$C$101,MATCH(D340,Customers!$A$2:$A$101,0))</f>
        <v>Corporate</v>
      </c>
      <c r="T340" s="0" t="str">
        <f aca="false">INDEX(Customers!$D$2:$D$101,MATCH(D340,Customers!$A$2:$A$101,0))</f>
        <v>Kolkata</v>
      </c>
    </row>
    <row r="341" customFormat="false" ht="15" hidden="false" customHeight="false" outlineLevel="0" collapsed="false">
      <c r="A341" s="0" t="s">
        <v>608</v>
      </c>
      <c r="B341" s="37" t="n">
        <v>46250</v>
      </c>
      <c r="C341" s="37" t="n">
        <v>46253</v>
      </c>
      <c r="D341" s="38" t="s">
        <v>194</v>
      </c>
      <c r="E341" s="38" t="s">
        <v>124</v>
      </c>
      <c r="F341" s="38" t="s">
        <v>101</v>
      </c>
      <c r="G341" s="38" t="s">
        <v>188</v>
      </c>
      <c r="H341" s="0" t="n">
        <v>2</v>
      </c>
      <c r="I341" s="39" t="n">
        <v>3000</v>
      </c>
      <c r="J341" s="40" t="n">
        <v>0.1</v>
      </c>
      <c r="K341" s="39" t="n">
        <v>5400</v>
      </c>
      <c r="L341" s="39" t="n">
        <v>3800</v>
      </c>
      <c r="M341" s="39" t="n">
        <v>1600</v>
      </c>
      <c r="N341" s="38" t="s">
        <v>66</v>
      </c>
      <c r="O341" s="38" t="n">
        <f aca="false">YEAR(B341)</f>
        <v>2026</v>
      </c>
      <c r="P341" s="41" t="n">
        <f aca="false">DATE(YEAR(B341),MONTH(B341),1)</f>
        <v>46235</v>
      </c>
      <c r="Q341" s="0" t="str">
        <f aca="false">INDEX(Products!$C$2:$C$16,MATCH(E341,Products!$A$2:$A$16,0))</f>
        <v>Technology</v>
      </c>
      <c r="R341" s="0" t="str">
        <f aca="false">INDEX(Customers!$F$2:$F$101,MATCH(D341,Customers!$A$2:$A$101,0))</f>
        <v>North</v>
      </c>
      <c r="S341" s="0" t="str">
        <f aca="false">INDEX(Customers!$C$2:$C$101,MATCH(D341,Customers!$A$2:$A$101,0))</f>
        <v>Small Business</v>
      </c>
      <c r="T341" s="0" t="str">
        <f aca="false">INDEX(Customers!$D$2:$D$101,MATCH(D341,Customers!$A$2:$A$101,0))</f>
        <v>Gurugram</v>
      </c>
    </row>
    <row r="342" customFormat="false" ht="15" hidden="false" customHeight="false" outlineLevel="0" collapsed="false">
      <c r="A342" s="0" t="s">
        <v>609</v>
      </c>
      <c r="B342" s="37" t="n">
        <v>46042</v>
      </c>
      <c r="C342" s="37" t="n">
        <v>46043</v>
      </c>
      <c r="D342" s="38" t="s">
        <v>452</v>
      </c>
      <c r="E342" s="38" t="s">
        <v>126</v>
      </c>
      <c r="F342" s="38" t="s">
        <v>102</v>
      </c>
      <c r="G342" s="38" t="s">
        <v>170</v>
      </c>
      <c r="H342" s="0" t="n">
        <v>4</v>
      </c>
      <c r="I342" s="39" t="n">
        <v>1200</v>
      </c>
      <c r="J342" s="40" t="n">
        <v>0.1</v>
      </c>
      <c r="K342" s="39" t="n">
        <v>4320</v>
      </c>
      <c r="L342" s="39" t="n">
        <v>2800</v>
      </c>
      <c r="M342" s="39" t="n">
        <v>1520</v>
      </c>
      <c r="N342" s="38" t="s">
        <v>66</v>
      </c>
      <c r="O342" s="38" t="n">
        <f aca="false">YEAR(B342)</f>
        <v>2026</v>
      </c>
      <c r="P342" s="41" t="n">
        <f aca="false">DATE(YEAR(B342),MONTH(B342),1)</f>
        <v>46023</v>
      </c>
      <c r="Q342" s="0" t="str">
        <f aca="false">INDEX(Products!$C$2:$C$16,MATCH(E342,Products!$A$2:$A$16,0))</f>
        <v>Furniture</v>
      </c>
      <c r="R342" s="0" t="str">
        <f aca="false">INDEX(Customers!$F$2:$F$101,MATCH(D342,Customers!$A$2:$A$101,0))</f>
        <v>South</v>
      </c>
      <c r="S342" s="0" t="str">
        <f aca="false">INDEX(Customers!$C$2:$C$101,MATCH(D342,Customers!$A$2:$A$101,0))</f>
        <v>Corporate</v>
      </c>
      <c r="T342" s="0" t="str">
        <f aca="false">INDEX(Customers!$D$2:$D$101,MATCH(D342,Customers!$A$2:$A$101,0))</f>
        <v>Hyderabad</v>
      </c>
    </row>
    <row r="343" customFormat="false" ht="15" hidden="false" customHeight="false" outlineLevel="0" collapsed="false">
      <c r="A343" s="0" t="s">
        <v>610</v>
      </c>
      <c r="B343" s="37" t="n">
        <v>45515</v>
      </c>
      <c r="C343" s="37" t="n">
        <v>45519</v>
      </c>
      <c r="D343" s="38" t="s">
        <v>208</v>
      </c>
      <c r="E343" s="38" t="s">
        <v>119</v>
      </c>
      <c r="F343" s="38" t="s">
        <v>101</v>
      </c>
      <c r="G343" s="38" t="s">
        <v>170</v>
      </c>
      <c r="H343" s="0" t="n">
        <v>5</v>
      </c>
      <c r="I343" s="39" t="n">
        <v>250</v>
      </c>
      <c r="J343" s="40" t="n">
        <v>0.1</v>
      </c>
      <c r="K343" s="39" t="n">
        <v>1125</v>
      </c>
      <c r="L343" s="39" t="n">
        <v>600</v>
      </c>
      <c r="M343" s="39" t="n">
        <v>525</v>
      </c>
      <c r="N343" s="38" t="s">
        <v>66</v>
      </c>
      <c r="O343" s="38" t="n">
        <f aca="false">YEAR(B343)</f>
        <v>2024</v>
      </c>
      <c r="P343" s="41" t="n">
        <f aca="false">DATE(YEAR(B343),MONTH(B343),1)</f>
        <v>45505</v>
      </c>
      <c r="Q343" s="0" t="str">
        <f aca="false">INDEX(Products!$C$2:$C$16,MATCH(E343,Products!$A$2:$A$16,0))</f>
        <v>Office Supplies</v>
      </c>
      <c r="R343" s="0" t="str">
        <f aca="false">INDEX(Customers!$F$2:$F$101,MATCH(D343,Customers!$A$2:$A$101,0))</f>
        <v>North</v>
      </c>
      <c r="S343" s="0" t="str">
        <f aca="false">INDEX(Customers!$C$2:$C$101,MATCH(D343,Customers!$A$2:$A$101,0))</f>
        <v>Corporate</v>
      </c>
      <c r="T343" s="0" t="str">
        <f aca="false">INDEX(Customers!$D$2:$D$101,MATCH(D343,Customers!$A$2:$A$101,0))</f>
        <v>Gurugram</v>
      </c>
    </row>
    <row r="344" customFormat="false" ht="15" hidden="false" customHeight="false" outlineLevel="0" collapsed="false">
      <c r="A344" s="0" t="s">
        <v>611</v>
      </c>
      <c r="B344" s="37" t="n">
        <v>45883</v>
      </c>
      <c r="C344" s="37" t="n">
        <v>45885</v>
      </c>
      <c r="D344" s="38" t="s">
        <v>206</v>
      </c>
      <c r="E344" s="38" t="s">
        <v>121</v>
      </c>
      <c r="F344" s="38" t="s">
        <v>101</v>
      </c>
      <c r="G344" s="38" t="s">
        <v>178</v>
      </c>
      <c r="H344" s="0" t="n">
        <v>3</v>
      </c>
      <c r="I344" s="39" t="n">
        <v>180</v>
      </c>
      <c r="J344" s="40" t="n">
        <v>0.1</v>
      </c>
      <c r="K344" s="39" t="n">
        <v>486</v>
      </c>
      <c r="L344" s="39" t="n">
        <v>210</v>
      </c>
      <c r="M344" s="39" t="n">
        <v>276</v>
      </c>
      <c r="N344" s="38" t="s">
        <v>66</v>
      </c>
      <c r="O344" s="38" t="n">
        <f aca="false">YEAR(B344)</f>
        <v>2025</v>
      </c>
      <c r="P344" s="41" t="n">
        <f aca="false">DATE(YEAR(B344),MONTH(B344),1)</f>
        <v>45870</v>
      </c>
      <c r="Q344" s="0" t="str">
        <f aca="false">INDEX(Products!$C$2:$C$16,MATCH(E344,Products!$A$2:$A$16,0))</f>
        <v>Office Supplies</v>
      </c>
      <c r="R344" s="0" t="str">
        <f aca="false">INDEX(Customers!$F$2:$F$101,MATCH(D344,Customers!$A$2:$A$101,0))</f>
        <v>West</v>
      </c>
      <c r="S344" s="0" t="str">
        <f aca="false">INDEX(Customers!$C$2:$C$101,MATCH(D344,Customers!$A$2:$A$101,0))</f>
        <v>Corporate</v>
      </c>
      <c r="T344" s="0" t="str">
        <f aca="false">INDEX(Customers!$D$2:$D$101,MATCH(D344,Customers!$A$2:$A$101,0))</f>
        <v>Pune</v>
      </c>
    </row>
    <row r="345" customFormat="false" ht="15" hidden="false" customHeight="false" outlineLevel="0" collapsed="false">
      <c r="A345" s="0" t="s">
        <v>612</v>
      </c>
      <c r="B345" s="37" t="n">
        <v>46148</v>
      </c>
      <c r="C345" s="37" t="n">
        <v>46152</v>
      </c>
      <c r="D345" s="38" t="s">
        <v>180</v>
      </c>
      <c r="E345" s="38" t="s">
        <v>125</v>
      </c>
      <c r="F345" s="38" t="s">
        <v>100</v>
      </c>
      <c r="G345" s="38" t="s">
        <v>185</v>
      </c>
      <c r="H345" s="0" t="n">
        <v>1</v>
      </c>
      <c r="I345" s="39" t="n">
        <v>600</v>
      </c>
      <c r="J345" s="40" t="n">
        <v>0.25</v>
      </c>
      <c r="K345" s="39" t="n">
        <v>450</v>
      </c>
      <c r="L345" s="39" t="n">
        <v>350</v>
      </c>
      <c r="M345" s="39" t="n">
        <v>100</v>
      </c>
      <c r="N345" s="38" t="s">
        <v>66</v>
      </c>
      <c r="O345" s="38" t="n">
        <f aca="false">YEAR(B345)</f>
        <v>2026</v>
      </c>
      <c r="P345" s="41" t="n">
        <f aca="false">DATE(YEAR(B345),MONTH(B345),1)</f>
        <v>46143</v>
      </c>
      <c r="Q345" s="0" t="str">
        <f aca="false">INDEX(Products!$C$2:$C$16,MATCH(E345,Products!$A$2:$A$16,0))</f>
        <v>Office Supplies</v>
      </c>
      <c r="R345" s="0" t="str">
        <f aca="false">INDEX(Customers!$F$2:$F$101,MATCH(D345,Customers!$A$2:$A$101,0))</f>
        <v>West</v>
      </c>
      <c r="S345" s="0" t="str">
        <f aca="false">INDEX(Customers!$C$2:$C$101,MATCH(D345,Customers!$A$2:$A$101,0))</f>
        <v>Corporate</v>
      </c>
      <c r="T345" s="0" t="str">
        <f aca="false">INDEX(Customers!$D$2:$D$101,MATCH(D345,Customers!$A$2:$A$101,0))</f>
        <v>Mumbai</v>
      </c>
    </row>
    <row r="346" customFormat="false" ht="15" hidden="false" customHeight="false" outlineLevel="0" collapsed="false">
      <c r="A346" s="0" t="s">
        <v>613</v>
      </c>
      <c r="B346" s="37" t="n">
        <v>45997</v>
      </c>
      <c r="C346" s="37" t="n">
        <v>45999</v>
      </c>
      <c r="D346" s="38" t="s">
        <v>367</v>
      </c>
      <c r="E346" s="38" t="s">
        <v>116</v>
      </c>
      <c r="F346" s="38" t="s">
        <v>100</v>
      </c>
      <c r="G346" s="38" t="s">
        <v>170</v>
      </c>
      <c r="H346" s="0" t="n">
        <v>5</v>
      </c>
      <c r="I346" s="39" t="n">
        <v>12000</v>
      </c>
      <c r="J346" s="40" t="n">
        <v>0.05</v>
      </c>
      <c r="K346" s="39" t="n">
        <v>57000</v>
      </c>
      <c r="L346" s="39" t="n">
        <v>45000</v>
      </c>
      <c r="M346" s="39" t="n">
        <v>12000</v>
      </c>
      <c r="N346" s="38" t="s">
        <v>66</v>
      </c>
      <c r="O346" s="38" t="n">
        <f aca="false">YEAR(B346)</f>
        <v>2025</v>
      </c>
      <c r="P346" s="41" t="n">
        <f aca="false">DATE(YEAR(B346),MONTH(B346),1)</f>
        <v>45992</v>
      </c>
      <c r="Q346" s="0" t="str">
        <f aca="false">INDEX(Products!$C$2:$C$16,MATCH(E346,Products!$A$2:$A$16,0))</f>
        <v>Technology</v>
      </c>
      <c r="R346" s="0" t="str">
        <f aca="false">INDEX(Customers!$F$2:$F$101,MATCH(D346,Customers!$A$2:$A$101,0))</f>
        <v>West</v>
      </c>
      <c r="S346" s="0" t="str">
        <f aca="false">INDEX(Customers!$C$2:$C$101,MATCH(D346,Customers!$A$2:$A$101,0))</f>
        <v>Corporate</v>
      </c>
      <c r="T346" s="0" t="str">
        <f aca="false">INDEX(Customers!$D$2:$D$101,MATCH(D346,Customers!$A$2:$A$101,0))</f>
        <v>Ahmedabad</v>
      </c>
    </row>
    <row r="347" customFormat="false" ht="15" hidden="false" customHeight="false" outlineLevel="0" collapsed="false">
      <c r="A347" s="0" t="s">
        <v>614</v>
      </c>
      <c r="B347" s="37" t="n">
        <v>45376</v>
      </c>
      <c r="C347" s="37" t="n">
        <v>45379</v>
      </c>
      <c r="D347" s="38" t="s">
        <v>400</v>
      </c>
      <c r="E347" s="38" t="s">
        <v>117</v>
      </c>
      <c r="F347" s="38" t="s">
        <v>100</v>
      </c>
      <c r="G347" s="38" t="s">
        <v>178</v>
      </c>
      <c r="H347" s="0" t="n">
        <v>3</v>
      </c>
      <c r="I347" s="39" t="n">
        <v>6500</v>
      </c>
      <c r="J347" s="40" t="n">
        <v>0.2</v>
      </c>
      <c r="K347" s="39" t="n">
        <v>15600</v>
      </c>
      <c r="L347" s="39" t="n">
        <v>12600</v>
      </c>
      <c r="M347" s="39" t="n">
        <v>3000</v>
      </c>
      <c r="N347" s="38" t="s">
        <v>66</v>
      </c>
      <c r="O347" s="38" t="n">
        <f aca="false">YEAR(B347)</f>
        <v>2024</v>
      </c>
      <c r="P347" s="41" t="n">
        <f aca="false">DATE(YEAR(B347),MONTH(B347),1)</f>
        <v>45352</v>
      </c>
      <c r="Q347" s="0" t="str">
        <f aca="false">INDEX(Products!$C$2:$C$16,MATCH(E347,Products!$A$2:$A$16,0))</f>
        <v>Furniture</v>
      </c>
      <c r="R347" s="0" t="str">
        <f aca="false">INDEX(Customers!$F$2:$F$101,MATCH(D347,Customers!$A$2:$A$101,0))</f>
        <v>North</v>
      </c>
      <c r="S347" s="0" t="str">
        <f aca="false">INDEX(Customers!$C$2:$C$101,MATCH(D347,Customers!$A$2:$A$101,0))</f>
        <v>Small Business</v>
      </c>
      <c r="T347" s="0" t="str">
        <f aca="false">INDEX(Customers!$D$2:$D$101,MATCH(D347,Customers!$A$2:$A$101,0))</f>
        <v>Lucknow</v>
      </c>
    </row>
    <row r="348" customFormat="false" ht="15" hidden="false" customHeight="false" outlineLevel="0" collapsed="false">
      <c r="A348" s="0" t="s">
        <v>615</v>
      </c>
      <c r="B348" s="37" t="n">
        <v>46008</v>
      </c>
      <c r="C348" s="37" t="n">
        <v>46015</v>
      </c>
      <c r="D348" s="38" t="s">
        <v>257</v>
      </c>
      <c r="E348" s="38" t="s">
        <v>124</v>
      </c>
      <c r="F348" s="38" t="s">
        <v>100</v>
      </c>
      <c r="G348" s="38" t="s">
        <v>178</v>
      </c>
      <c r="H348" s="0" t="n">
        <v>1</v>
      </c>
      <c r="I348" s="39" t="n">
        <v>3000</v>
      </c>
      <c r="J348" s="40" t="n">
        <v>0.2</v>
      </c>
      <c r="K348" s="39" t="n">
        <v>2400</v>
      </c>
      <c r="L348" s="39" t="n">
        <v>1900</v>
      </c>
      <c r="M348" s="39" t="n">
        <v>500</v>
      </c>
      <c r="N348" s="38" t="s">
        <v>66</v>
      </c>
      <c r="O348" s="38" t="n">
        <f aca="false">YEAR(B348)</f>
        <v>2025</v>
      </c>
      <c r="P348" s="41" t="n">
        <f aca="false">DATE(YEAR(B348),MONTH(B348),1)</f>
        <v>45992</v>
      </c>
      <c r="Q348" s="0" t="str">
        <f aca="false">INDEX(Products!$C$2:$C$16,MATCH(E348,Products!$A$2:$A$16,0))</f>
        <v>Technology</v>
      </c>
      <c r="R348" s="0" t="str">
        <f aca="false">INDEX(Customers!$F$2:$F$101,MATCH(D348,Customers!$A$2:$A$101,0))</f>
        <v>West</v>
      </c>
      <c r="S348" s="0" t="str">
        <f aca="false">INDEX(Customers!$C$2:$C$101,MATCH(D348,Customers!$A$2:$A$101,0))</f>
        <v>Consumer</v>
      </c>
      <c r="T348" s="0" t="str">
        <f aca="false">INDEX(Customers!$D$2:$D$101,MATCH(D348,Customers!$A$2:$A$101,0))</f>
        <v>Pune</v>
      </c>
    </row>
    <row r="349" customFormat="false" ht="15" hidden="false" customHeight="false" outlineLevel="0" collapsed="false">
      <c r="A349" s="0" t="s">
        <v>616</v>
      </c>
      <c r="B349" s="37" t="n">
        <v>45427</v>
      </c>
      <c r="C349" s="37" t="n">
        <v>45432</v>
      </c>
      <c r="D349" s="38" t="s">
        <v>249</v>
      </c>
      <c r="E349" s="38" t="s">
        <v>114</v>
      </c>
      <c r="F349" s="38" t="s">
        <v>101</v>
      </c>
      <c r="G349" s="38" t="s">
        <v>178</v>
      </c>
      <c r="H349" s="0" t="n">
        <v>1</v>
      </c>
      <c r="I349" s="39" t="n">
        <v>800</v>
      </c>
      <c r="J349" s="40" t="n">
        <v>0.2</v>
      </c>
      <c r="K349" s="39" t="n">
        <v>640</v>
      </c>
      <c r="L349" s="39" t="n">
        <v>420</v>
      </c>
      <c r="M349" s="39" t="n">
        <v>220</v>
      </c>
      <c r="N349" s="38" t="s">
        <v>66</v>
      </c>
      <c r="O349" s="38" t="n">
        <f aca="false">YEAR(B349)</f>
        <v>2024</v>
      </c>
      <c r="P349" s="41" t="n">
        <f aca="false">DATE(YEAR(B349),MONTH(B349),1)</f>
        <v>45413</v>
      </c>
      <c r="Q349" s="0" t="str">
        <f aca="false">INDEX(Products!$C$2:$C$16,MATCH(E349,Products!$A$2:$A$16,0))</f>
        <v>Technology</v>
      </c>
      <c r="R349" s="0" t="str">
        <f aca="false">INDEX(Customers!$F$2:$F$101,MATCH(D349,Customers!$A$2:$A$101,0))</f>
        <v>East</v>
      </c>
      <c r="S349" s="0" t="str">
        <f aca="false">INDEX(Customers!$C$2:$C$101,MATCH(D349,Customers!$A$2:$A$101,0))</f>
        <v>Consumer</v>
      </c>
      <c r="T349" s="0" t="str">
        <f aca="false">INDEX(Customers!$D$2:$D$101,MATCH(D349,Customers!$A$2:$A$101,0))</f>
        <v>Kolkata</v>
      </c>
    </row>
    <row r="350" customFormat="false" ht="15" hidden="false" customHeight="false" outlineLevel="0" collapsed="false">
      <c r="A350" s="0" t="s">
        <v>617</v>
      </c>
      <c r="B350" s="37" t="n">
        <v>45415</v>
      </c>
      <c r="C350" s="37" t="n">
        <v>45422</v>
      </c>
      <c r="D350" s="38" t="s">
        <v>206</v>
      </c>
      <c r="E350" s="38" t="s">
        <v>126</v>
      </c>
      <c r="F350" s="38" t="s">
        <v>101</v>
      </c>
      <c r="G350" s="38" t="s">
        <v>178</v>
      </c>
      <c r="H350" s="0" t="n">
        <v>2</v>
      </c>
      <c r="I350" s="39" t="n">
        <v>1200</v>
      </c>
      <c r="J350" s="40" t="n">
        <v>0</v>
      </c>
      <c r="K350" s="39" t="n">
        <v>2400</v>
      </c>
      <c r="L350" s="39" t="n">
        <v>1400</v>
      </c>
      <c r="M350" s="39" t="n">
        <v>1000</v>
      </c>
      <c r="N350" s="38" t="s">
        <v>66</v>
      </c>
      <c r="O350" s="38" t="n">
        <f aca="false">YEAR(B350)</f>
        <v>2024</v>
      </c>
      <c r="P350" s="41" t="n">
        <f aca="false">DATE(YEAR(B350),MONTH(B350),1)</f>
        <v>45413</v>
      </c>
      <c r="Q350" s="0" t="str">
        <f aca="false">INDEX(Products!$C$2:$C$16,MATCH(E350,Products!$A$2:$A$16,0))</f>
        <v>Furniture</v>
      </c>
      <c r="R350" s="0" t="str">
        <f aca="false">INDEX(Customers!$F$2:$F$101,MATCH(D350,Customers!$A$2:$A$101,0))</f>
        <v>West</v>
      </c>
      <c r="S350" s="0" t="str">
        <f aca="false">INDEX(Customers!$C$2:$C$101,MATCH(D350,Customers!$A$2:$A$101,0))</f>
        <v>Corporate</v>
      </c>
      <c r="T350" s="0" t="str">
        <f aca="false">INDEX(Customers!$D$2:$D$101,MATCH(D350,Customers!$A$2:$A$101,0))</f>
        <v>Pune</v>
      </c>
    </row>
    <row r="351" customFormat="false" ht="15" hidden="false" customHeight="false" outlineLevel="0" collapsed="false">
      <c r="A351" s="0" t="s">
        <v>618</v>
      </c>
      <c r="B351" s="37" t="n">
        <v>46117</v>
      </c>
      <c r="C351" s="37" t="n">
        <v>46118</v>
      </c>
      <c r="D351" s="38" t="s">
        <v>283</v>
      </c>
      <c r="E351" s="38" t="s">
        <v>124</v>
      </c>
      <c r="F351" s="38" t="s">
        <v>101</v>
      </c>
      <c r="G351" s="38" t="s">
        <v>173</v>
      </c>
      <c r="H351" s="0" t="n">
        <v>1</v>
      </c>
      <c r="I351" s="39" t="n">
        <v>3000</v>
      </c>
      <c r="J351" s="40" t="n">
        <v>0.05</v>
      </c>
      <c r="K351" s="39" t="n">
        <v>2850</v>
      </c>
      <c r="L351" s="39" t="n">
        <v>1900</v>
      </c>
      <c r="M351" s="39" t="n">
        <v>950</v>
      </c>
      <c r="N351" s="38" t="s">
        <v>66</v>
      </c>
      <c r="O351" s="38" t="n">
        <f aca="false">YEAR(B351)</f>
        <v>2026</v>
      </c>
      <c r="P351" s="41" t="n">
        <f aca="false">DATE(YEAR(B351),MONTH(B351),1)</f>
        <v>46113</v>
      </c>
      <c r="Q351" s="0" t="str">
        <f aca="false">INDEX(Products!$C$2:$C$16,MATCH(E351,Products!$A$2:$A$16,0))</f>
        <v>Technology</v>
      </c>
      <c r="R351" s="0" t="str">
        <f aca="false">INDEX(Customers!$F$2:$F$101,MATCH(D351,Customers!$A$2:$A$101,0))</f>
        <v>West</v>
      </c>
      <c r="S351" s="0" t="str">
        <f aca="false">INDEX(Customers!$C$2:$C$101,MATCH(D351,Customers!$A$2:$A$101,0))</f>
        <v>Small Business</v>
      </c>
      <c r="T351" s="0" t="str">
        <f aca="false">INDEX(Customers!$D$2:$D$101,MATCH(D351,Customers!$A$2:$A$101,0))</f>
        <v>Mumbai</v>
      </c>
    </row>
    <row r="352" customFormat="false" ht="15" hidden="false" customHeight="false" outlineLevel="0" collapsed="false">
      <c r="A352" s="0" t="s">
        <v>619</v>
      </c>
      <c r="B352" s="37" t="n">
        <v>45428</v>
      </c>
      <c r="C352" s="37" t="n">
        <v>45434</v>
      </c>
      <c r="D352" s="38" t="s">
        <v>192</v>
      </c>
      <c r="E352" s="38" t="s">
        <v>126</v>
      </c>
      <c r="F352" s="38" t="s">
        <v>100</v>
      </c>
      <c r="G352" s="38" t="s">
        <v>188</v>
      </c>
      <c r="H352" s="0" t="n">
        <v>10</v>
      </c>
      <c r="I352" s="39" t="n">
        <v>1200</v>
      </c>
      <c r="J352" s="40" t="n">
        <v>0</v>
      </c>
      <c r="K352" s="39" t="n">
        <v>12000</v>
      </c>
      <c r="L352" s="39" t="n">
        <v>7000</v>
      </c>
      <c r="M352" s="39" t="n">
        <v>5000</v>
      </c>
      <c r="N352" s="38" t="s">
        <v>66</v>
      </c>
      <c r="O352" s="38" t="n">
        <f aca="false">YEAR(B352)</f>
        <v>2024</v>
      </c>
      <c r="P352" s="41" t="n">
        <f aca="false">DATE(YEAR(B352),MONTH(B352),1)</f>
        <v>45413</v>
      </c>
      <c r="Q352" s="0" t="str">
        <f aca="false">INDEX(Products!$C$2:$C$16,MATCH(E352,Products!$A$2:$A$16,0))</f>
        <v>Furniture</v>
      </c>
      <c r="R352" s="0" t="str">
        <f aca="false">INDEX(Customers!$F$2:$F$101,MATCH(D352,Customers!$A$2:$A$101,0))</f>
        <v>East</v>
      </c>
      <c r="S352" s="0" t="str">
        <f aca="false">INDEX(Customers!$C$2:$C$101,MATCH(D352,Customers!$A$2:$A$101,0))</f>
        <v>Small Business</v>
      </c>
      <c r="T352" s="0" t="str">
        <f aca="false">INDEX(Customers!$D$2:$D$101,MATCH(D352,Customers!$A$2:$A$101,0))</f>
        <v>Bhubaneswar</v>
      </c>
    </row>
    <row r="353" customFormat="false" ht="15" hidden="false" customHeight="false" outlineLevel="0" collapsed="false">
      <c r="A353" s="0" t="s">
        <v>620</v>
      </c>
      <c r="B353" s="37" t="n">
        <v>45460</v>
      </c>
      <c r="C353" s="37" t="n">
        <v>45464</v>
      </c>
      <c r="D353" s="38" t="s">
        <v>621</v>
      </c>
      <c r="E353" s="38" t="s">
        <v>123</v>
      </c>
      <c r="F353" s="38" t="s">
        <v>102</v>
      </c>
      <c r="G353" s="38" t="s">
        <v>173</v>
      </c>
      <c r="H353" s="0" t="n">
        <v>2</v>
      </c>
      <c r="I353" s="39" t="n">
        <v>2200</v>
      </c>
      <c r="J353" s="40" t="n">
        <v>0</v>
      </c>
      <c r="K353" s="39" t="n">
        <v>4400</v>
      </c>
      <c r="L353" s="39" t="n">
        <v>2600</v>
      </c>
      <c r="M353" s="39" t="n">
        <v>1800</v>
      </c>
      <c r="N353" s="38" t="s">
        <v>146</v>
      </c>
      <c r="O353" s="38" t="n">
        <f aca="false">YEAR(B353)</f>
        <v>2024</v>
      </c>
      <c r="P353" s="41" t="n">
        <f aca="false">DATE(YEAR(B353),MONTH(B353),1)</f>
        <v>45444</v>
      </c>
      <c r="Q353" s="0" t="str">
        <f aca="false">INDEX(Products!$C$2:$C$16,MATCH(E353,Products!$A$2:$A$16,0))</f>
        <v>Technology</v>
      </c>
      <c r="R353" s="0" t="str">
        <f aca="false">INDEX(Customers!$F$2:$F$101,MATCH(D353,Customers!$A$2:$A$101,0))</f>
        <v>East</v>
      </c>
      <c r="S353" s="0" t="str">
        <f aca="false">INDEX(Customers!$C$2:$C$101,MATCH(D353,Customers!$A$2:$A$101,0))</f>
        <v>Corporate</v>
      </c>
      <c r="T353" s="0" t="str">
        <f aca="false">INDEX(Customers!$D$2:$D$101,MATCH(D353,Customers!$A$2:$A$101,0))</f>
        <v>Bhubaneswar</v>
      </c>
    </row>
    <row r="354" customFormat="false" ht="15" hidden="false" customHeight="false" outlineLevel="0" collapsed="false">
      <c r="A354" s="0" t="s">
        <v>622</v>
      </c>
      <c r="B354" s="37" t="n">
        <v>45745</v>
      </c>
      <c r="C354" s="37" t="n">
        <v>45752</v>
      </c>
      <c r="D354" s="38" t="s">
        <v>621</v>
      </c>
      <c r="E354" s="38" t="s">
        <v>123</v>
      </c>
      <c r="F354" s="38" t="s">
        <v>100</v>
      </c>
      <c r="G354" s="38" t="s">
        <v>178</v>
      </c>
      <c r="H354" s="0" t="n">
        <v>1</v>
      </c>
      <c r="I354" s="39" t="n">
        <v>2200</v>
      </c>
      <c r="J354" s="40" t="n">
        <v>0</v>
      </c>
      <c r="K354" s="39" t="n">
        <v>2200</v>
      </c>
      <c r="L354" s="39" t="n">
        <v>1300</v>
      </c>
      <c r="M354" s="39" t="n">
        <v>900</v>
      </c>
      <c r="N354" s="38" t="s">
        <v>66</v>
      </c>
      <c r="O354" s="38" t="n">
        <f aca="false">YEAR(B354)</f>
        <v>2025</v>
      </c>
      <c r="P354" s="41" t="n">
        <f aca="false">DATE(YEAR(B354),MONTH(B354),1)</f>
        <v>45717</v>
      </c>
      <c r="Q354" s="0" t="str">
        <f aca="false">INDEX(Products!$C$2:$C$16,MATCH(E354,Products!$A$2:$A$16,0))</f>
        <v>Technology</v>
      </c>
      <c r="R354" s="0" t="str">
        <f aca="false">INDEX(Customers!$F$2:$F$101,MATCH(D354,Customers!$A$2:$A$101,0))</f>
        <v>East</v>
      </c>
      <c r="S354" s="0" t="str">
        <f aca="false">INDEX(Customers!$C$2:$C$101,MATCH(D354,Customers!$A$2:$A$101,0))</f>
        <v>Corporate</v>
      </c>
      <c r="T354" s="0" t="str">
        <f aca="false">INDEX(Customers!$D$2:$D$101,MATCH(D354,Customers!$A$2:$A$101,0))</f>
        <v>Bhubaneswar</v>
      </c>
    </row>
    <row r="355" customFormat="false" ht="15" hidden="false" customHeight="false" outlineLevel="0" collapsed="false">
      <c r="A355" s="0" t="s">
        <v>623</v>
      </c>
      <c r="B355" s="37" t="n">
        <v>46278</v>
      </c>
      <c r="C355" s="37" t="n">
        <v>46282</v>
      </c>
      <c r="D355" s="38" t="s">
        <v>473</v>
      </c>
      <c r="E355" s="38" t="s">
        <v>118</v>
      </c>
      <c r="F355" s="38" t="s">
        <v>100</v>
      </c>
      <c r="G355" s="38" t="s">
        <v>170</v>
      </c>
      <c r="H355" s="0" t="n">
        <v>2</v>
      </c>
      <c r="I355" s="39" t="n">
        <v>9000</v>
      </c>
      <c r="J355" s="40" t="n">
        <v>0</v>
      </c>
      <c r="K355" s="39" t="n">
        <v>18000</v>
      </c>
      <c r="L355" s="39" t="n">
        <v>13000</v>
      </c>
      <c r="M355" s="39" t="n">
        <v>5000</v>
      </c>
      <c r="N355" s="38" t="s">
        <v>66</v>
      </c>
      <c r="O355" s="38" t="n">
        <f aca="false">YEAR(B355)</f>
        <v>2026</v>
      </c>
      <c r="P355" s="41" t="n">
        <f aca="false">DATE(YEAR(B355),MONTH(B355),1)</f>
        <v>46266</v>
      </c>
      <c r="Q355" s="0" t="str">
        <f aca="false">INDEX(Products!$C$2:$C$16,MATCH(E355,Products!$A$2:$A$16,0))</f>
        <v>Furniture</v>
      </c>
      <c r="R355" s="0" t="str">
        <f aca="false">INDEX(Customers!$F$2:$F$101,MATCH(D355,Customers!$A$2:$A$101,0))</f>
        <v>North</v>
      </c>
      <c r="S355" s="0" t="str">
        <f aca="false">INDEX(Customers!$C$2:$C$101,MATCH(D355,Customers!$A$2:$A$101,0))</f>
        <v>Consumer</v>
      </c>
      <c r="T355" s="0" t="str">
        <f aca="false">INDEX(Customers!$D$2:$D$101,MATCH(D355,Customers!$A$2:$A$101,0))</f>
        <v>Gurugram</v>
      </c>
    </row>
    <row r="356" customFormat="false" ht="15" hidden="false" customHeight="false" outlineLevel="0" collapsed="false">
      <c r="A356" s="0" t="s">
        <v>624</v>
      </c>
      <c r="B356" s="37" t="n">
        <v>45907</v>
      </c>
      <c r="C356" s="37" t="n">
        <v>45912</v>
      </c>
      <c r="D356" s="38" t="s">
        <v>230</v>
      </c>
      <c r="E356" s="38" t="s">
        <v>121</v>
      </c>
      <c r="F356" s="38" t="s">
        <v>102</v>
      </c>
      <c r="G356" s="38" t="s">
        <v>178</v>
      </c>
      <c r="H356" s="0" t="n">
        <v>4</v>
      </c>
      <c r="I356" s="39" t="n">
        <v>180</v>
      </c>
      <c r="J356" s="40" t="n">
        <v>0.05</v>
      </c>
      <c r="K356" s="39" t="n">
        <v>684</v>
      </c>
      <c r="L356" s="39" t="n">
        <v>280</v>
      </c>
      <c r="M356" s="39" t="n">
        <v>404</v>
      </c>
      <c r="N356" s="38" t="s">
        <v>66</v>
      </c>
      <c r="O356" s="38" t="n">
        <f aca="false">YEAR(B356)</f>
        <v>2025</v>
      </c>
      <c r="P356" s="41" t="n">
        <f aca="false">DATE(YEAR(B356),MONTH(B356),1)</f>
        <v>45901</v>
      </c>
      <c r="Q356" s="0" t="str">
        <f aca="false">INDEX(Products!$C$2:$C$16,MATCH(E356,Products!$A$2:$A$16,0))</f>
        <v>Office Supplies</v>
      </c>
      <c r="R356" s="0" t="str">
        <f aca="false">INDEX(Customers!$F$2:$F$101,MATCH(D356,Customers!$A$2:$A$101,0))</f>
        <v>East</v>
      </c>
      <c r="S356" s="0" t="str">
        <f aca="false">INDEX(Customers!$C$2:$C$101,MATCH(D356,Customers!$A$2:$A$101,0))</f>
        <v>Consumer</v>
      </c>
      <c r="T356" s="0" t="str">
        <f aca="false">INDEX(Customers!$D$2:$D$101,MATCH(D356,Customers!$A$2:$A$101,0))</f>
        <v>Kolkata</v>
      </c>
    </row>
    <row r="357" customFormat="false" ht="15" hidden="false" customHeight="false" outlineLevel="0" collapsed="false">
      <c r="A357" s="0" t="s">
        <v>625</v>
      </c>
      <c r="B357" s="37" t="n">
        <v>45600</v>
      </c>
      <c r="C357" s="37" t="n">
        <v>45602</v>
      </c>
      <c r="D357" s="38" t="s">
        <v>522</v>
      </c>
      <c r="E357" s="38" t="s">
        <v>127</v>
      </c>
      <c r="F357" s="38" t="s">
        <v>100</v>
      </c>
      <c r="G357" s="38" t="s">
        <v>185</v>
      </c>
      <c r="H357" s="0" t="n">
        <v>2</v>
      </c>
      <c r="I357" s="39" t="n">
        <v>18000</v>
      </c>
      <c r="J357" s="40" t="n">
        <v>0.15</v>
      </c>
      <c r="K357" s="39" t="n">
        <v>30600</v>
      </c>
      <c r="L357" s="39" t="n">
        <v>28000</v>
      </c>
      <c r="M357" s="39" t="n">
        <v>2600</v>
      </c>
      <c r="N357" s="38" t="s">
        <v>66</v>
      </c>
      <c r="O357" s="38" t="n">
        <f aca="false">YEAR(B357)</f>
        <v>2024</v>
      </c>
      <c r="P357" s="41" t="n">
        <f aca="false">DATE(YEAR(B357),MONTH(B357),1)</f>
        <v>45597</v>
      </c>
      <c r="Q357" s="0" t="str">
        <f aca="false">INDEX(Products!$C$2:$C$16,MATCH(E357,Products!$A$2:$A$16,0))</f>
        <v>Technology</v>
      </c>
      <c r="R357" s="0" t="str">
        <f aca="false">INDEX(Customers!$F$2:$F$101,MATCH(D357,Customers!$A$2:$A$101,0))</f>
        <v>West</v>
      </c>
      <c r="S357" s="0" t="str">
        <f aca="false">INDEX(Customers!$C$2:$C$101,MATCH(D357,Customers!$A$2:$A$101,0))</f>
        <v>Consumer</v>
      </c>
      <c r="T357" s="0" t="str">
        <f aca="false">INDEX(Customers!$D$2:$D$101,MATCH(D357,Customers!$A$2:$A$101,0))</f>
        <v>Ahmedabad</v>
      </c>
    </row>
    <row r="358" customFormat="false" ht="15" hidden="false" customHeight="false" outlineLevel="0" collapsed="false">
      <c r="A358" s="0" t="s">
        <v>626</v>
      </c>
      <c r="B358" s="37" t="n">
        <v>46211</v>
      </c>
      <c r="C358" s="37" t="n">
        <v>46218</v>
      </c>
      <c r="D358" s="38" t="s">
        <v>278</v>
      </c>
      <c r="E358" s="38" t="s">
        <v>125</v>
      </c>
      <c r="F358" s="38" t="s">
        <v>101</v>
      </c>
      <c r="G358" s="38" t="s">
        <v>178</v>
      </c>
      <c r="H358" s="0" t="n">
        <v>8</v>
      </c>
      <c r="I358" s="39" t="n">
        <v>600</v>
      </c>
      <c r="J358" s="40" t="n">
        <v>0.1</v>
      </c>
      <c r="K358" s="39" t="n">
        <v>4320</v>
      </c>
      <c r="L358" s="39" t="n">
        <v>2800</v>
      </c>
      <c r="M358" s="39" t="n">
        <v>1520</v>
      </c>
      <c r="N358" s="38" t="s">
        <v>66</v>
      </c>
      <c r="O358" s="38" t="n">
        <f aca="false">YEAR(B358)</f>
        <v>2026</v>
      </c>
      <c r="P358" s="41" t="n">
        <f aca="false">DATE(YEAR(B358),MONTH(B358),1)</f>
        <v>46204</v>
      </c>
      <c r="Q358" s="0" t="str">
        <f aca="false">INDEX(Products!$C$2:$C$16,MATCH(E358,Products!$A$2:$A$16,0))</f>
        <v>Office Supplies</v>
      </c>
      <c r="R358" s="0" t="str">
        <f aca="false">INDEX(Customers!$F$2:$F$101,MATCH(D358,Customers!$A$2:$A$101,0))</f>
        <v>South</v>
      </c>
      <c r="S358" s="0" t="str">
        <f aca="false">INDEX(Customers!$C$2:$C$101,MATCH(D358,Customers!$A$2:$A$101,0))</f>
        <v>Consumer</v>
      </c>
      <c r="T358" s="0" t="str">
        <f aca="false">INDEX(Customers!$D$2:$D$101,MATCH(D358,Customers!$A$2:$A$101,0))</f>
        <v>Hyderabad</v>
      </c>
    </row>
    <row r="359" customFormat="false" ht="15" hidden="false" customHeight="false" outlineLevel="0" collapsed="false">
      <c r="A359" s="0" t="s">
        <v>627</v>
      </c>
      <c r="B359" s="37" t="n">
        <v>45364</v>
      </c>
      <c r="C359" s="37" t="n">
        <v>45369</v>
      </c>
      <c r="D359" s="38" t="s">
        <v>348</v>
      </c>
      <c r="E359" s="38" t="s">
        <v>122</v>
      </c>
      <c r="F359" s="38" t="s">
        <v>101</v>
      </c>
      <c r="G359" s="38" t="s">
        <v>170</v>
      </c>
      <c r="H359" s="0" t="n">
        <v>5</v>
      </c>
      <c r="I359" s="39" t="n">
        <v>5500</v>
      </c>
      <c r="J359" s="40" t="n">
        <v>0</v>
      </c>
      <c r="K359" s="39" t="n">
        <v>27500</v>
      </c>
      <c r="L359" s="39" t="n">
        <v>18500</v>
      </c>
      <c r="M359" s="39" t="n">
        <v>9000</v>
      </c>
      <c r="N359" s="38" t="s">
        <v>66</v>
      </c>
      <c r="O359" s="38" t="n">
        <f aca="false">YEAR(B359)</f>
        <v>2024</v>
      </c>
      <c r="P359" s="41" t="n">
        <f aca="false">DATE(YEAR(B359),MONTH(B359),1)</f>
        <v>45352</v>
      </c>
      <c r="Q359" s="0" t="str">
        <f aca="false">INDEX(Products!$C$2:$C$16,MATCH(E359,Products!$A$2:$A$16,0))</f>
        <v>Furniture</v>
      </c>
      <c r="R359" s="0" t="str">
        <f aca="false">INDEX(Customers!$F$2:$F$101,MATCH(D359,Customers!$A$2:$A$101,0))</f>
        <v>East</v>
      </c>
      <c r="S359" s="0" t="str">
        <f aca="false">INDEX(Customers!$C$2:$C$101,MATCH(D359,Customers!$A$2:$A$101,0))</f>
        <v>Corporate</v>
      </c>
      <c r="T359" s="0" t="str">
        <f aca="false">INDEX(Customers!$D$2:$D$101,MATCH(D359,Customers!$A$2:$A$101,0))</f>
        <v>Kolkata</v>
      </c>
    </row>
    <row r="360" customFormat="false" ht="15" hidden="false" customHeight="false" outlineLevel="0" collapsed="false">
      <c r="A360" s="0" t="s">
        <v>628</v>
      </c>
      <c r="B360" s="37" t="n">
        <v>45666</v>
      </c>
      <c r="C360" s="37" t="n">
        <v>45671</v>
      </c>
      <c r="D360" s="38" t="s">
        <v>224</v>
      </c>
      <c r="E360" s="38" t="s">
        <v>119</v>
      </c>
      <c r="F360" s="38" t="s">
        <v>101</v>
      </c>
      <c r="G360" s="38" t="s">
        <v>178</v>
      </c>
      <c r="H360" s="0" t="n">
        <v>3</v>
      </c>
      <c r="I360" s="39" t="n">
        <v>250</v>
      </c>
      <c r="J360" s="40" t="n">
        <v>0.25</v>
      </c>
      <c r="K360" s="39" t="n">
        <v>562.5</v>
      </c>
      <c r="L360" s="39" t="n">
        <v>360</v>
      </c>
      <c r="M360" s="39" t="n">
        <v>202.5</v>
      </c>
      <c r="N360" s="38" t="s">
        <v>66</v>
      </c>
      <c r="O360" s="38" t="n">
        <f aca="false">YEAR(B360)</f>
        <v>2025</v>
      </c>
      <c r="P360" s="41" t="n">
        <f aca="false">DATE(YEAR(B360),MONTH(B360),1)</f>
        <v>45658</v>
      </c>
      <c r="Q360" s="0" t="str">
        <f aca="false">INDEX(Products!$C$2:$C$16,MATCH(E360,Products!$A$2:$A$16,0))</f>
        <v>Office Supplies</v>
      </c>
      <c r="R360" s="0" t="str">
        <f aca="false">INDEX(Customers!$F$2:$F$101,MATCH(D360,Customers!$A$2:$A$101,0))</f>
        <v>North</v>
      </c>
      <c r="S360" s="0" t="str">
        <f aca="false">INDEX(Customers!$C$2:$C$101,MATCH(D360,Customers!$A$2:$A$101,0))</f>
        <v>Small Business</v>
      </c>
      <c r="T360" s="0" t="str">
        <f aca="false">INDEX(Customers!$D$2:$D$101,MATCH(D360,Customers!$A$2:$A$101,0))</f>
        <v>Jaipur</v>
      </c>
    </row>
    <row r="361" customFormat="false" ht="15" hidden="false" customHeight="false" outlineLevel="0" collapsed="false">
      <c r="A361" s="0" t="s">
        <v>629</v>
      </c>
      <c r="B361" s="37" t="n">
        <v>45560</v>
      </c>
      <c r="C361" s="37" t="n">
        <v>45562</v>
      </c>
      <c r="D361" s="38" t="s">
        <v>326</v>
      </c>
      <c r="E361" s="38" t="s">
        <v>113</v>
      </c>
      <c r="F361" s="38" t="s">
        <v>101</v>
      </c>
      <c r="G361" s="38" t="s">
        <v>188</v>
      </c>
      <c r="H361" s="0" t="n">
        <v>1</v>
      </c>
      <c r="I361" s="39" t="n">
        <v>45000</v>
      </c>
      <c r="J361" s="40" t="n">
        <v>0</v>
      </c>
      <c r="K361" s="39" t="n">
        <v>45000</v>
      </c>
      <c r="L361" s="39" t="n">
        <v>36000</v>
      </c>
      <c r="M361" s="39" t="n">
        <v>9000</v>
      </c>
      <c r="N361" s="38" t="s">
        <v>66</v>
      </c>
      <c r="O361" s="38" t="n">
        <f aca="false">YEAR(B361)</f>
        <v>2024</v>
      </c>
      <c r="P361" s="41" t="n">
        <f aca="false">DATE(YEAR(B361),MONTH(B361),1)</f>
        <v>45536</v>
      </c>
      <c r="Q361" s="0" t="str">
        <f aca="false">INDEX(Products!$C$2:$C$16,MATCH(E361,Products!$A$2:$A$16,0))</f>
        <v>Technology</v>
      </c>
      <c r="R361" s="0" t="str">
        <f aca="false">INDEX(Customers!$F$2:$F$101,MATCH(D361,Customers!$A$2:$A$101,0))</f>
        <v>North</v>
      </c>
      <c r="S361" s="0" t="str">
        <f aca="false">INDEX(Customers!$C$2:$C$101,MATCH(D361,Customers!$A$2:$A$101,0))</f>
        <v>Consumer</v>
      </c>
      <c r="T361" s="0" t="str">
        <f aca="false">INDEX(Customers!$D$2:$D$101,MATCH(D361,Customers!$A$2:$A$101,0))</f>
        <v>Gurugram</v>
      </c>
    </row>
    <row r="362" customFormat="false" ht="15" hidden="false" customHeight="false" outlineLevel="0" collapsed="false">
      <c r="A362" s="0" t="s">
        <v>630</v>
      </c>
      <c r="B362" s="37" t="n">
        <v>46077</v>
      </c>
      <c r="C362" s="37" t="n">
        <v>46081</v>
      </c>
      <c r="D362" s="38" t="s">
        <v>285</v>
      </c>
      <c r="E362" s="38" t="s">
        <v>121</v>
      </c>
      <c r="F362" s="38" t="s">
        <v>100</v>
      </c>
      <c r="G362" s="38" t="s">
        <v>188</v>
      </c>
      <c r="H362" s="0" t="n">
        <v>2</v>
      </c>
      <c r="I362" s="39" t="n">
        <v>180</v>
      </c>
      <c r="J362" s="40" t="n">
        <v>0.1</v>
      </c>
      <c r="K362" s="39" t="n">
        <v>324</v>
      </c>
      <c r="L362" s="39" t="n">
        <v>140</v>
      </c>
      <c r="M362" s="39" t="n">
        <v>184</v>
      </c>
      <c r="N362" s="38" t="s">
        <v>66</v>
      </c>
      <c r="O362" s="38" t="n">
        <f aca="false">YEAR(B362)</f>
        <v>2026</v>
      </c>
      <c r="P362" s="41" t="n">
        <f aca="false">DATE(YEAR(B362),MONTH(B362),1)</f>
        <v>46054</v>
      </c>
      <c r="Q362" s="0" t="str">
        <f aca="false">INDEX(Products!$C$2:$C$16,MATCH(E362,Products!$A$2:$A$16,0))</f>
        <v>Office Supplies</v>
      </c>
      <c r="R362" s="0" t="str">
        <f aca="false">INDEX(Customers!$F$2:$F$101,MATCH(D362,Customers!$A$2:$A$101,0))</f>
        <v>South</v>
      </c>
      <c r="S362" s="0" t="str">
        <f aca="false">INDEX(Customers!$C$2:$C$101,MATCH(D362,Customers!$A$2:$A$101,0))</f>
        <v>Small Business</v>
      </c>
      <c r="T362" s="0" t="str">
        <f aca="false">INDEX(Customers!$D$2:$D$101,MATCH(D362,Customers!$A$2:$A$101,0))</f>
        <v>Hyderabad</v>
      </c>
    </row>
    <row r="363" customFormat="false" ht="15" hidden="false" customHeight="false" outlineLevel="0" collapsed="false">
      <c r="A363" s="0" t="s">
        <v>631</v>
      </c>
      <c r="B363" s="37" t="n">
        <v>45377</v>
      </c>
      <c r="C363" s="37" t="n">
        <v>45380</v>
      </c>
      <c r="D363" s="38" t="s">
        <v>331</v>
      </c>
      <c r="E363" s="38" t="s">
        <v>117</v>
      </c>
      <c r="F363" s="38" t="s">
        <v>100</v>
      </c>
      <c r="G363" s="38" t="s">
        <v>188</v>
      </c>
      <c r="H363" s="0" t="n">
        <v>1</v>
      </c>
      <c r="I363" s="39" t="n">
        <v>6500</v>
      </c>
      <c r="J363" s="40" t="n">
        <v>0</v>
      </c>
      <c r="K363" s="39" t="n">
        <v>6500</v>
      </c>
      <c r="L363" s="39" t="n">
        <v>4200</v>
      </c>
      <c r="M363" s="39" t="n">
        <v>2300</v>
      </c>
      <c r="N363" s="38" t="s">
        <v>66</v>
      </c>
      <c r="O363" s="38" t="n">
        <f aca="false">YEAR(B363)</f>
        <v>2024</v>
      </c>
      <c r="P363" s="41" t="n">
        <f aca="false">DATE(YEAR(B363),MONTH(B363),1)</f>
        <v>45352</v>
      </c>
      <c r="Q363" s="0" t="str">
        <f aca="false">INDEX(Products!$C$2:$C$16,MATCH(E363,Products!$A$2:$A$16,0))</f>
        <v>Furniture</v>
      </c>
      <c r="R363" s="0" t="str">
        <f aca="false">INDEX(Customers!$F$2:$F$101,MATCH(D363,Customers!$A$2:$A$101,0))</f>
        <v>North</v>
      </c>
      <c r="S363" s="0" t="str">
        <f aca="false">INDEX(Customers!$C$2:$C$101,MATCH(D363,Customers!$A$2:$A$101,0))</f>
        <v>Corporate</v>
      </c>
      <c r="T363" s="0" t="str">
        <f aca="false">INDEX(Customers!$D$2:$D$101,MATCH(D363,Customers!$A$2:$A$101,0))</f>
        <v>Delhi</v>
      </c>
    </row>
    <row r="364" customFormat="false" ht="15" hidden="false" customHeight="false" outlineLevel="0" collapsed="false">
      <c r="A364" s="0" t="s">
        <v>632</v>
      </c>
      <c r="B364" s="37" t="n">
        <v>46073</v>
      </c>
      <c r="C364" s="37" t="n">
        <v>46080</v>
      </c>
      <c r="D364" s="38" t="s">
        <v>244</v>
      </c>
      <c r="E364" s="38" t="s">
        <v>123</v>
      </c>
      <c r="F364" s="38" t="s">
        <v>100</v>
      </c>
      <c r="G364" s="38" t="s">
        <v>170</v>
      </c>
      <c r="H364" s="0" t="n">
        <v>3</v>
      </c>
      <c r="I364" s="39" t="n">
        <v>2200</v>
      </c>
      <c r="J364" s="40" t="n">
        <v>0.2</v>
      </c>
      <c r="K364" s="39" t="n">
        <v>5280</v>
      </c>
      <c r="L364" s="39" t="n">
        <v>3900</v>
      </c>
      <c r="M364" s="39" t="n">
        <v>1380</v>
      </c>
      <c r="N364" s="38" t="s">
        <v>66</v>
      </c>
      <c r="O364" s="38" t="n">
        <f aca="false">YEAR(B364)</f>
        <v>2026</v>
      </c>
      <c r="P364" s="41" t="n">
        <f aca="false">DATE(YEAR(B364),MONTH(B364),1)</f>
        <v>46054</v>
      </c>
      <c r="Q364" s="0" t="str">
        <f aca="false">INDEX(Products!$C$2:$C$16,MATCH(E364,Products!$A$2:$A$16,0))</f>
        <v>Technology</v>
      </c>
      <c r="R364" s="0" t="str">
        <f aca="false">INDEX(Customers!$F$2:$F$101,MATCH(D364,Customers!$A$2:$A$101,0))</f>
        <v>North</v>
      </c>
      <c r="S364" s="0" t="str">
        <f aca="false">INDEX(Customers!$C$2:$C$101,MATCH(D364,Customers!$A$2:$A$101,0))</f>
        <v>Consumer</v>
      </c>
      <c r="T364" s="0" t="str">
        <f aca="false">INDEX(Customers!$D$2:$D$101,MATCH(D364,Customers!$A$2:$A$101,0))</f>
        <v>Gurugram</v>
      </c>
    </row>
    <row r="365" customFormat="false" ht="15" hidden="false" customHeight="false" outlineLevel="0" collapsed="false">
      <c r="A365" s="0" t="s">
        <v>633</v>
      </c>
      <c r="B365" s="37" t="n">
        <v>45536</v>
      </c>
      <c r="C365" s="37" t="n">
        <v>45537</v>
      </c>
      <c r="D365" s="38" t="s">
        <v>425</v>
      </c>
      <c r="E365" s="38" t="s">
        <v>126</v>
      </c>
      <c r="F365" s="38" t="s">
        <v>100</v>
      </c>
      <c r="G365" s="38" t="s">
        <v>185</v>
      </c>
      <c r="H365" s="0" t="n">
        <v>1</v>
      </c>
      <c r="I365" s="39" t="n">
        <v>1200</v>
      </c>
      <c r="J365" s="40" t="n">
        <v>0.1</v>
      </c>
      <c r="K365" s="39" t="n">
        <v>1080</v>
      </c>
      <c r="L365" s="39" t="n">
        <v>700</v>
      </c>
      <c r="M365" s="39" t="n">
        <v>380</v>
      </c>
      <c r="N365" s="38" t="s">
        <v>66</v>
      </c>
      <c r="O365" s="38" t="n">
        <f aca="false">YEAR(B365)</f>
        <v>2024</v>
      </c>
      <c r="P365" s="41" t="n">
        <f aca="false">DATE(YEAR(B365),MONTH(B365),1)</f>
        <v>45536</v>
      </c>
      <c r="Q365" s="0" t="str">
        <f aca="false">INDEX(Products!$C$2:$C$16,MATCH(E365,Products!$A$2:$A$16,0))</f>
        <v>Furniture</v>
      </c>
      <c r="R365" s="0" t="str">
        <f aca="false">INDEX(Customers!$F$2:$F$101,MATCH(D365,Customers!$A$2:$A$101,0))</f>
        <v>North</v>
      </c>
      <c r="S365" s="0" t="str">
        <f aca="false">INDEX(Customers!$C$2:$C$101,MATCH(D365,Customers!$A$2:$A$101,0))</f>
        <v>Small Business</v>
      </c>
      <c r="T365" s="0" t="str">
        <f aca="false">INDEX(Customers!$D$2:$D$101,MATCH(D365,Customers!$A$2:$A$101,0))</f>
        <v>Lucknow</v>
      </c>
    </row>
    <row r="366" customFormat="false" ht="15" hidden="false" customHeight="false" outlineLevel="0" collapsed="false">
      <c r="A366" s="0" t="s">
        <v>634</v>
      </c>
      <c r="B366" s="37" t="n">
        <v>45974</v>
      </c>
      <c r="C366" s="37" t="n">
        <v>45980</v>
      </c>
      <c r="D366" s="38" t="s">
        <v>454</v>
      </c>
      <c r="E366" s="38" t="s">
        <v>117</v>
      </c>
      <c r="F366" s="38" t="s">
        <v>100</v>
      </c>
      <c r="G366" s="38" t="s">
        <v>178</v>
      </c>
      <c r="H366" s="0" t="n">
        <v>3</v>
      </c>
      <c r="I366" s="39" t="n">
        <v>6500</v>
      </c>
      <c r="J366" s="40" t="n">
        <v>0</v>
      </c>
      <c r="K366" s="39" t="n">
        <v>19500</v>
      </c>
      <c r="L366" s="39" t="n">
        <v>12600</v>
      </c>
      <c r="M366" s="39" t="n">
        <v>6900</v>
      </c>
      <c r="N366" s="38" t="s">
        <v>66</v>
      </c>
      <c r="O366" s="38" t="n">
        <f aca="false">YEAR(B366)</f>
        <v>2025</v>
      </c>
      <c r="P366" s="41" t="n">
        <f aca="false">DATE(YEAR(B366),MONTH(B366),1)</f>
        <v>45962</v>
      </c>
      <c r="Q366" s="0" t="str">
        <f aca="false">INDEX(Products!$C$2:$C$16,MATCH(E366,Products!$A$2:$A$16,0))</f>
        <v>Furniture</v>
      </c>
      <c r="R366" s="0" t="str">
        <f aca="false">INDEX(Customers!$F$2:$F$101,MATCH(D366,Customers!$A$2:$A$101,0))</f>
        <v>West</v>
      </c>
      <c r="S366" s="0" t="str">
        <f aca="false">INDEX(Customers!$C$2:$C$101,MATCH(D366,Customers!$A$2:$A$101,0))</f>
        <v>Consumer</v>
      </c>
      <c r="T366" s="0" t="str">
        <f aca="false">INDEX(Customers!$D$2:$D$101,MATCH(D366,Customers!$A$2:$A$101,0))</f>
        <v>Pune</v>
      </c>
    </row>
    <row r="367" customFormat="false" ht="15" hidden="false" customHeight="false" outlineLevel="0" collapsed="false">
      <c r="A367" s="0" t="s">
        <v>635</v>
      </c>
      <c r="B367" s="37" t="n">
        <v>45459</v>
      </c>
      <c r="C367" s="37" t="n">
        <v>45463</v>
      </c>
      <c r="D367" s="38" t="s">
        <v>184</v>
      </c>
      <c r="E367" s="38" t="s">
        <v>113</v>
      </c>
      <c r="F367" s="38" t="s">
        <v>102</v>
      </c>
      <c r="G367" s="38" t="s">
        <v>170</v>
      </c>
      <c r="H367" s="0" t="n">
        <v>8</v>
      </c>
      <c r="I367" s="39" t="n">
        <v>45000</v>
      </c>
      <c r="J367" s="40" t="n">
        <v>0.15</v>
      </c>
      <c r="K367" s="39" t="n">
        <v>306000</v>
      </c>
      <c r="L367" s="39" t="n">
        <v>288000</v>
      </c>
      <c r="M367" s="39" t="n">
        <v>18000</v>
      </c>
      <c r="N367" s="38" t="s">
        <v>66</v>
      </c>
      <c r="O367" s="38" t="n">
        <f aca="false">YEAR(B367)</f>
        <v>2024</v>
      </c>
      <c r="P367" s="41" t="n">
        <f aca="false">DATE(YEAR(B367),MONTH(B367),1)</f>
        <v>45444</v>
      </c>
      <c r="Q367" s="0" t="str">
        <f aca="false">INDEX(Products!$C$2:$C$16,MATCH(E367,Products!$A$2:$A$16,0))</f>
        <v>Technology</v>
      </c>
      <c r="R367" s="0" t="str">
        <f aca="false">INDEX(Customers!$F$2:$F$101,MATCH(D367,Customers!$A$2:$A$101,0))</f>
        <v>West</v>
      </c>
      <c r="S367" s="0" t="str">
        <f aca="false">INDEX(Customers!$C$2:$C$101,MATCH(D367,Customers!$A$2:$A$101,0))</f>
        <v>Consumer</v>
      </c>
      <c r="T367" s="0" t="str">
        <f aca="false">INDEX(Customers!$D$2:$D$101,MATCH(D367,Customers!$A$2:$A$101,0))</f>
        <v>Ahmedabad</v>
      </c>
    </row>
    <row r="368" customFormat="false" ht="15" hidden="false" customHeight="false" outlineLevel="0" collapsed="false">
      <c r="A368" s="0" t="s">
        <v>636</v>
      </c>
      <c r="B368" s="37" t="n">
        <v>46091</v>
      </c>
      <c r="C368" s="37" t="n">
        <v>46098</v>
      </c>
      <c r="D368" s="38" t="s">
        <v>217</v>
      </c>
      <c r="E368" s="38" t="s">
        <v>124</v>
      </c>
      <c r="F368" s="38" t="s">
        <v>100</v>
      </c>
      <c r="G368" s="38" t="s">
        <v>170</v>
      </c>
      <c r="H368" s="0" t="n">
        <v>1</v>
      </c>
      <c r="I368" s="39" t="n">
        <v>3000</v>
      </c>
      <c r="J368" s="40" t="n">
        <v>0</v>
      </c>
      <c r="K368" s="39" t="n">
        <v>3000</v>
      </c>
      <c r="L368" s="39" t="n">
        <v>1900</v>
      </c>
      <c r="M368" s="39" t="n">
        <v>1100</v>
      </c>
      <c r="N368" s="38" t="s">
        <v>66</v>
      </c>
      <c r="O368" s="38" t="n">
        <f aca="false">YEAR(B368)</f>
        <v>2026</v>
      </c>
      <c r="P368" s="41" t="n">
        <f aca="false">DATE(YEAR(B368),MONTH(B368),1)</f>
        <v>46082</v>
      </c>
      <c r="Q368" s="0" t="str">
        <f aca="false">INDEX(Products!$C$2:$C$16,MATCH(E368,Products!$A$2:$A$16,0))</f>
        <v>Technology</v>
      </c>
      <c r="R368" s="0" t="str">
        <f aca="false">INDEX(Customers!$F$2:$F$101,MATCH(D368,Customers!$A$2:$A$101,0))</f>
        <v>East</v>
      </c>
      <c r="S368" s="0" t="str">
        <f aca="false">INDEX(Customers!$C$2:$C$101,MATCH(D368,Customers!$A$2:$A$101,0))</f>
        <v>Small Business</v>
      </c>
      <c r="T368" s="0" t="str">
        <f aca="false">INDEX(Customers!$D$2:$D$101,MATCH(D368,Customers!$A$2:$A$101,0))</f>
        <v>Kolkata</v>
      </c>
    </row>
    <row r="369" customFormat="false" ht="15" hidden="false" customHeight="false" outlineLevel="0" collapsed="false">
      <c r="A369" s="0" t="s">
        <v>637</v>
      </c>
      <c r="B369" s="37" t="n">
        <v>45357</v>
      </c>
      <c r="C369" s="37" t="n">
        <v>45360</v>
      </c>
      <c r="D369" s="38" t="s">
        <v>638</v>
      </c>
      <c r="E369" s="38" t="s">
        <v>121</v>
      </c>
      <c r="F369" s="38" t="s">
        <v>102</v>
      </c>
      <c r="G369" s="38" t="s">
        <v>178</v>
      </c>
      <c r="H369" s="0" t="n">
        <v>4</v>
      </c>
      <c r="I369" s="39" t="n">
        <v>180</v>
      </c>
      <c r="J369" s="40" t="n">
        <v>0.15</v>
      </c>
      <c r="K369" s="39" t="n">
        <v>612</v>
      </c>
      <c r="L369" s="39" t="n">
        <v>280</v>
      </c>
      <c r="M369" s="39" t="n">
        <v>332</v>
      </c>
      <c r="N369" s="38" t="s">
        <v>66</v>
      </c>
      <c r="O369" s="38" t="n">
        <f aca="false">YEAR(B369)</f>
        <v>2024</v>
      </c>
      <c r="P369" s="41" t="n">
        <f aca="false">DATE(YEAR(B369),MONTH(B369),1)</f>
        <v>45352</v>
      </c>
      <c r="Q369" s="0" t="str">
        <f aca="false">INDEX(Products!$C$2:$C$16,MATCH(E369,Products!$A$2:$A$16,0))</f>
        <v>Office Supplies</v>
      </c>
      <c r="R369" s="0" t="str">
        <f aca="false">INDEX(Customers!$F$2:$F$101,MATCH(D369,Customers!$A$2:$A$101,0))</f>
        <v>North</v>
      </c>
      <c r="S369" s="0" t="str">
        <f aca="false">INDEX(Customers!$C$2:$C$101,MATCH(D369,Customers!$A$2:$A$101,0))</f>
        <v>Small Business</v>
      </c>
      <c r="T369" s="0" t="str">
        <f aca="false">INDEX(Customers!$D$2:$D$101,MATCH(D369,Customers!$A$2:$A$101,0))</f>
        <v>Lucknow</v>
      </c>
    </row>
    <row r="370" customFormat="false" ht="15" hidden="false" customHeight="false" outlineLevel="0" collapsed="false">
      <c r="A370" s="0" t="s">
        <v>639</v>
      </c>
      <c r="B370" s="37" t="n">
        <v>45348</v>
      </c>
      <c r="C370" s="37" t="n">
        <v>45352</v>
      </c>
      <c r="D370" s="38" t="s">
        <v>447</v>
      </c>
      <c r="E370" s="38" t="s">
        <v>118</v>
      </c>
      <c r="F370" s="38" t="s">
        <v>101</v>
      </c>
      <c r="G370" s="38" t="s">
        <v>173</v>
      </c>
      <c r="H370" s="0" t="n">
        <v>5</v>
      </c>
      <c r="I370" s="39" t="n">
        <v>9000</v>
      </c>
      <c r="J370" s="40" t="n">
        <v>0</v>
      </c>
      <c r="K370" s="39" t="n">
        <v>45000</v>
      </c>
      <c r="L370" s="39" t="n">
        <v>32500</v>
      </c>
      <c r="M370" s="39" t="n">
        <v>12500</v>
      </c>
      <c r="N370" s="38" t="s">
        <v>66</v>
      </c>
      <c r="O370" s="38" t="n">
        <f aca="false">YEAR(B370)</f>
        <v>2024</v>
      </c>
      <c r="P370" s="41" t="n">
        <f aca="false">DATE(YEAR(B370),MONTH(B370),1)</f>
        <v>45323</v>
      </c>
      <c r="Q370" s="0" t="str">
        <f aca="false">INDEX(Products!$C$2:$C$16,MATCH(E370,Products!$A$2:$A$16,0))</f>
        <v>Furniture</v>
      </c>
      <c r="R370" s="0" t="str">
        <f aca="false">INDEX(Customers!$F$2:$F$101,MATCH(D370,Customers!$A$2:$A$101,0))</f>
        <v>North</v>
      </c>
      <c r="S370" s="0" t="str">
        <f aca="false">INDEX(Customers!$C$2:$C$101,MATCH(D370,Customers!$A$2:$A$101,0))</f>
        <v>Corporate</v>
      </c>
      <c r="T370" s="0" t="str">
        <f aca="false">INDEX(Customers!$D$2:$D$101,MATCH(D370,Customers!$A$2:$A$101,0))</f>
        <v>Jaipur</v>
      </c>
    </row>
    <row r="371" customFormat="false" ht="15" hidden="false" customHeight="false" outlineLevel="0" collapsed="false">
      <c r="A371" s="0" t="s">
        <v>640</v>
      </c>
      <c r="B371" s="37" t="n">
        <v>45879</v>
      </c>
      <c r="C371" s="37" t="n">
        <v>45885</v>
      </c>
      <c r="D371" s="38" t="s">
        <v>343</v>
      </c>
      <c r="E371" s="38" t="s">
        <v>127</v>
      </c>
      <c r="F371" s="38" t="s">
        <v>102</v>
      </c>
      <c r="G371" s="38" t="s">
        <v>188</v>
      </c>
      <c r="H371" s="0" t="n">
        <v>4</v>
      </c>
      <c r="I371" s="39" t="n">
        <v>18000</v>
      </c>
      <c r="J371" s="40" t="n">
        <v>0</v>
      </c>
      <c r="K371" s="39" t="n">
        <v>72000</v>
      </c>
      <c r="L371" s="39" t="n">
        <v>56000</v>
      </c>
      <c r="M371" s="39" t="n">
        <v>16000</v>
      </c>
      <c r="N371" s="38" t="s">
        <v>66</v>
      </c>
      <c r="O371" s="38" t="n">
        <f aca="false">YEAR(B371)</f>
        <v>2025</v>
      </c>
      <c r="P371" s="41" t="n">
        <f aca="false">DATE(YEAR(B371),MONTH(B371),1)</f>
        <v>45870</v>
      </c>
      <c r="Q371" s="0" t="str">
        <f aca="false">INDEX(Products!$C$2:$C$16,MATCH(E371,Products!$A$2:$A$16,0))</f>
        <v>Technology</v>
      </c>
      <c r="R371" s="0" t="str">
        <f aca="false">INDEX(Customers!$F$2:$F$101,MATCH(D371,Customers!$A$2:$A$101,0))</f>
        <v>West</v>
      </c>
      <c r="S371" s="0" t="str">
        <f aca="false">INDEX(Customers!$C$2:$C$101,MATCH(D371,Customers!$A$2:$A$101,0))</f>
        <v>Consumer</v>
      </c>
      <c r="T371" s="0" t="str">
        <f aca="false">INDEX(Customers!$D$2:$D$101,MATCH(D371,Customers!$A$2:$A$101,0))</f>
        <v>Mumbai</v>
      </c>
    </row>
    <row r="372" customFormat="false" ht="15" hidden="false" customHeight="false" outlineLevel="0" collapsed="false">
      <c r="A372" s="0" t="s">
        <v>641</v>
      </c>
      <c r="B372" s="37" t="n">
        <v>45339</v>
      </c>
      <c r="C372" s="37" t="n">
        <v>45343</v>
      </c>
      <c r="D372" s="38" t="s">
        <v>470</v>
      </c>
      <c r="E372" s="38" t="s">
        <v>116</v>
      </c>
      <c r="F372" s="38" t="s">
        <v>100</v>
      </c>
      <c r="G372" s="38" t="s">
        <v>178</v>
      </c>
      <c r="H372" s="0" t="n">
        <v>2</v>
      </c>
      <c r="I372" s="39" t="n">
        <v>12000</v>
      </c>
      <c r="J372" s="40" t="n">
        <v>0</v>
      </c>
      <c r="K372" s="39" t="n">
        <v>24000</v>
      </c>
      <c r="L372" s="39" t="n">
        <v>18000</v>
      </c>
      <c r="M372" s="39" t="n">
        <v>6000</v>
      </c>
      <c r="N372" s="38" t="s">
        <v>66</v>
      </c>
      <c r="O372" s="38" t="n">
        <f aca="false">YEAR(B372)</f>
        <v>2024</v>
      </c>
      <c r="P372" s="41" t="n">
        <f aca="false">DATE(YEAR(B372),MONTH(B372),1)</f>
        <v>45323</v>
      </c>
      <c r="Q372" s="0" t="str">
        <f aca="false">INDEX(Products!$C$2:$C$16,MATCH(E372,Products!$A$2:$A$16,0))</f>
        <v>Technology</v>
      </c>
      <c r="R372" s="0" t="str">
        <f aca="false">INDEX(Customers!$F$2:$F$101,MATCH(D372,Customers!$A$2:$A$101,0))</f>
        <v>North</v>
      </c>
      <c r="S372" s="0" t="str">
        <f aca="false">INDEX(Customers!$C$2:$C$101,MATCH(D372,Customers!$A$2:$A$101,0))</f>
        <v>Small Business</v>
      </c>
      <c r="T372" s="0" t="str">
        <f aca="false">INDEX(Customers!$D$2:$D$101,MATCH(D372,Customers!$A$2:$A$101,0))</f>
        <v>Lucknow</v>
      </c>
    </row>
    <row r="373" customFormat="false" ht="15" hidden="false" customHeight="false" outlineLevel="0" collapsed="false">
      <c r="A373" s="0" t="s">
        <v>642</v>
      </c>
      <c r="B373" s="37" t="n">
        <v>45963</v>
      </c>
      <c r="C373" s="37" t="n">
        <v>45967</v>
      </c>
      <c r="D373" s="38" t="s">
        <v>285</v>
      </c>
      <c r="E373" s="38" t="s">
        <v>124</v>
      </c>
      <c r="F373" s="38" t="s">
        <v>101</v>
      </c>
      <c r="G373" s="38" t="s">
        <v>170</v>
      </c>
      <c r="H373" s="0" t="n">
        <v>1</v>
      </c>
      <c r="I373" s="39" t="n">
        <v>3000</v>
      </c>
      <c r="J373" s="40" t="n">
        <v>0</v>
      </c>
      <c r="K373" s="39" t="n">
        <v>3000</v>
      </c>
      <c r="L373" s="39" t="n">
        <v>1900</v>
      </c>
      <c r="M373" s="39" t="n">
        <v>1100</v>
      </c>
      <c r="N373" s="38" t="s">
        <v>66</v>
      </c>
      <c r="O373" s="38" t="n">
        <f aca="false">YEAR(B373)</f>
        <v>2025</v>
      </c>
      <c r="P373" s="41" t="n">
        <f aca="false">DATE(YEAR(B373),MONTH(B373),1)</f>
        <v>45962</v>
      </c>
      <c r="Q373" s="0" t="str">
        <f aca="false">INDEX(Products!$C$2:$C$16,MATCH(E373,Products!$A$2:$A$16,0))</f>
        <v>Technology</v>
      </c>
      <c r="R373" s="0" t="str">
        <f aca="false">INDEX(Customers!$F$2:$F$101,MATCH(D373,Customers!$A$2:$A$101,0))</f>
        <v>South</v>
      </c>
      <c r="S373" s="0" t="str">
        <f aca="false">INDEX(Customers!$C$2:$C$101,MATCH(D373,Customers!$A$2:$A$101,0))</f>
        <v>Small Business</v>
      </c>
      <c r="T373" s="0" t="str">
        <f aca="false">INDEX(Customers!$D$2:$D$101,MATCH(D373,Customers!$A$2:$A$101,0))</f>
        <v>Hyderabad</v>
      </c>
    </row>
    <row r="374" customFormat="false" ht="15" hidden="false" customHeight="false" outlineLevel="0" collapsed="false">
      <c r="A374" s="0" t="s">
        <v>643</v>
      </c>
      <c r="B374" s="37" t="n">
        <v>45673</v>
      </c>
      <c r="C374" s="37" t="n">
        <v>45674</v>
      </c>
      <c r="D374" s="38" t="s">
        <v>381</v>
      </c>
      <c r="E374" s="38" t="s">
        <v>122</v>
      </c>
      <c r="F374" s="38" t="s">
        <v>100</v>
      </c>
      <c r="G374" s="38" t="s">
        <v>173</v>
      </c>
      <c r="H374" s="0" t="n">
        <v>2</v>
      </c>
      <c r="I374" s="39" t="n">
        <v>5500</v>
      </c>
      <c r="J374" s="40" t="n">
        <v>0</v>
      </c>
      <c r="K374" s="39" t="n">
        <v>11000</v>
      </c>
      <c r="L374" s="39" t="n">
        <v>7400</v>
      </c>
      <c r="M374" s="39" t="n">
        <v>3600</v>
      </c>
      <c r="N374" s="38" t="s">
        <v>66</v>
      </c>
      <c r="O374" s="38" t="n">
        <f aca="false">YEAR(B374)</f>
        <v>2025</v>
      </c>
      <c r="P374" s="41" t="n">
        <f aca="false">DATE(YEAR(B374),MONTH(B374),1)</f>
        <v>45658</v>
      </c>
      <c r="Q374" s="0" t="str">
        <f aca="false">INDEX(Products!$C$2:$C$16,MATCH(E374,Products!$A$2:$A$16,0))</f>
        <v>Furniture</v>
      </c>
      <c r="R374" s="0" t="str">
        <f aca="false">INDEX(Customers!$F$2:$F$101,MATCH(D374,Customers!$A$2:$A$101,0))</f>
        <v>West</v>
      </c>
      <c r="S374" s="0" t="str">
        <f aca="false">INDEX(Customers!$C$2:$C$101,MATCH(D374,Customers!$A$2:$A$101,0))</f>
        <v>Consumer</v>
      </c>
      <c r="T374" s="0" t="str">
        <f aca="false">INDEX(Customers!$D$2:$D$101,MATCH(D374,Customers!$A$2:$A$101,0))</f>
        <v>Pune</v>
      </c>
    </row>
    <row r="375" customFormat="false" ht="15" hidden="false" customHeight="false" outlineLevel="0" collapsed="false">
      <c r="A375" s="0" t="s">
        <v>644</v>
      </c>
      <c r="B375" s="37" t="n">
        <v>45362</v>
      </c>
      <c r="C375" s="37" t="n">
        <v>45366</v>
      </c>
      <c r="D375" s="38" t="s">
        <v>302</v>
      </c>
      <c r="E375" s="38" t="s">
        <v>119</v>
      </c>
      <c r="F375" s="38" t="s">
        <v>101</v>
      </c>
      <c r="G375" s="38" t="s">
        <v>170</v>
      </c>
      <c r="H375" s="0" t="n">
        <v>5</v>
      </c>
      <c r="I375" s="39" t="n">
        <v>250</v>
      </c>
      <c r="J375" s="40" t="n">
        <v>0.25</v>
      </c>
      <c r="K375" s="39" t="n">
        <v>937.5</v>
      </c>
      <c r="L375" s="39" t="n">
        <v>600</v>
      </c>
      <c r="M375" s="39" t="n">
        <v>337.5</v>
      </c>
      <c r="N375" s="38" t="s">
        <v>66</v>
      </c>
      <c r="O375" s="38" t="n">
        <f aca="false">YEAR(B375)</f>
        <v>2024</v>
      </c>
      <c r="P375" s="41" t="n">
        <f aca="false">DATE(YEAR(B375),MONTH(B375),1)</f>
        <v>45352</v>
      </c>
      <c r="Q375" s="0" t="str">
        <f aca="false">INDEX(Products!$C$2:$C$16,MATCH(E375,Products!$A$2:$A$16,0))</f>
        <v>Office Supplies</v>
      </c>
      <c r="R375" s="0" t="str">
        <f aca="false">INDEX(Customers!$F$2:$F$101,MATCH(D375,Customers!$A$2:$A$101,0))</f>
        <v>East</v>
      </c>
      <c r="S375" s="0" t="str">
        <f aca="false">INDEX(Customers!$C$2:$C$101,MATCH(D375,Customers!$A$2:$A$101,0))</f>
        <v>Consumer</v>
      </c>
      <c r="T375" s="0" t="str">
        <f aca="false">INDEX(Customers!$D$2:$D$101,MATCH(D375,Customers!$A$2:$A$101,0))</f>
        <v>Bhubaneswar</v>
      </c>
    </row>
    <row r="376" customFormat="false" ht="15" hidden="false" customHeight="false" outlineLevel="0" collapsed="false">
      <c r="A376" s="0" t="s">
        <v>645</v>
      </c>
      <c r="B376" s="37" t="n">
        <v>45669</v>
      </c>
      <c r="C376" s="37" t="n">
        <v>45671</v>
      </c>
      <c r="D376" s="38" t="s">
        <v>227</v>
      </c>
      <c r="E376" s="38" t="s">
        <v>113</v>
      </c>
      <c r="F376" s="38" t="s">
        <v>101</v>
      </c>
      <c r="G376" s="38" t="s">
        <v>188</v>
      </c>
      <c r="H376" s="0" t="n">
        <v>1</v>
      </c>
      <c r="I376" s="39" t="n">
        <v>45000</v>
      </c>
      <c r="J376" s="40" t="n">
        <v>0.25</v>
      </c>
      <c r="K376" s="39" t="n">
        <v>33750</v>
      </c>
      <c r="L376" s="39" t="n">
        <v>36000</v>
      </c>
      <c r="M376" s="39" t="n">
        <v>-2250</v>
      </c>
      <c r="N376" s="38" t="s">
        <v>66</v>
      </c>
      <c r="O376" s="38" t="n">
        <f aca="false">YEAR(B376)</f>
        <v>2025</v>
      </c>
      <c r="P376" s="41" t="n">
        <f aca="false">DATE(YEAR(B376),MONTH(B376),1)</f>
        <v>45658</v>
      </c>
      <c r="Q376" s="0" t="str">
        <f aca="false">INDEX(Products!$C$2:$C$16,MATCH(E376,Products!$A$2:$A$16,0))</f>
        <v>Technology</v>
      </c>
      <c r="R376" s="0" t="str">
        <f aca="false">INDEX(Customers!$F$2:$F$101,MATCH(D376,Customers!$A$2:$A$101,0))</f>
        <v>North</v>
      </c>
      <c r="S376" s="0" t="str">
        <f aca="false">INDEX(Customers!$C$2:$C$101,MATCH(D376,Customers!$A$2:$A$101,0))</f>
        <v>Consumer</v>
      </c>
      <c r="T376" s="0" t="str">
        <f aca="false">INDEX(Customers!$D$2:$D$101,MATCH(D376,Customers!$A$2:$A$101,0))</f>
        <v>Delhi</v>
      </c>
    </row>
    <row r="377" customFormat="false" ht="15" hidden="false" customHeight="false" outlineLevel="0" collapsed="false">
      <c r="A377" s="0" t="s">
        <v>646</v>
      </c>
      <c r="B377" s="37" t="n">
        <v>46287</v>
      </c>
      <c r="C377" s="37" t="n">
        <v>46291</v>
      </c>
      <c r="D377" s="38" t="s">
        <v>329</v>
      </c>
      <c r="E377" s="38" t="s">
        <v>122</v>
      </c>
      <c r="F377" s="38" t="s">
        <v>100</v>
      </c>
      <c r="G377" s="38" t="s">
        <v>188</v>
      </c>
      <c r="H377" s="0" t="n">
        <v>10</v>
      </c>
      <c r="I377" s="39" t="n">
        <v>5500</v>
      </c>
      <c r="J377" s="40" t="n">
        <v>0.25</v>
      </c>
      <c r="K377" s="39" t="n">
        <v>41250</v>
      </c>
      <c r="L377" s="39" t="n">
        <v>37000</v>
      </c>
      <c r="M377" s="39" t="n">
        <v>4250</v>
      </c>
      <c r="N377" s="38" t="s">
        <v>66</v>
      </c>
      <c r="O377" s="38" t="n">
        <f aca="false">YEAR(B377)</f>
        <v>2026</v>
      </c>
      <c r="P377" s="41" t="n">
        <f aca="false">DATE(YEAR(B377),MONTH(B377),1)</f>
        <v>46266</v>
      </c>
      <c r="Q377" s="0" t="str">
        <f aca="false">INDEX(Products!$C$2:$C$16,MATCH(E377,Products!$A$2:$A$16,0))</f>
        <v>Furniture</v>
      </c>
      <c r="R377" s="0" t="str">
        <f aca="false">INDEX(Customers!$F$2:$F$101,MATCH(D377,Customers!$A$2:$A$101,0))</f>
        <v>West</v>
      </c>
      <c r="S377" s="0" t="str">
        <f aca="false">INDEX(Customers!$C$2:$C$101,MATCH(D377,Customers!$A$2:$A$101,0))</f>
        <v>Corporate</v>
      </c>
      <c r="T377" s="0" t="str">
        <f aca="false">INDEX(Customers!$D$2:$D$101,MATCH(D377,Customers!$A$2:$A$101,0))</f>
        <v>Pune</v>
      </c>
    </row>
    <row r="378" customFormat="false" ht="15" hidden="false" customHeight="false" outlineLevel="0" collapsed="false">
      <c r="A378" s="0" t="s">
        <v>647</v>
      </c>
      <c r="B378" s="37" t="n">
        <v>45298</v>
      </c>
      <c r="C378" s="37" t="n">
        <v>45302</v>
      </c>
      <c r="D378" s="38" t="s">
        <v>230</v>
      </c>
      <c r="E378" s="38" t="s">
        <v>115</v>
      </c>
      <c r="F378" s="38" t="s">
        <v>101</v>
      </c>
      <c r="G378" s="38" t="s">
        <v>178</v>
      </c>
      <c r="H378" s="0" t="n">
        <v>1</v>
      </c>
      <c r="I378" s="39" t="n">
        <v>1500</v>
      </c>
      <c r="J378" s="40" t="n">
        <v>0.15</v>
      </c>
      <c r="K378" s="39" t="n">
        <v>1275</v>
      </c>
      <c r="L378" s="39" t="n">
        <v>850</v>
      </c>
      <c r="M378" s="39" t="n">
        <v>425</v>
      </c>
      <c r="N378" s="38" t="s">
        <v>146</v>
      </c>
      <c r="O378" s="38" t="n">
        <f aca="false">YEAR(B378)</f>
        <v>2024</v>
      </c>
      <c r="P378" s="41" t="n">
        <f aca="false">DATE(YEAR(B378),MONTH(B378),1)</f>
        <v>45292</v>
      </c>
      <c r="Q378" s="0" t="str">
        <f aca="false">INDEX(Products!$C$2:$C$16,MATCH(E378,Products!$A$2:$A$16,0))</f>
        <v>Technology</v>
      </c>
      <c r="R378" s="0" t="str">
        <f aca="false">INDEX(Customers!$F$2:$F$101,MATCH(D378,Customers!$A$2:$A$101,0))</f>
        <v>East</v>
      </c>
      <c r="S378" s="0" t="str">
        <f aca="false">INDEX(Customers!$C$2:$C$101,MATCH(D378,Customers!$A$2:$A$101,0))</f>
        <v>Consumer</v>
      </c>
      <c r="T378" s="0" t="str">
        <f aca="false">INDEX(Customers!$D$2:$D$101,MATCH(D378,Customers!$A$2:$A$101,0))</f>
        <v>Kolkata</v>
      </c>
    </row>
    <row r="379" customFormat="false" ht="15" hidden="false" customHeight="false" outlineLevel="0" collapsed="false">
      <c r="A379" s="0" t="s">
        <v>648</v>
      </c>
      <c r="B379" s="37" t="n">
        <v>45965</v>
      </c>
      <c r="C379" s="37" t="n">
        <v>45969</v>
      </c>
      <c r="D379" s="38" t="s">
        <v>169</v>
      </c>
      <c r="E379" s="38" t="s">
        <v>125</v>
      </c>
      <c r="F379" s="38" t="s">
        <v>101</v>
      </c>
      <c r="G379" s="38" t="s">
        <v>178</v>
      </c>
      <c r="H379" s="0" t="n">
        <v>5</v>
      </c>
      <c r="I379" s="39" t="n">
        <v>600</v>
      </c>
      <c r="J379" s="40" t="n">
        <v>0.2</v>
      </c>
      <c r="K379" s="39" t="n">
        <v>2400</v>
      </c>
      <c r="L379" s="39" t="n">
        <v>1750</v>
      </c>
      <c r="M379" s="39" t="n">
        <v>650</v>
      </c>
      <c r="N379" s="38" t="s">
        <v>66</v>
      </c>
      <c r="O379" s="38" t="n">
        <f aca="false">YEAR(B379)</f>
        <v>2025</v>
      </c>
      <c r="P379" s="41" t="n">
        <f aca="false">DATE(YEAR(B379),MONTH(B379),1)</f>
        <v>45962</v>
      </c>
      <c r="Q379" s="0" t="str">
        <f aca="false">INDEX(Products!$C$2:$C$16,MATCH(E379,Products!$A$2:$A$16,0))</f>
        <v>Office Supplies</v>
      </c>
      <c r="R379" s="0" t="str">
        <f aca="false">INDEX(Customers!$F$2:$F$101,MATCH(D379,Customers!$A$2:$A$101,0))</f>
        <v>East</v>
      </c>
      <c r="S379" s="0" t="str">
        <f aca="false">INDEX(Customers!$C$2:$C$101,MATCH(D379,Customers!$A$2:$A$101,0))</f>
        <v>Small Business</v>
      </c>
      <c r="T379" s="0" t="str">
        <f aca="false">INDEX(Customers!$D$2:$D$101,MATCH(D379,Customers!$A$2:$A$101,0))</f>
        <v>Kolkata</v>
      </c>
    </row>
    <row r="380" customFormat="false" ht="15" hidden="false" customHeight="false" outlineLevel="0" collapsed="false">
      <c r="A380" s="0" t="s">
        <v>649</v>
      </c>
      <c r="B380" s="37" t="n">
        <v>45795</v>
      </c>
      <c r="C380" s="37" t="n">
        <v>45796</v>
      </c>
      <c r="D380" s="38" t="s">
        <v>407</v>
      </c>
      <c r="E380" s="38" t="s">
        <v>119</v>
      </c>
      <c r="F380" s="38" t="s">
        <v>102</v>
      </c>
      <c r="G380" s="38" t="s">
        <v>170</v>
      </c>
      <c r="H380" s="0" t="n">
        <v>8</v>
      </c>
      <c r="I380" s="39" t="n">
        <v>250</v>
      </c>
      <c r="J380" s="40" t="n">
        <v>0</v>
      </c>
      <c r="K380" s="39" t="n">
        <v>2000</v>
      </c>
      <c r="L380" s="39" t="n">
        <v>960</v>
      </c>
      <c r="M380" s="39" t="n">
        <v>1040</v>
      </c>
      <c r="N380" s="38" t="s">
        <v>66</v>
      </c>
      <c r="O380" s="38" t="n">
        <f aca="false">YEAR(B380)</f>
        <v>2025</v>
      </c>
      <c r="P380" s="41" t="n">
        <f aca="false">DATE(YEAR(B380),MONTH(B380),1)</f>
        <v>45778</v>
      </c>
      <c r="Q380" s="0" t="str">
        <f aca="false">INDEX(Products!$C$2:$C$16,MATCH(E380,Products!$A$2:$A$16,0))</f>
        <v>Office Supplies</v>
      </c>
      <c r="R380" s="0" t="str">
        <f aca="false">INDEX(Customers!$F$2:$F$101,MATCH(D380,Customers!$A$2:$A$101,0))</f>
        <v>North</v>
      </c>
      <c r="S380" s="0" t="str">
        <f aca="false">INDEX(Customers!$C$2:$C$101,MATCH(D380,Customers!$A$2:$A$101,0))</f>
        <v>Small Business</v>
      </c>
      <c r="T380" s="0" t="str">
        <f aca="false">INDEX(Customers!$D$2:$D$101,MATCH(D380,Customers!$A$2:$A$101,0))</f>
        <v>Delhi</v>
      </c>
    </row>
    <row r="381" customFormat="false" ht="15" hidden="false" customHeight="false" outlineLevel="0" collapsed="false">
      <c r="A381" s="0" t="s">
        <v>650</v>
      </c>
      <c r="B381" s="37" t="n">
        <v>46157</v>
      </c>
      <c r="C381" s="37" t="n">
        <v>46162</v>
      </c>
      <c r="D381" s="38" t="s">
        <v>314</v>
      </c>
      <c r="E381" s="38" t="s">
        <v>127</v>
      </c>
      <c r="F381" s="38" t="s">
        <v>101</v>
      </c>
      <c r="G381" s="38" t="s">
        <v>178</v>
      </c>
      <c r="H381" s="0" t="n">
        <v>2</v>
      </c>
      <c r="I381" s="39" t="n">
        <v>18000</v>
      </c>
      <c r="J381" s="40" t="n">
        <v>0.05</v>
      </c>
      <c r="K381" s="39" t="n">
        <v>34200</v>
      </c>
      <c r="L381" s="39" t="n">
        <v>28000</v>
      </c>
      <c r="M381" s="39" t="n">
        <v>6200</v>
      </c>
      <c r="N381" s="38" t="s">
        <v>66</v>
      </c>
      <c r="O381" s="38" t="n">
        <f aca="false">YEAR(B381)</f>
        <v>2026</v>
      </c>
      <c r="P381" s="41" t="n">
        <f aca="false">DATE(YEAR(B381),MONTH(B381),1)</f>
        <v>46143</v>
      </c>
      <c r="Q381" s="0" t="str">
        <f aca="false">INDEX(Products!$C$2:$C$16,MATCH(E381,Products!$A$2:$A$16,0))</f>
        <v>Technology</v>
      </c>
      <c r="R381" s="0" t="str">
        <f aca="false">INDEX(Customers!$F$2:$F$101,MATCH(D381,Customers!$A$2:$A$101,0))</f>
        <v>North</v>
      </c>
      <c r="S381" s="0" t="str">
        <f aca="false">INDEX(Customers!$C$2:$C$101,MATCH(D381,Customers!$A$2:$A$101,0))</f>
        <v>Consumer</v>
      </c>
      <c r="T381" s="0" t="str">
        <f aca="false">INDEX(Customers!$D$2:$D$101,MATCH(D381,Customers!$A$2:$A$101,0))</f>
        <v>Gurugram</v>
      </c>
    </row>
    <row r="382" customFormat="false" ht="15" hidden="false" customHeight="false" outlineLevel="0" collapsed="false">
      <c r="A382" s="0" t="s">
        <v>651</v>
      </c>
      <c r="B382" s="37" t="n">
        <v>45944</v>
      </c>
      <c r="C382" s="37" t="n">
        <v>45951</v>
      </c>
      <c r="D382" s="38" t="s">
        <v>190</v>
      </c>
      <c r="E382" s="38" t="s">
        <v>115</v>
      </c>
      <c r="F382" s="38" t="s">
        <v>102</v>
      </c>
      <c r="G382" s="38" t="s">
        <v>178</v>
      </c>
      <c r="H382" s="0" t="n">
        <v>2</v>
      </c>
      <c r="I382" s="39" t="n">
        <v>1500</v>
      </c>
      <c r="J382" s="40" t="n">
        <v>0.15</v>
      </c>
      <c r="K382" s="39" t="n">
        <v>2550</v>
      </c>
      <c r="L382" s="39" t="n">
        <v>1700</v>
      </c>
      <c r="M382" s="39" t="n">
        <v>850</v>
      </c>
      <c r="N382" s="38" t="s">
        <v>66</v>
      </c>
      <c r="O382" s="38" t="n">
        <f aca="false">YEAR(B382)</f>
        <v>2025</v>
      </c>
      <c r="P382" s="41" t="n">
        <f aca="false">DATE(YEAR(B382),MONTH(B382),1)</f>
        <v>45931</v>
      </c>
      <c r="Q382" s="0" t="str">
        <f aca="false">INDEX(Products!$C$2:$C$16,MATCH(E382,Products!$A$2:$A$16,0))</f>
        <v>Technology</v>
      </c>
      <c r="R382" s="0" t="str">
        <f aca="false">INDEX(Customers!$F$2:$F$101,MATCH(D382,Customers!$A$2:$A$101,0))</f>
        <v>East</v>
      </c>
      <c r="S382" s="0" t="str">
        <f aca="false">INDEX(Customers!$C$2:$C$101,MATCH(D382,Customers!$A$2:$A$101,0))</f>
        <v>Corporate</v>
      </c>
      <c r="T382" s="0" t="str">
        <f aca="false">INDEX(Customers!$D$2:$D$101,MATCH(D382,Customers!$A$2:$A$101,0))</f>
        <v>Kolkata</v>
      </c>
    </row>
    <row r="383" customFormat="false" ht="15" hidden="false" customHeight="false" outlineLevel="0" collapsed="false">
      <c r="A383" s="0" t="s">
        <v>652</v>
      </c>
      <c r="B383" s="37" t="n">
        <v>45590</v>
      </c>
      <c r="C383" s="37" t="n">
        <v>45593</v>
      </c>
      <c r="D383" s="38" t="s">
        <v>217</v>
      </c>
      <c r="E383" s="38" t="s">
        <v>116</v>
      </c>
      <c r="F383" s="38" t="s">
        <v>101</v>
      </c>
      <c r="G383" s="38" t="s">
        <v>170</v>
      </c>
      <c r="H383" s="0" t="n">
        <v>5</v>
      </c>
      <c r="I383" s="39" t="n">
        <v>12000</v>
      </c>
      <c r="J383" s="40" t="n">
        <v>0.25</v>
      </c>
      <c r="K383" s="39" t="n">
        <v>45000</v>
      </c>
      <c r="L383" s="39" t="n">
        <v>45000</v>
      </c>
      <c r="M383" s="39" t="n">
        <v>0</v>
      </c>
      <c r="N383" s="38" t="s">
        <v>66</v>
      </c>
      <c r="O383" s="38" t="n">
        <f aca="false">YEAR(B383)</f>
        <v>2024</v>
      </c>
      <c r="P383" s="41" t="n">
        <f aca="false">DATE(YEAR(B383),MONTH(B383),1)</f>
        <v>45566</v>
      </c>
      <c r="Q383" s="0" t="str">
        <f aca="false">INDEX(Products!$C$2:$C$16,MATCH(E383,Products!$A$2:$A$16,0))</f>
        <v>Technology</v>
      </c>
      <c r="R383" s="0" t="str">
        <f aca="false">INDEX(Customers!$F$2:$F$101,MATCH(D383,Customers!$A$2:$A$101,0))</f>
        <v>East</v>
      </c>
      <c r="S383" s="0" t="str">
        <f aca="false">INDEX(Customers!$C$2:$C$101,MATCH(D383,Customers!$A$2:$A$101,0))</f>
        <v>Small Business</v>
      </c>
      <c r="T383" s="0" t="str">
        <f aca="false">INDEX(Customers!$D$2:$D$101,MATCH(D383,Customers!$A$2:$A$101,0))</f>
        <v>Kolkata</v>
      </c>
    </row>
    <row r="384" customFormat="false" ht="15" hidden="false" customHeight="false" outlineLevel="0" collapsed="false">
      <c r="A384" s="0" t="s">
        <v>653</v>
      </c>
      <c r="B384" s="37" t="n">
        <v>45368</v>
      </c>
      <c r="C384" s="37" t="n">
        <v>45370</v>
      </c>
      <c r="D384" s="38" t="s">
        <v>638</v>
      </c>
      <c r="E384" s="38" t="s">
        <v>116</v>
      </c>
      <c r="F384" s="38" t="s">
        <v>102</v>
      </c>
      <c r="G384" s="38" t="s">
        <v>178</v>
      </c>
      <c r="H384" s="0" t="n">
        <v>1</v>
      </c>
      <c r="I384" s="39" t="n">
        <v>12000</v>
      </c>
      <c r="J384" s="40" t="n">
        <v>0.25</v>
      </c>
      <c r="K384" s="39" t="n">
        <v>9000</v>
      </c>
      <c r="L384" s="39" t="n">
        <v>9000</v>
      </c>
      <c r="M384" s="39" t="n">
        <v>0</v>
      </c>
      <c r="N384" s="38" t="s">
        <v>66</v>
      </c>
      <c r="O384" s="38" t="n">
        <f aca="false">YEAR(B384)</f>
        <v>2024</v>
      </c>
      <c r="P384" s="41" t="n">
        <f aca="false">DATE(YEAR(B384),MONTH(B384),1)</f>
        <v>45352</v>
      </c>
      <c r="Q384" s="0" t="str">
        <f aca="false">INDEX(Products!$C$2:$C$16,MATCH(E384,Products!$A$2:$A$16,0))</f>
        <v>Technology</v>
      </c>
      <c r="R384" s="0" t="str">
        <f aca="false">INDEX(Customers!$F$2:$F$101,MATCH(D384,Customers!$A$2:$A$101,0))</f>
        <v>North</v>
      </c>
      <c r="S384" s="0" t="str">
        <f aca="false">INDEX(Customers!$C$2:$C$101,MATCH(D384,Customers!$A$2:$A$101,0))</f>
        <v>Small Business</v>
      </c>
      <c r="T384" s="0" t="str">
        <f aca="false">INDEX(Customers!$D$2:$D$101,MATCH(D384,Customers!$A$2:$A$101,0))</f>
        <v>Lucknow</v>
      </c>
    </row>
    <row r="385" customFormat="false" ht="15" hidden="false" customHeight="false" outlineLevel="0" collapsed="false">
      <c r="A385" s="0" t="s">
        <v>654</v>
      </c>
      <c r="B385" s="37" t="n">
        <v>45769</v>
      </c>
      <c r="C385" s="37" t="n">
        <v>45772</v>
      </c>
      <c r="D385" s="38" t="s">
        <v>219</v>
      </c>
      <c r="E385" s="38" t="s">
        <v>120</v>
      </c>
      <c r="F385" s="38" t="s">
        <v>101</v>
      </c>
      <c r="G385" s="38" t="s">
        <v>173</v>
      </c>
      <c r="H385" s="0" t="n">
        <v>2</v>
      </c>
      <c r="I385" s="39" t="n">
        <v>400</v>
      </c>
      <c r="J385" s="40" t="n">
        <v>0.15</v>
      </c>
      <c r="K385" s="39" t="n">
        <v>680</v>
      </c>
      <c r="L385" s="39" t="n">
        <v>520</v>
      </c>
      <c r="M385" s="39" t="n">
        <v>160</v>
      </c>
      <c r="N385" s="38" t="s">
        <v>66</v>
      </c>
      <c r="O385" s="38" t="n">
        <f aca="false">YEAR(B385)</f>
        <v>2025</v>
      </c>
      <c r="P385" s="41" t="n">
        <f aca="false">DATE(YEAR(B385),MONTH(B385),1)</f>
        <v>45748</v>
      </c>
      <c r="Q385" s="0" t="str">
        <f aca="false">INDEX(Products!$C$2:$C$16,MATCH(E385,Products!$A$2:$A$16,0))</f>
        <v>Office Supplies</v>
      </c>
      <c r="R385" s="0" t="str">
        <f aca="false">INDEX(Customers!$F$2:$F$101,MATCH(D385,Customers!$A$2:$A$101,0))</f>
        <v>North</v>
      </c>
      <c r="S385" s="0" t="str">
        <f aca="false">INDEX(Customers!$C$2:$C$101,MATCH(D385,Customers!$A$2:$A$101,0))</f>
        <v>Small Business</v>
      </c>
      <c r="T385" s="0" t="str">
        <f aca="false">INDEX(Customers!$D$2:$D$101,MATCH(D385,Customers!$A$2:$A$101,0))</f>
        <v>Lucknow</v>
      </c>
    </row>
    <row r="386" customFormat="false" ht="15" hidden="false" customHeight="false" outlineLevel="0" collapsed="false">
      <c r="A386" s="0" t="s">
        <v>655</v>
      </c>
      <c r="B386" s="37" t="n">
        <v>46164</v>
      </c>
      <c r="C386" s="37" t="n">
        <v>46165</v>
      </c>
      <c r="D386" s="38" t="s">
        <v>187</v>
      </c>
      <c r="E386" s="38" t="s">
        <v>117</v>
      </c>
      <c r="F386" s="38" t="s">
        <v>102</v>
      </c>
      <c r="G386" s="38" t="s">
        <v>170</v>
      </c>
      <c r="H386" s="0" t="n">
        <v>1</v>
      </c>
      <c r="I386" s="39" t="n">
        <v>6500</v>
      </c>
      <c r="J386" s="40" t="n">
        <v>0.25</v>
      </c>
      <c r="K386" s="39" t="n">
        <v>4875</v>
      </c>
      <c r="L386" s="39" t="n">
        <v>4200</v>
      </c>
      <c r="M386" s="39" t="n">
        <v>675</v>
      </c>
      <c r="N386" s="38" t="s">
        <v>66</v>
      </c>
      <c r="O386" s="38" t="n">
        <f aca="false">YEAR(B386)</f>
        <v>2026</v>
      </c>
      <c r="P386" s="41" t="n">
        <f aca="false">DATE(YEAR(B386),MONTH(B386),1)</f>
        <v>46143</v>
      </c>
      <c r="Q386" s="0" t="str">
        <f aca="false">INDEX(Products!$C$2:$C$16,MATCH(E386,Products!$A$2:$A$16,0))</f>
        <v>Furniture</v>
      </c>
      <c r="R386" s="0" t="str">
        <f aca="false">INDEX(Customers!$F$2:$F$101,MATCH(D386,Customers!$A$2:$A$101,0))</f>
        <v>South</v>
      </c>
      <c r="S386" s="0" t="str">
        <f aca="false">INDEX(Customers!$C$2:$C$101,MATCH(D386,Customers!$A$2:$A$101,0))</f>
        <v>Consumer</v>
      </c>
      <c r="T386" s="0" t="str">
        <f aca="false">INDEX(Customers!$D$2:$D$101,MATCH(D386,Customers!$A$2:$A$101,0))</f>
        <v>Bengaluru</v>
      </c>
    </row>
    <row r="387" customFormat="false" ht="15" hidden="false" customHeight="false" outlineLevel="0" collapsed="false">
      <c r="A387" s="0" t="s">
        <v>656</v>
      </c>
      <c r="B387" s="37" t="n">
        <v>45333</v>
      </c>
      <c r="C387" s="37" t="n">
        <v>45335</v>
      </c>
      <c r="D387" s="38" t="s">
        <v>184</v>
      </c>
      <c r="E387" s="38" t="s">
        <v>122</v>
      </c>
      <c r="F387" s="38" t="s">
        <v>100</v>
      </c>
      <c r="G387" s="38" t="s">
        <v>178</v>
      </c>
      <c r="H387" s="0" t="n">
        <v>5</v>
      </c>
      <c r="I387" s="39" t="n">
        <v>5500</v>
      </c>
      <c r="J387" s="40" t="n">
        <v>0.05</v>
      </c>
      <c r="K387" s="39" t="n">
        <v>26125</v>
      </c>
      <c r="L387" s="39" t="n">
        <v>18500</v>
      </c>
      <c r="M387" s="39" t="n">
        <v>7625</v>
      </c>
      <c r="N387" s="38" t="s">
        <v>66</v>
      </c>
      <c r="O387" s="38" t="n">
        <f aca="false">YEAR(B387)</f>
        <v>2024</v>
      </c>
      <c r="P387" s="41" t="n">
        <f aca="false">DATE(YEAR(B387),MONTH(B387),1)</f>
        <v>45323</v>
      </c>
      <c r="Q387" s="0" t="str">
        <f aca="false">INDEX(Products!$C$2:$C$16,MATCH(E387,Products!$A$2:$A$16,0))</f>
        <v>Furniture</v>
      </c>
      <c r="R387" s="0" t="str">
        <f aca="false">INDEX(Customers!$F$2:$F$101,MATCH(D387,Customers!$A$2:$A$101,0))</f>
        <v>West</v>
      </c>
      <c r="S387" s="0" t="str">
        <f aca="false">INDEX(Customers!$C$2:$C$101,MATCH(D387,Customers!$A$2:$A$101,0))</f>
        <v>Consumer</v>
      </c>
      <c r="T387" s="0" t="str">
        <f aca="false">INDEX(Customers!$D$2:$D$101,MATCH(D387,Customers!$A$2:$A$101,0))</f>
        <v>Ahmedabad</v>
      </c>
    </row>
    <row r="388" customFormat="false" ht="15" hidden="false" customHeight="false" outlineLevel="0" collapsed="false">
      <c r="A388" s="0" t="s">
        <v>657</v>
      </c>
      <c r="B388" s="37" t="n">
        <v>45817</v>
      </c>
      <c r="C388" s="37" t="n">
        <v>45818</v>
      </c>
      <c r="D388" s="38" t="s">
        <v>202</v>
      </c>
      <c r="E388" s="38" t="s">
        <v>119</v>
      </c>
      <c r="F388" s="38" t="s">
        <v>100</v>
      </c>
      <c r="G388" s="38" t="s">
        <v>178</v>
      </c>
      <c r="H388" s="0" t="n">
        <v>3</v>
      </c>
      <c r="I388" s="39" t="n">
        <v>250</v>
      </c>
      <c r="J388" s="40" t="n">
        <v>0.05</v>
      </c>
      <c r="K388" s="39" t="n">
        <v>712.5</v>
      </c>
      <c r="L388" s="39" t="n">
        <v>360</v>
      </c>
      <c r="M388" s="39" t="n">
        <v>352.5</v>
      </c>
      <c r="N388" s="38" t="s">
        <v>146</v>
      </c>
      <c r="O388" s="38" t="n">
        <f aca="false">YEAR(B388)</f>
        <v>2025</v>
      </c>
      <c r="P388" s="41" t="n">
        <f aca="false">DATE(YEAR(B388),MONTH(B388),1)</f>
        <v>45809</v>
      </c>
      <c r="Q388" s="0" t="str">
        <f aca="false">INDEX(Products!$C$2:$C$16,MATCH(E388,Products!$A$2:$A$16,0))</f>
        <v>Office Supplies</v>
      </c>
      <c r="R388" s="0" t="str">
        <f aca="false">INDEX(Customers!$F$2:$F$101,MATCH(D388,Customers!$A$2:$A$101,0))</f>
        <v>South</v>
      </c>
      <c r="S388" s="0" t="str">
        <f aca="false">INDEX(Customers!$C$2:$C$101,MATCH(D388,Customers!$A$2:$A$101,0))</f>
        <v>Corporate</v>
      </c>
      <c r="T388" s="0" t="str">
        <f aca="false">INDEX(Customers!$D$2:$D$101,MATCH(D388,Customers!$A$2:$A$101,0))</f>
        <v>Hyderabad</v>
      </c>
    </row>
    <row r="389" customFormat="false" ht="15" hidden="false" customHeight="false" outlineLevel="0" collapsed="false">
      <c r="A389" s="0" t="s">
        <v>658</v>
      </c>
      <c r="B389" s="37" t="n">
        <v>46058</v>
      </c>
      <c r="C389" s="37" t="n">
        <v>46063</v>
      </c>
      <c r="D389" s="38" t="s">
        <v>260</v>
      </c>
      <c r="E389" s="38" t="s">
        <v>121</v>
      </c>
      <c r="F389" s="38" t="s">
        <v>100</v>
      </c>
      <c r="G389" s="38" t="s">
        <v>173</v>
      </c>
      <c r="H389" s="0" t="n">
        <v>1</v>
      </c>
      <c r="I389" s="39" t="n">
        <v>180</v>
      </c>
      <c r="J389" s="40" t="n">
        <v>0.1</v>
      </c>
      <c r="K389" s="39" t="n">
        <v>162</v>
      </c>
      <c r="L389" s="39" t="n">
        <v>70</v>
      </c>
      <c r="M389" s="39" t="n">
        <v>92</v>
      </c>
      <c r="N389" s="38" t="s">
        <v>66</v>
      </c>
      <c r="O389" s="38" t="n">
        <f aca="false">YEAR(B389)</f>
        <v>2026</v>
      </c>
      <c r="P389" s="41" t="n">
        <f aca="false">DATE(YEAR(B389),MONTH(B389),1)</f>
        <v>46054</v>
      </c>
      <c r="Q389" s="0" t="str">
        <f aca="false">INDEX(Products!$C$2:$C$16,MATCH(E389,Products!$A$2:$A$16,0))</f>
        <v>Office Supplies</v>
      </c>
      <c r="R389" s="0" t="str">
        <f aca="false">INDEX(Customers!$F$2:$F$101,MATCH(D389,Customers!$A$2:$A$101,0))</f>
        <v>West</v>
      </c>
      <c r="S389" s="0" t="str">
        <f aca="false">INDEX(Customers!$C$2:$C$101,MATCH(D389,Customers!$A$2:$A$101,0))</f>
        <v>Small Business</v>
      </c>
      <c r="T389" s="0" t="str">
        <f aca="false">INDEX(Customers!$D$2:$D$101,MATCH(D389,Customers!$A$2:$A$101,0))</f>
        <v>Mumbai</v>
      </c>
    </row>
    <row r="390" customFormat="false" ht="15" hidden="false" customHeight="false" outlineLevel="0" collapsed="false">
      <c r="A390" s="0" t="s">
        <v>659</v>
      </c>
      <c r="B390" s="37" t="n">
        <v>46091</v>
      </c>
      <c r="C390" s="37" t="n">
        <v>46093</v>
      </c>
      <c r="D390" s="38" t="s">
        <v>454</v>
      </c>
      <c r="E390" s="38" t="s">
        <v>126</v>
      </c>
      <c r="F390" s="38" t="s">
        <v>101</v>
      </c>
      <c r="G390" s="38" t="s">
        <v>170</v>
      </c>
      <c r="H390" s="0" t="n">
        <v>1</v>
      </c>
      <c r="I390" s="39" t="n">
        <v>1200</v>
      </c>
      <c r="J390" s="40" t="n">
        <v>0.25</v>
      </c>
      <c r="K390" s="39" t="n">
        <v>900</v>
      </c>
      <c r="L390" s="39" t="n">
        <v>700</v>
      </c>
      <c r="M390" s="39" t="n">
        <v>200</v>
      </c>
      <c r="N390" s="38" t="s">
        <v>66</v>
      </c>
      <c r="O390" s="38" t="n">
        <f aca="false">YEAR(B390)</f>
        <v>2026</v>
      </c>
      <c r="P390" s="41" t="n">
        <f aca="false">DATE(YEAR(B390),MONTH(B390),1)</f>
        <v>46082</v>
      </c>
      <c r="Q390" s="0" t="str">
        <f aca="false">INDEX(Products!$C$2:$C$16,MATCH(E390,Products!$A$2:$A$16,0))</f>
        <v>Furniture</v>
      </c>
      <c r="R390" s="0" t="str">
        <f aca="false">INDEX(Customers!$F$2:$F$101,MATCH(D390,Customers!$A$2:$A$101,0))</f>
        <v>West</v>
      </c>
      <c r="S390" s="0" t="str">
        <f aca="false">INDEX(Customers!$C$2:$C$101,MATCH(D390,Customers!$A$2:$A$101,0))</f>
        <v>Consumer</v>
      </c>
      <c r="T390" s="0" t="str">
        <f aca="false">INDEX(Customers!$D$2:$D$101,MATCH(D390,Customers!$A$2:$A$101,0))</f>
        <v>Pune</v>
      </c>
    </row>
    <row r="391" customFormat="false" ht="15" hidden="false" customHeight="false" outlineLevel="0" collapsed="false">
      <c r="A391" s="0" t="s">
        <v>660</v>
      </c>
      <c r="B391" s="37" t="n">
        <v>45888</v>
      </c>
      <c r="C391" s="37" t="n">
        <v>45893</v>
      </c>
      <c r="D391" s="38" t="s">
        <v>345</v>
      </c>
      <c r="E391" s="38" t="s">
        <v>114</v>
      </c>
      <c r="F391" s="38" t="s">
        <v>100</v>
      </c>
      <c r="G391" s="38" t="s">
        <v>178</v>
      </c>
      <c r="H391" s="0" t="n">
        <v>1</v>
      </c>
      <c r="I391" s="39" t="n">
        <v>800</v>
      </c>
      <c r="J391" s="40" t="n">
        <v>0.25</v>
      </c>
      <c r="K391" s="39" t="n">
        <v>600</v>
      </c>
      <c r="L391" s="39" t="n">
        <v>420</v>
      </c>
      <c r="M391" s="39" t="n">
        <v>180</v>
      </c>
      <c r="N391" s="38" t="s">
        <v>147</v>
      </c>
      <c r="O391" s="38" t="n">
        <f aca="false">YEAR(B391)</f>
        <v>2025</v>
      </c>
      <c r="P391" s="41" t="n">
        <f aca="false">DATE(YEAR(B391),MONTH(B391),1)</f>
        <v>45870</v>
      </c>
      <c r="Q391" s="0" t="str">
        <f aca="false">INDEX(Products!$C$2:$C$16,MATCH(E391,Products!$A$2:$A$16,0))</f>
        <v>Technology</v>
      </c>
      <c r="R391" s="0" t="str">
        <f aca="false">INDEX(Customers!$F$2:$F$101,MATCH(D391,Customers!$A$2:$A$101,0))</f>
        <v>West</v>
      </c>
      <c r="S391" s="0" t="str">
        <f aca="false">INDEX(Customers!$C$2:$C$101,MATCH(D391,Customers!$A$2:$A$101,0))</f>
        <v>Consumer</v>
      </c>
      <c r="T391" s="0" t="str">
        <f aca="false">INDEX(Customers!$D$2:$D$101,MATCH(D391,Customers!$A$2:$A$101,0))</f>
        <v>Ahmedabad</v>
      </c>
    </row>
    <row r="392" customFormat="false" ht="15" hidden="false" customHeight="false" outlineLevel="0" collapsed="false">
      <c r="A392" s="0" t="s">
        <v>661</v>
      </c>
      <c r="B392" s="37" t="n">
        <v>45953</v>
      </c>
      <c r="C392" s="37" t="n">
        <v>45957</v>
      </c>
      <c r="D392" s="38" t="s">
        <v>177</v>
      </c>
      <c r="E392" s="38" t="s">
        <v>127</v>
      </c>
      <c r="F392" s="38" t="s">
        <v>101</v>
      </c>
      <c r="G392" s="38" t="s">
        <v>178</v>
      </c>
      <c r="H392" s="0" t="n">
        <v>4</v>
      </c>
      <c r="I392" s="39" t="n">
        <v>18000</v>
      </c>
      <c r="J392" s="40" t="n">
        <v>0</v>
      </c>
      <c r="K392" s="39" t="n">
        <v>72000</v>
      </c>
      <c r="L392" s="39" t="n">
        <v>56000</v>
      </c>
      <c r="M392" s="39" t="n">
        <v>16000</v>
      </c>
      <c r="N392" s="38" t="s">
        <v>66</v>
      </c>
      <c r="O392" s="38" t="n">
        <f aca="false">YEAR(B392)</f>
        <v>2025</v>
      </c>
      <c r="P392" s="41" t="n">
        <f aca="false">DATE(YEAR(B392),MONTH(B392),1)</f>
        <v>45931</v>
      </c>
      <c r="Q392" s="0" t="str">
        <f aca="false">INDEX(Products!$C$2:$C$16,MATCH(E392,Products!$A$2:$A$16,0))</f>
        <v>Technology</v>
      </c>
      <c r="R392" s="0" t="str">
        <f aca="false">INDEX(Customers!$F$2:$F$101,MATCH(D392,Customers!$A$2:$A$101,0))</f>
        <v>North</v>
      </c>
      <c r="S392" s="0" t="str">
        <f aca="false">INDEX(Customers!$C$2:$C$101,MATCH(D392,Customers!$A$2:$A$101,0))</f>
        <v>Consumer</v>
      </c>
      <c r="T392" s="0" t="str">
        <f aca="false">INDEX(Customers!$D$2:$D$101,MATCH(D392,Customers!$A$2:$A$101,0))</f>
        <v>Gurugram</v>
      </c>
    </row>
    <row r="393" customFormat="false" ht="15" hidden="false" customHeight="false" outlineLevel="0" collapsed="false">
      <c r="A393" s="0" t="s">
        <v>662</v>
      </c>
      <c r="B393" s="37" t="n">
        <v>45464</v>
      </c>
      <c r="C393" s="37" t="n">
        <v>45469</v>
      </c>
      <c r="D393" s="38" t="s">
        <v>187</v>
      </c>
      <c r="E393" s="38" t="s">
        <v>113</v>
      </c>
      <c r="F393" s="38" t="s">
        <v>101</v>
      </c>
      <c r="G393" s="38" t="s">
        <v>185</v>
      </c>
      <c r="H393" s="0" t="n">
        <v>2</v>
      </c>
      <c r="I393" s="39" t="n">
        <v>45000</v>
      </c>
      <c r="J393" s="40" t="n">
        <v>0.2</v>
      </c>
      <c r="K393" s="39" t="n">
        <v>72000</v>
      </c>
      <c r="L393" s="39" t="n">
        <v>72000</v>
      </c>
      <c r="M393" s="39" t="n">
        <v>0</v>
      </c>
      <c r="N393" s="38" t="s">
        <v>66</v>
      </c>
      <c r="O393" s="38" t="n">
        <f aca="false">YEAR(B393)</f>
        <v>2024</v>
      </c>
      <c r="P393" s="41" t="n">
        <f aca="false">DATE(YEAR(B393),MONTH(B393),1)</f>
        <v>45444</v>
      </c>
      <c r="Q393" s="0" t="str">
        <f aca="false">INDEX(Products!$C$2:$C$16,MATCH(E393,Products!$A$2:$A$16,0))</f>
        <v>Technology</v>
      </c>
      <c r="R393" s="0" t="str">
        <f aca="false">INDEX(Customers!$F$2:$F$101,MATCH(D393,Customers!$A$2:$A$101,0))</f>
        <v>South</v>
      </c>
      <c r="S393" s="0" t="str">
        <f aca="false">INDEX(Customers!$C$2:$C$101,MATCH(D393,Customers!$A$2:$A$101,0))</f>
        <v>Consumer</v>
      </c>
      <c r="T393" s="0" t="str">
        <f aca="false">INDEX(Customers!$D$2:$D$101,MATCH(D393,Customers!$A$2:$A$101,0))</f>
        <v>Bengaluru</v>
      </c>
    </row>
    <row r="394" customFormat="false" ht="15" hidden="false" customHeight="false" outlineLevel="0" collapsed="false">
      <c r="A394" s="0" t="s">
        <v>663</v>
      </c>
      <c r="B394" s="37" t="n">
        <v>45468</v>
      </c>
      <c r="C394" s="37" t="n">
        <v>45471</v>
      </c>
      <c r="D394" s="38" t="s">
        <v>312</v>
      </c>
      <c r="E394" s="38" t="s">
        <v>119</v>
      </c>
      <c r="F394" s="38" t="s">
        <v>101</v>
      </c>
      <c r="G394" s="38" t="s">
        <v>170</v>
      </c>
      <c r="H394" s="0" t="n">
        <v>1</v>
      </c>
      <c r="I394" s="39" t="n">
        <v>250</v>
      </c>
      <c r="J394" s="40" t="n">
        <v>0</v>
      </c>
      <c r="K394" s="39" t="n">
        <v>250</v>
      </c>
      <c r="L394" s="39" t="n">
        <v>120</v>
      </c>
      <c r="M394" s="39" t="n">
        <v>130</v>
      </c>
      <c r="N394" s="38" t="s">
        <v>66</v>
      </c>
      <c r="O394" s="38" t="n">
        <f aca="false">YEAR(B394)</f>
        <v>2024</v>
      </c>
      <c r="P394" s="41" t="n">
        <f aca="false">DATE(YEAR(B394),MONTH(B394),1)</f>
        <v>45444</v>
      </c>
      <c r="Q394" s="0" t="str">
        <f aca="false">INDEX(Products!$C$2:$C$16,MATCH(E394,Products!$A$2:$A$16,0))</f>
        <v>Office Supplies</v>
      </c>
      <c r="R394" s="0" t="str">
        <f aca="false">INDEX(Customers!$F$2:$F$101,MATCH(D394,Customers!$A$2:$A$101,0))</f>
        <v>North</v>
      </c>
      <c r="S394" s="0" t="str">
        <f aca="false">INDEX(Customers!$C$2:$C$101,MATCH(D394,Customers!$A$2:$A$101,0))</f>
        <v>Corporate</v>
      </c>
      <c r="T394" s="0" t="str">
        <f aca="false">INDEX(Customers!$D$2:$D$101,MATCH(D394,Customers!$A$2:$A$101,0))</f>
        <v>Delhi</v>
      </c>
    </row>
    <row r="395" customFormat="false" ht="15" hidden="false" customHeight="false" outlineLevel="0" collapsed="false">
      <c r="A395" s="0" t="s">
        <v>664</v>
      </c>
      <c r="B395" s="37" t="n">
        <v>45920</v>
      </c>
      <c r="C395" s="37" t="n">
        <v>45925</v>
      </c>
      <c r="D395" s="38" t="s">
        <v>331</v>
      </c>
      <c r="E395" s="38" t="s">
        <v>113</v>
      </c>
      <c r="F395" s="38" t="s">
        <v>101</v>
      </c>
      <c r="G395" s="38" t="s">
        <v>185</v>
      </c>
      <c r="H395" s="0" t="n">
        <v>3</v>
      </c>
      <c r="I395" s="39" t="n">
        <v>45000</v>
      </c>
      <c r="J395" s="40" t="n">
        <v>0.2</v>
      </c>
      <c r="K395" s="39" t="n">
        <v>108000</v>
      </c>
      <c r="L395" s="39" t="n">
        <v>108000</v>
      </c>
      <c r="M395" s="39" t="n">
        <v>0</v>
      </c>
      <c r="N395" s="38" t="s">
        <v>66</v>
      </c>
      <c r="O395" s="38" t="n">
        <f aca="false">YEAR(B395)</f>
        <v>2025</v>
      </c>
      <c r="P395" s="41" t="n">
        <f aca="false">DATE(YEAR(B395),MONTH(B395),1)</f>
        <v>45901</v>
      </c>
      <c r="Q395" s="0" t="str">
        <f aca="false">INDEX(Products!$C$2:$C$16,MATCH(E395,Products!$A$2:$A$16,0))</f>
        <v>Technology</v>
      </c>
      <c r="R395" s="0" t="str">
        <f aca="false">INDEX(Customers!$F$2:$F$101,MATCH(D395,Customers!$A$2:$A$101,0))</f>
        <v>North</v>
      </c>
      <c r="S395" s="0" t="str">
        <f aca="false">INDEX(Customers!$C$2:$C$101,MATCH(D395,Customers!$A$2:$A$101,0))</f>
        <v>Corporate</v>
      </c>
      <c r="T395" s="0" t="str">
        <f aca="false">INDEX(Customers!$D$2:$D$101,MATCH(D395,Customers!$A$2:$A$101,0))</f>
        <v>Delhi</v>
      </c>
    </row>
    <row r="396" customFormat="false" ht="15" hidden="false" customHeight="false" outlineLevel="0" collapsed="false">
      <c r="A396" s="0" t="s">
        <v>665</v>
      </c>
      <c r="B396" s="37" t="n">
        <v>45354</v>
      </c>
      <c r="C396" s="37" t="n">
        <v>45355</v>
      </c>
      <c r="D396" s="38" t="s">
        <v>287</v>
      </c>
      <c r="E396" s="38" t="s">
        <v>120</v>
      </c>
      <c r="F396" s="38" t="s">
        <v>101</v>
      </c>
      <c r="G396" s="38" t="s">
        <v>173</v>
      </c>
      <c r="H396" s="0" t="n">
        <v>1</v>
      </c>
      <c r="I396" s="39" t="n">
        <v>400</v>
      </c>
      <c r="J396" s="40" t="n">
        <v>0</v>
      </c>
      <c r="K396" s="39" t="n">
        <v>400</v>
      </c>
      <c r="L396" s="39" t="n">
        <v>260</v>
      </c>
      <c r="M396" s="39" t="n">
        <v>140</v>
      </c>
      <c r="N396" s="38" t="s">
        <v>66</v>
      </c>
      <c r="O396" s="38" t="n">
        <f aca="false">YEAR(B396)</f>
        <v>2024</v>
      </c>
      <c r="P396" s="41" t="n">
        <f aca="false">DATE(YEAR(B396),MONTH(B396),1)</f>
        <v>45352</v>
      </c>
      <c r="Q396" s="0" t="str">
        <f aca="false">INDEX(Products!$C$2:$C$16,MATCH(E396,Products!$A$2:$A$16,0))</f>
        <v>Office Supplies</v>
      </c>
      <c r="R396" s="0" t="str">
        <f aca="false">INDEX(Customers!$F$2:$F$101,MATCH(D396,Customers!$A$2:$A$101,0))</f>
        <v>South</v>
      </c>
      <c r="S396" s="0" t="str">
        <f aca="false">INDEX(Customers!$C$2:$C$101,MATCH(D396,Customers!$A$2:$A$101,0))</f>
        <v>Small Business</v>
      </c>
      <c r="T396" s="0" t="str">
        <f aca="false">INDEX(Customers!$D$2:$D$101,MATCH(D396,Customers!$A$2:$A$101,0))</f>
        <v>Chennai</v>
      </c>
    </row>
    <row r="397" customFormat="false" ht="15" hidden="false" customHeight="false" outlineLevel="0" collapsed="false">
      <c r="A397" s="0" t="s">
        <v>666</v>
      </c>
      <c r="B397" s="37" t="n">
        <v>45937</v>
      </c>
      <c r="C397" s="37" t="n">
        <v>45944</v>
      </c>
      <c r="D397" s="38" t="s">
        <v>379</v>
      </c>
      <c r="E397" s="38" t="s">
        <v>116</v>
      </c>
      <c r="F397" s="38" t="s">
        <v>101</v>
      </c>
      <c r="G397" s="38" t="s">
        <v>170</v>
      </c>
      <c r="H397" s="0" t="n">
        <v>2</v>
      </c>
      <c r="I397" s="39" t="n">
        <v>12000</v>
      </c>
      <c r="J397" s="40" t="n">
        <v>0</v>
      </c>
      <c r="K397" s="39" t="n">
        <v>24000</v>
      </c>
      <c r="L397" s="39" t="n">
        <v>18000</v>
      </c>
      <c r="M397" s="39" t="n">
        <v>6000</v>
      </c>
      <c r="N397" s="38" t="s">
        <v>66</v>
      </c>
      <c r="O397" s="38" t="n">
        <f aca="false">YEAR(B397)</f>
        <v>2025</v>
      </c>
      <c r="P397" s="41" t="n">
        <f aca="false">DATE(YEAR(B397),MONTH(B397),1)</f>
        <v>45931</v>
      </c>
      <c r="Q397" s="0" t="str">
        <f aca="false">INDEX(Products!$C$2:$C$16,MATCH(E397,Products!$A$2:$A$16,0))</f>
        <v>Technology</v>
      </c>
      <c r="R397" s="0" t="str">
        <f aca="false">INDEX(Customers!$F$2:$F$101,MATCH(D397,Customers!$A$2:$A$101,0))</f>
        <v>North</v>
      </c>
      <c r="S397" s="0" t="str">
        <f aca="false">INDEX(Customers!$C$2:$C$101,MATCH(D397,Customers!$A$2:$A$101,0))</f>
        <v>Consumer</v>
      </c>
      <c r="T397" s="0" t="str">
        <f aca="false">INDEX(Customers!$D$2:$D$101,MATCH(D397,Customers!$A$2:$A$101,0))</f>
        <v>Lucknow</v>
      </c>
    </row>
    <row r="398" customFormat="false" ht="15" hidden="false" customHeight="false" outlineLevel="0" collapsed="false">
      <c r="A398" s="0" t="s">
        <v>667</v>
      </c>
      <c r="B398" s="37" t="n">
        <v>46226</v>
      </c>
      <c r="C398" s="37" t="n">
        <v>46231</v>
      </c>
      <c r="D398" s="38" t="s">
        <v>238</v>
      </c>
      <c r="E398" s="38" t="s">
        <v>118</v>
      </c>
      <c r="F398" s="38" t="s">
        <v>101</v>
      </c>
      <c r="G398" s="38" t="s">
        <v>173</v>
      </c>
      <c r="H398" s="0" t="n">
        <v>2</v>
      </c>
      <c r="I398" s="39" t="n">
        <v>9000</v>
      </c>
      <c r="J398" s="40" t="n">
        <v>0.1</v>
      </c>
      <c r="K398" s="39" t="n">
        <v>16200</v>
      </c>
      <c r="L398" s="39" t="n">
        <v>13000</v>
      </c>
      <c r="M398" s="39" t="n">
        <v>3200</v>
      </c>
      <c r="N398" s="38" t="s">
        <v>66</v>
      </c>
      <c r="O398" s="38" t="n">
        <f aca="false">YEAR(B398)</f>
        <v>2026</v>
      </c>
      <c r="P398" s="41" t="n">
        <f aca="false">DATE(YEAR(B398),MONTH(B398),1)</f>
        <v>46204</v>
      </c>
      <c r="Q398" s="0" t="str">
        <f aca="false">INDEX(Products!$C$2:$C$16,MATCH(E398,Products!$A$2:$A$16,0))</f>
        <v>Furniture</v>
      </c>
      <c r="R398" s="0" t="str">
        <f aca="false">INDEX(Customers!$F$2:$F$101,MATCH(D398,Customers!$A$2:$A$101,0))</f>
        <v>North</v>
      </c>
      <c r="S398" s="0" t="str">
        <f aca="false">INDEX(Customers!$C$2:$C$101,MATCH(D398,Customers!$A$2:$A$101,0))</f>
        <v>Small Business</v>
      </c>
      <c r="T398" s="0" t="str">
        <f aca="false">INDEX(Customers!$D$2:$D$101,MATCH(D398,Customers!$A$2:$A$101,0))</f>
        <v>Lucknow</v>
      </c>
    </row>
    <row r="399" customFormat="false" ht="15" hidden="false" customHeight="false" outlineLevel="0" collapsed="false">
      <c r="A399" s="0" t="s">
        <v>668</v>
      </c>
      <c r="B399" s="37" t="n">
        <v>45322</v>
      </c>
      <c r="C399" s="37" t="n">
        <v>45329</v>
      </c>
      <c r="D399" s="38" t="s">
        <v>266</v>
      </c>
      <c r="E399" s="38" t="s">
        <v>116</v>
      </c>
      <c r="F399" s="38" t="s">
        <v>101</v>
      </c>
      <c r="G399" s="38" t="s">
        <v>188</v>
      </c>
      <c r="H399" s="0" t="n">
        <v>4</v>
      </c>
      <c r="I399" s="39" t="n">
        <v>12000</v>
      </c>
      <c r="J399" s="40" t="n">
        <v>0</v>
      </c>
      <c r="K399" s="39" t="n">
        <v>48000</v>
      </c>
      <c r="L399" s="39" t="n">
        <v>36000</v>
      </c>
      <c r="M399" s="39" t="n">
        <v>12000</v>
      </c>
      <c r="N399" s="38" t="s">
        <v>66</v>
      </c>
      <c r="O399" s="38" t="n">
        <f aca="false">YEAR(B399)</f>
        <v>2024</v>
      </c>
      <c r="P399" s="41" t="n">
        <f aca="false">DATE(YEAR(B399),MONTH(B399),1)</f>
        <v>45292</v>
      </c>
      <c r="Q399" s="0" t="str">
        <f aca="false">INDEX(Products!$C$2:$C$16,MATCH(E399,Products!$A$2:$A$16,0))</f>
        <v>Technology</v>
      </c>
      <c r="R399" s="0" t="str">
        <f aca="false">INDEX(Customers!$F$2:$F$101,MATCH(D399,Customers!$A$2:$A$101,0))</f>
        <v>West</v>
      </c>
      <c r="S399" s="0" t="str">
        <f aca="false">INDEX(Customers!$C$2:$C$101,MATCH(D399,Customers!$A$2:$A$101,0))</f>
        <v>Consumer</v>
      </c>
      <c r="T399" s="0" t="str">
        <f aca="false">INDEX(Customers!$D$2:$D$101,MATCH(D399,Customers!$A$2:$A$101,0))</f>
        <v>Pune</v>
      </c>
    </row>
    <row r="400" customFormat="false" ht="15" hidden="false" customHeight="false" outlineLevel="0" collapsed="false">
      <c r="A400" s="0" t="s">
        <v>669</v>
      </c>
      <c r="B400" s="37" t="n">
        <v>46289</v>
      </c>
      <c r="C400" s="37" t="n">
        <v>46291</v>
      </c>
      <c r="D400" s="38" t="s">
        <v>200</v>
      </c>
      <c r="E400" s="38" t="s">
        <v>116</v>
      </c>
      <c r="F400" s="38" t="s">
        <v>100</v>
      </c>
      <c r="G400" s="38" t="s">
        <v>170</v>
      </c>
      <c r="H400" s="0" t="n">
        <v>1</v>
      </c>
      <c r="I400" s="39" t="n">
        <v>12000</v>
      </c>
      <c r="J400" s="40" t="n">
        <v>0.2</v>
      </c>
      <c r="K400" s="39" t="n">
        <v>9600</v>
      </c>
      <c r="L400" s="39" t="n">
        <v>9000</v>
      </c>
      <c r="M400" s="39" t="n">
        <v>600</v>
      </c>
      <c r="N400" s="38" t="s">
        <v>66</v>
      </c>
      <c r="O400" s="38" t="n">
        <f aca="false">YEAR(B400)</f>
        <v>2026</v>
      </c>
      <c r="P400" s="41" t="n">
        <f aca="false">DATE(YEAR(B400),MONTH(B400),1)</f>
        <v>46266</v>
      </c>
      <c r="Q400" s="0" t="str">
        <f aca="false">INDEX(Products!$C$2:$C$16,MATCH(E400,Products!$A$2:$A$16,0))</f>
        <v>Technology</v>
      </c>
      <c r="R400" s="0" t="str">
        <f aca="false">INDEX(Customers!$F$2:$F$101,MATCH(D400,Customers!$A$2:$A$101,0))</f>
        <v>West</v>
      </c>
      <c r="S400" s="0" t="str">
        <f aca="false">INDEX(Customers!$C$2:$C$101,MATCH(D400,Customers!$A$2:$A$101,0))</f>
        <v>Corporate</v>
      </c>
      <c r="T400" s="0" t="str">
        <f aca="false">INDEX(Customers!$D$2:$D$101,MATCH(D400,Customers!$A$2:$A$101,0))</f>
        <v>Mumbai</v>
      </c>
    </row>
    <row r="401" customFormat="false" ht="15" hidden="false" customHeight="false" outlineLevel="0" collapsed="false">
      <c r="A401" s="0" t="s">
        <v>670</v>
      </c>
      <c r="B401" s="37" t="n">
        <v>46074</v>
      </c>
      <c r="C401" s="37" t="n">
        <v>46076</v>
      </c>
      <c r="D401" s="38" t="s">
        <v>341</v>
      </c>
      <c r="E401" s="38" t="s">
        <v>113</v>
      </c>
      <c r="F401" s="38" t="s">
        <v>101</v>
      </c>
      <c r="G401" s="38" t="s">
        <v>170</v>
      </c>
      <c r="H401" s="0" t="n">
        <v>3</v>
      </c>
      <c r="I401" s="39" t="n">
        <v>45000</v>
      </c>
      <c r="J401" s="40" t="n">
        <v>0.25</v>
      </c>
      <c r="K401" s="39" t="n">
        <v>101250</v>
      </c>
      <c r="L401" s="39" t="n">
        <v>108000</v>
      </c>
      <c r="M401" s="39" t="n">
        <v>-6750</v>
      </c>
      <c r="N401" s="38" t="s">
        <v>146</v>
      </c>
      <c r="O401" s="38" t="n">
        <f aca="false">YEAR(B401)</f>
        <v>2026</v>
      </c>
      <c r="P401" s="41" t="n">
        <f aca="false">DATE(YEAR(B401),MONTH(B401),1)</f>
        <v>46054</v>
      </c>
      <c r="Q401" s="0" t="str">
        <f aca="false">INDEX(Products!$C$2:$C$16,MATCH(E401,Products!$A$2:$A$16,0))</f>
        <v>Technology</v>
      </c>
      <c r="R401" s="0" t="str">
        <f aca="false">INDEX(Customers!$F$2:$F$101,MATCH(D401,Customers!$A$2:$A$101,0))</f>
        <v>North</v>
      </c>
      <c r="S401" s="0" t="str">
        <f aca="false">INDEX(Customers!$C$2:$C$101,MATCH(D401,Customers!$A$2:$A$101,0))</f>
        <v>Corporate</v>
      </c>
      <c r="T401" s="0" t="str">
        <f aca="false">INDEX(Customers!$D$2:$D$101,MATCH(D401,Customers!$A$2:$A$101,0))</f>
        <v>Delhi</v>
      </c>
    </row>
    <row r="402" customFormat="false" ht="15" hidden="false" customHeight="false" outlineLevel="0" collapsed="false">
      <c r="A402" s="0" t="s">
        <v>671</v>
      </c>
      <c r="B402" s="37" t="n">
        <v>45534</v>
      </c>
      <c r="C402" s="37" t="n">
        <v>45539</v>
      </c>
      <c r="D402" s="38" t="s">
        <v>246</v>
      </c>
      <c r="E402" s="38" t="s">
        <v>115</v>
      </c>
      <c r="F402" s="38" t="s">
        <v>102</v>
      </c>
      <c r="G402" s="38" t="s">
        <v>170</v>
      </c>
      <c r="H402" s="0" t="n">
        <v>2</v>
      </c>
      <c r="I402" s="39" t="n">
        <v>1500</v>
      </c>
      <c r="J402" s="40" t="n">
        <v>0.2</v>
      </c>
      <c r="K402" s="39" t="n">
        <v>2400</v>
      </c>
      <c r="L402" s="39" t="n">
        <v>1700</v>
      </c>
      <c r="M402" s="39" t="n">
        <v>700</v>
      </c>
      <c r="N402" s="38" t="s">
        <v>146</v>
      </c>
      <c r="O402" s="38" t="n">
        <f aca="false">YEAR(B402)</f>
        <v>2024</v>
      </c>
      <c r="P402" s="41" t="n">
        <f aca="false">DATE(YEAR(B402),MONTH(B402),1)</f>
        <v>45505</v>
      </c>
      <c r="Q402" s="0" t="str">
        <f aca="false">INDEX(Products!$C$2:$C$16,MATCH(E402,Products!$A$2:$A$16,0))</f>
        <v>Technology</v>
      </c>
      <c r="R402" s="0" t="str">
        <f aca="false">INDEX(Customers!$F$2:$F$101,MATCH(D402,Customers!$A$2:$A$101,0))</f>
        <v>North</v>
      </c>
      <c r="S402" s="0" t="str">
        <f aca="false">INDEX(Customers!$C$2:$C$101,MATCH(D402,Customers!$A$2:$A$101,0))</f>
        <v>Consumer</v>
      </c>
      <c r="T402" s="0" t="str">
        <f aca="false">INDEX(Customers!$D$2:$D$101,MATCH(D402,Customers!$A$2:$A$101,0))</f>
        <v>Jaipur</v>
      </c>
    </row>
    <row r="403" customFormat="false" ht="15" hidden="false" customHeight="false" outlineLevel="0" collapsed="false">
      <c r="A403" s="0" t="s">
        <v>672</v>
      </c>
      <c r="B403" s="37" t="n">
        <v>46009</v>
      </c>
      <c r="C403" s="37" t="n">
        <v>46012</v>
      </c>
      <c r="D403" s="38" t="s">
        <v>221</v>
      </c>
      <c r="E403" s="38" t="s">
        <v>124</v>
      </c>
      <c r="F403" s="38" t="s">
        <v>100</v>
      </c>
      <c r="G403" s="38" t="s">
        <v>188</v>
      </c>
      <c r="H403" s="0" t="n">
        <v>8</v>
      </c>
      <c r="I403" s="39" t="n">
        <v>3000</v>
      </c>
      <c r="J403" s="40" t="n">
        <v>0.15</v>
      </c>
      <c r="K403" s="39" t="n">
        <v>20400</v>
      </c>
      <c r="L403" s="39" t="n">
        <v>15200</v>
      </c>
      <c r="M403" s="39" t="n">
        <v>5200</v>
      </c>
      <c r="N403" s="38" t="s">
        <v>146</v>
      </c>
      <c r="O403" s="38" t="n">
        <f aca="false">YEAR(B403)</f>
        <v>2025</v>
      </c>
      <c r="P403" s="41" t="n">
        <f aca="false">DATE(YEAR(B403),MONTH(B403),1)</f>
        <v>45992</v>
      </c>
      <c r="Q403" s="0" t="str">
        <f aca="false">INDEX(Products!$C$2:$C$16,MATCH(E403,Products!$A$2:$A$16,0))</f>
        <v>Technology</v>
      </c>
      <c r="R403" s="0" t="str">
        <f aca="false">INDEX(Customers!$F$2:$F$101,MATCH(D403,Customers!$A$2:$A$101,0))</f>
        <v>North</v>
      </c>
      <c r="S403" s="0" t="str">
        <f aca="false">INDEX(Customers!$C$2:$C$101,MATCH(D403,Customers!$A$2:$A$101,0))</f>
        <v>Consumer</v>
      </c>
      <c r="T403" s="0" t="str">
        <f aca="false">INDEX(Customers!$D$2:$D$101,MATCH(D403,Customers!$A$2:$A$101,0))</f>
        <v>Delhi</v>
      </c>
    </row>
    <row r="404" customFormat="false" ht="15" hidden="false" customHeight="false" outlineLevel="0" collapsed="false">
      <c r="A404" s="0" t="s">
        <v>673</v>
      </c>
      <c r="B404" s="37" t="n">
        <v>45608</v>
      </c>
      <c r="C404" s="37" t="n">
        <v>45610</v>
      </c>
      <c r="D404" s="38" t="s">
        <v>467</v>
      </c>
      <c r="E404" s="38" t="s">
        <v>121</v>
      </c>
      <c r="F404" s="38" t="s">
        <v>100</v>
      </c>
      <c r="G404" s="38" t="s">
        <v>173</v>
      </c>
      <c r="H404" s="0" t="n">
        <v>2</v>
      </c>
      <c r="I404" s="39" t="n">
        <v>180</v>
      </c>
      <c r="J404" s="40" t="n">
        <v>0</v>
      </c>
      <c r="K404" s="39" t="n">
        <v>360</v>
      </c>
      <c r="L404" s="39" t="n">
        <v>140</v>
      </c>
      <c r="M404" s="39" t="n">
        <v>220</v>
      </c>
      <c r="N404" s="38" t="s">
        <v>66</v>
      </c>
      <c r="O404" s="38" t="n">
        <f aca="false">YEAR(B404)</f>
        <v>2024</v>
      </c>
      <c r="P404" s="41" t="n">
        <f aca="false">DATE(YEAR(B404),MONTH(B404),1)</f>
        <v>45597</v>
      </c>
      <c r="Q404" s="0" t="str">
        <f aca="false">INDEX(Products!$C$2:$C$16,MATCH(E404,Products!$A$2:$A$16,0))</f>
        <v>Office Supplies</v>
      </c>
      <c r="R404" s="0" t="str">
        <f aca="false">INDEX(Customers!$F$2:$F$101,MATCH(D404,Customers!$A$2:$A$101,0))</f>
        <v>West</v>
      </c>
      <c r="S404" s="0" t="str">
        <f aca="false">INDEX(Customers!$C$2:$C$101,MATCH(D404,Customers!$A$2:$A$101,0))</f>
        <v>Corporate</v>
      </c>
      <c r="T404" s="0" t="str">
        <f aca="false">INDEX(Customers!$D$2:$D$101,MATCH(D404,Customers!$A$2:$A$101,0))</f>
        <v>Ahmedabad</v>
      </c>
    </row>
    <row r="405" customFormat="false" ht="15" hidden="false" customHeight="false" outlineLevel="0" collapsed="false">
      <c r="A405" s="0" t="s">
        <v>674</v>
      </c>
      <c r="B405" s="37" t="n">
        <v>45781</v>
      </c>
      <c r="C405" s="37" t="n">
        <v>45782</v>
      </c>
      <c r="D405" s="38" t="s">
        <v>675</v>
      </c>
      <c r="E405" s="38" t="s">
        <v>121</v>
      </c>
      <c r="F405" s="38" t="s">
        <v>100</v>
      </c>
      <c r="G405" s="38" t="s">
        <v>173</v>
      </c>
      <c r="H405" s="0" t="n">
        <v>2</v>
      </c>
      <c r="I405" s="39" t="n">
        <v>180</v>
      </c>
      <c r="J405" s="40" t="n">
        <v>0.15</v>
      </c>
      <c r="K405" s="39" t="n">
        <v>306</v>
      </c>
      <c r="L405" s="39" t="n">
        <v>140</v>
      </c>
      <c r="M405" s="39" t="n">
        <v>166</v>
      </c>
      <c r="N405" s="38" t="s">
        <v>66</v>
      </c>
      <c r="O405" s="38" t="n">
        <f aca="false">YEAR(B405)</f>
        <v>2025</v>
      </c>
      <c r="P405" s="41" t="n">
        <f aca="false">DATE(YEAR(B405),MONTH(B405),1)</f>
        <v>45778</v>
      </c>
      <c r="Q405" s="0" t="str">
        <f aca="false">INDEX(Products!$C$2:$C$16,MATCH(E405,Products!$A$2:$A$16,0))</f>
        <v>Office Supplies</v>
      </c>
      <c r="R405" s="0" t="str">
        <f aca="false">INDEX(Customers!$F$2:$F$101,MATCH(D405,Customers!$A$2:$A$101,0))</f>
        <v>East</v>
      </c>
      <c r="S405" s="0" t="str">
        <f aca="false">INDEX(Customers!$C$2:$C$101,MATCH(D405,Customers!$A$2:$A$101,0))</f>
        <v>Small Business</v>
      </c>
      <c r="T405" s="0" t="str">
        <f aca="false">INDEX(Customers!$D$2:$D$101,MATCH(D405,Customers!$A$2:$A$101,0))</f>
        <v>Kolkata</v>
      </c>
    </row>
    <row r="406" customFormat="false" ht="15" hidden="false" customHeight="false" outlineLevel="0" collapsed="false">
      <c r="A406" s="0" t="s">
        <v>676</v>
      </c>
      <c r="B406" s="37" t="n">
        <v>46113</v>
      </c>
      <c r="C406" s="37" t="n">
        <v>46120</v>
      </c>
      <c r="D406" s="38" t="s">
        <v>246</v>
      </c>
      <c r="E406" s="38" t="s">
        <v>127</v>
      </c>
      <c r="F406" s="38" t="s">
        <v>100</v>
      </c>
      <c r="G406" s="38" t="s">
        <v>173</v>
      </c>
      <c r="H406" s="0" t="n">
        <v>5</v>
      </c>
      <c r="I406" s="39" t="n">
        <v>18000</v>
      </c>
      <c r="J406" s="40" t="n">
        <v>0</v>
      </c>
      <c r="K406" s="39" t="n">
        <v>90000</v>
      </c>
      <c r="L406" s="39" t="n">
        <v>70000</v>
      </c>
      <c r="M406" s="39" t="n">
        <v>20000</v>
      </c>
      <c r="N406" s="38" t="s">
        <v>66</v>
      </c>
      <c r="O406" s="38" t="n">
        <f aca="false">YEAR(B406)</f>
        <v>2026</v>
      </c>
      <c r="P406" s="41" t="n">
        <f aca="false">DATE(YEAR(B406),MONTH(B406),1)</f>
        <v>46113</v>
      </c>
      <c r="Q406" s="0" t="str">
        <f aca="false">INDEX(Products!$C$2:$C$16,MATCH(E406,Products!$A$2:$A$16,0))</f>
        <v>Technology</v>
      </c>
      <c r="R406" s="0" t="str">
        <f aca="false">INDEX(Customers!$F$2:$F$101,MATCH(D406,Customers!$A$2:$A$101,0))</f>
        <v>North</v>
      </c>
      <c r="S406" s="0" t="str">
        <f aca="false">INDEX(Customers!$C$2:$C$101,MATCH(D406,Customers!$A$2:$A$101,0))</f>
        <v>Consumer</v>
      </c>
      <c r="T406" s="0" t="str">
        <f aca="false">INDEX(Customers!$D$2:$D$101,MATCH(D406,Customers!$A$2:$A$101,0))</f>
        <v>Jaipur</v>
      </c>
    </row>
    <row r="407" customFormat="false" ht="15" hidden="false" customHeight="false" outlineLevel="0" collapsed="false">
      <c r="A407" s="0" t="s">
        <v>677</v>
      </c>
      <c r="B407" s="37" t="n">
        <v>45405</v>
      </c>
      <c r="C407" s="37" t="n">
        <v>45412</v>
      </c>
      <c r="D407" s="38" t="s">
        <v>338</v>
      </c>
      <c r="E407" s="38" t="s">
        <v>125</v>
      </c>
      <c r="F407" s="38" t="s">
        <v>100</v>
      </c>
      <c r="G407" s="38" t="s">
        <v>170</v>
      </c>
      <c r="H407" s="0" t="n">
        <v>2</v>
      </c>
      <c r="I407" s="39" t="n">
        <v>600</v>
      </c>
      <c r="J407" s="40" t="n">
        <v>0.05</v>
      </c>
      <c r="K407" s="39" t="n">
        <v>1140</v>
      </c>
      <c r="L407" s="39" t="n">
        <v>700</v>
      </c>
      <c r="M407" s="39" t="n">
        <v>440</v>
      </c>
      <c r="N407" s="38" t="s">
        <v>66</v>
      </c>
      <c r="O407" s="38" t="n">
        <f aca="false">YEAR(B407)</f>
        <v>2024</v>
      </c>
      <c r="P407" s="41" t="n">
        <f aca="false">DATE(YEAR(B407),MONTH(B407),1)</f>
        <v>45383</v>
      </c>
      <c r="Q407" s="0" t="str">
        <f aca="false">INDEX(Products!$C$2:$C$16,MATCH(E407,Products!$A$2:$A$16,0))</f>
        <v>Office Supplies</v>
      </c>
      <c r="R407" s="0" t="str">
        <f aca="false">INDEX(Customers!$F$2:$F$101,MATCH(D407,Customers!$A$2:$A$101,0))</f>
        <v>East</v>
      </c>
      <c r="S407" s="0" t="str">
        <f aca="false">INDEX(Customers!$C$2:$C$101,MATCH(D407,Customers!$A$2:$A$101,0))</f>
        <v>Small Business</v>
      </c>
      <c r="T407" s="0" t="str">
        <f aca="false">INDEX(Customers!$D$2:$D$101,MATCH(D407,Customers!$A$2:$A$101,0))</f>
        <v>Bhubaneswar</v>
      </c>
    </row>
    <row r="408" customFormat="false" ht="15" hidden="false" customHeight="false" outlineLevel="0" collapsed="false">
      <c r="A408" s="0" t="s">
        <v>678</v>
      </c>
      <c r="B408" s="37" t="n">
        <v>45892</v>
      </c>
      <c r="C408" s="37" t="n">
        <v>45893</v>
      </c>
      <c r="D408" s="38" t="s">
        <v>522</v>
      </c>
      <c r="E408" s="38" t="s">
        <v>119</v>
      </c>
      <c r="F408" s="38" t="s">
        <v>100</v>
      </c>
      <c r="G408" s="38" t="s">
        <v>173</v>
      </c>
      <c r="H408" s="0" t="n">
        <v>2</v>
      </c>
      <c r="I408" s="39" t="n">
        <v>250</v>
      </c>
      <c r="J408" s="40" t="n">
        <v>0.05</v>
      </c>
      <c r="K408" s="39" t="n">
        <v>475</v>
      </c>
      <c r="L408" s="39" t="n">
        <v>240</v>
      </c>
      <c r="M408" s="39" t="n">
        <v>235</v>
      </c>
      <c r="N408" s="38" t="s">
        <v>66</v>
      </c>
      <c r="O408" s="38" t="n">
        <f aca="false">YEAR(B408)</f>
        <v>2025</v>
      </c>
      <c r="P408" s="41" t="n">
        <f aca="false">DATE(YEAR(B408),MONTH(B408),1)</f>
        <v>45870</v>
      </c>
      <c r="Q408" s="0" t="str">
        <f aca="false">INDEX(Products!$C$2:$C$16,MATCH(E408,Products!$A$2:$A$16,0))</f>
        <v>Office Supplies</v>
      </c>
      <c r="R408" s="0" t="str">
        <f aca="false">INDEX(Customers!$F$2:$F$101,MATCH(D408,Customers!$A$2:$A$101,0))</f>
        <v>West</v>
      </c>
      <c r="S408" s="0" t="str">
        <f aca="false">INDEX(Customers!$C$2:$C$101,MATCH(D408,Customers!$A$2:$A$101,0))</f>
        <v>Consumer</v>
      </c>
      <c r="T408" s="0" t="str">
        <f aca="false">INDEX(Customers!$D$2:$D$101,MATCH(D408,Customers!$A$2:$A$101,0))</f>
        <v>Ahmedabad</v>
      </c>
    </row>
    <row r="409" customFormat="false" ht="15" hidden="false" customHeight="false" outlineLevel="0" collapsed="false">
      <c r="A409" s="0" t="s">
        <v>679</v>
      </c>
      <c r="B409" s="37" t="n">
        <v>45946</v>
      </c>
      <c r="C409" s="37" t="n">
        <v>45950</v>
      </c>
      <c r="D409" s="38" t="s">
        <v>272</v>
      </c>
      <c r="E409" s="38" t="s">
        <v>125</v>
      </c>
      <c r="F409" s="38" t="s">
        <v>102</v>
      </c>
      <c r="G409" s="38" t="s">
        <v>188</v>
      </c>
      <c r="H409" s="0" t="n">
        <v>3</v>
      </c>
      <c r="I409" s="39" t="n">
        <v>600</v>
      </c>
      <c r="J409" s="40" t="n">
        <v>0</v>
      </c>
      <c r="K409" s="39" t="n">
        <v>1800</v>
      </c>
      <c r="L409" s="39" t="n">
        <v>1050</v>
      </c>
      <c r="M409" s="39" t="n">
        <v>750</v>
      </c>
      <c r="N409" s="38" t="s">
        <v>66</v>
      </c>
      <c r="O409" s="38" t="n">
        <f aca="false">YEAR(B409)</f>
        <v>2025</v>
      </c>
      <c r="P409" s="41" t="n">
        <f aca="false">DATE(YEAR(B409),MONTH(B409),1)</f>
        <v>45931</v>
      </c>
      <c r="Q409" s="0" t="str">
        <f aca="false">INDEX(Products!$C$2:$C$16,MATCH(E409,Products!$A$2:$A$16,0))</f>
        <v>Office Supplies</v>
      </c>
      <c r="R409" s="0" t="str">
        <f aca="false">INDEX(Customers!$F$2:$F$101,MATCH(D409,Customers!$A$2:$A$101,0))</f>
        <v>West</v>
      </c>
      <c r="S409" s="0" t="str">
        <f aca="false">INDEX(Customers!$C$2:$C$101,MATCH(D409,Customers!$A$2:$A$101,0))</f>
        <v>Corporate</v>
      </c>
      <c r="T409" s="0" t="str">
        <f aca="false">INDEX(Customers!$D$2:$D$101,MATCH(D409,Customers!$A$2:$A$101,0))</f>
        <v>Ahmedabad</v>
      </c>
    </row>
    <row r="410" customFormat="false" ht="15" hidden="false" customHeight="false" outlineLevel="0" collapsed="false">
      <c r="A410" s="0" t="s">
        <v>680</v>
      </c>
      <c r="B410" s="37" t="n">
        <v>45657</v>
      </c>
      <c r="C410" s="37" t="n">
        <v>45659</v>
      </c>
      <c r="D410" s="38" t="s">
        <v>621</v>
      </c>
      <c r="E410" s="38" t="s">
        <v>125</v>
      </c>
      <c r="F410" s="38" t="s">
        <v>100</v>
      </c>
      <c r="G410" s="38" t="s">
        <v>185</v>
      </c>
      <c r="H410" s="0" t="n">
        <v>3</v>
      </c>
      <c r="I410" s="39" t="n">
        <v>600</v>
      </c>
      <c r="J410" s="40" t="n">
        <v>0.25</v>
      </c>
      <c r="K410" s="39" t="n">
        <v>1350</v>
      </c>
      <c r="L410" s="39" t="n">
        <v>1050</v>
      </c>
      <c r="M410" s="39" t="n">
        <v>300</v>
      </c>
      <c r="N410" s="38" t="s">
        <v>66</v>
      </c>
      <c r="O410" s="38" t="n">
        <f aca="false">YEAR(B410)</f>
        <v>2024</v>
      </c>
      <c r="P410" s="41" t="n">
        <f aca="false">DATE(YEAR(B410),MONTH(B410),1)</f>
        <v>45627</v>
      </c>
      <c r="Q410" s="0" t="str">
        <f aca="false">INDEX(Products!$C$2:$C$16,MATCH(E410,Products!$A$2:$A$16,0))</f>
        <v>Office Supplies</v>
      </c>
      <c r="R410" s="0" t="str">
        <f aca="false">INDEX(Customers!$F$2:$F$101,MATCH(D410,Customers!$A$2:$A$101,0))</f>
        <v>East</v>
      </c>
      <c r="S410" s="0" t="str">
        <f aca="false">INDEX(Customers!$C$2:$C$101,MATCH(D410,Customers!$A$2:$A$101,0))</f>
        <v>Corporate</v>
      </c>
      <c r="T410" s="0" t="str">
        <f aca="false">INDEX(Customers!$D$2:$D$101,MATCH(D410,Customers!$A$2:$A$101,0))</f>
        <v>Bhubaneswar</v>
      </c>
    </row>
    <row r="411" customFormat="false" ht="15" hidden="false" customHeight="false" outlineLevel="0" collapsed="false">
      <c r="A411" s="0" t="s">
        <v>681</v>
      </c>
      <c r="B411" s="37" t="n">
        <v>45422</v>
      </c>
      <c r="C411" s="37" t="n">
        <v>45424</v>
      </c>
      <c r="D411" s="38" t="s">
        <v>182</v>
      </c>
      <c r="E411" s="38" t="s">
        <v>117</v>
      </c>
      <c r="F411" s="38" t="s">
        <v>102</v>
      </c>
      <c r="G411" s="38" t="s">
        <v>185</v>
      </c>
      <c r="H411" s="0" t="n">
        <v>4</v>
      </c>
      <c r="I411" s="39" t="n">
        <v>6500</v>
      </c>
      <c r="J411" s="40" t="n">
        <v>0.2</v>
      </c>
      <c r="K411" s="39" t="n">
        <v>20800</v>
      </c>
      <c r="L411" s="39" t="n">
        <v>16800</v>
      </c>
      <c r="M411" s="39" t="n">
        <v>4000</v>
      </c>
      <c r="N411" s="38" t="s">
        <v>66</v>
      </c>
      <c r="O411" s="38" t="n">
        <f aca="false">YEAR(B411)</f>
        <v>2024</v>
      </c>
      <c r="P411" s="41" t="n">
        <f aca="false">DATE(YEAR(B411),MONTH(B411),1)</f>
        <v>45413</v>
      </c>
      <c r="Q411" s="0" t="str">
        <f aca="false">INDEX(Products!$C$2:$C$16,MATCH(E411,Products!$A$2:$A$16,0))</f>
        <v>Furniture</v>
      </c>
      <c r="R411" s="0" t="str">
        <f aca="false">INDEX(Customers!$F$2:$F$101,MATCH(D411,Customers!$A$2:$A$101,0))</f>
        <v>North</v>
      </c>
      <c r="S411" s="0" t="str">
        <f aca="false">INDEX(Customers!$C$2:$C$101,MATCH(D411,Customers!$A$2:$A$101,0))</f>
        <v>Small Business</v>
      </c>
      <c r="T411" s="0" t="str">
        <f aca="false">INDEX(Customers!$D$2:$D$101,MATCH(D411,Customers!$A$2:$A$101,0))</f>
        <v>Gurugram</v>
      </c>
    </row>
    <row r="412" customFormat="false" ht="15" hidden="false" customHeight="false" outlineLevel="0" collapsed="false">
      <c r="A412" s="0" t="s">
        <v>682</v>
      </c>
      <c r="B412" s="37" t="n">
        <v>45325</v>
      </c>
      <c r="C412" s="37" t="n">
        <v>45327</v>
      </c>
      <c r="D412" s="38" t="s">
        <v>276</v>
      </c>
      <c r="E412" s="38" t="s">
        <v>122</v>
      </c>
      <c r="F412" s="38" t="s">
        <v>102</v>
      </c>
      <c r="G412" s="38" t="s">
        <v>173</v>
      </c>
      <c r="H412" s="0" t="n">
        <v>3</v>
      </c>
      <c r="I412" s="39" t="n">
        <v>5500</v>
      </c>
      <c r="J412" s="40" t="n">
        <v>0.25</v>
      </c>
      <c r="K412" s="39" t="n">
        <v>12375</v>
      </c>
      <c r="L412" s="39" t="n">
        <v>11100</v>
      </c>
      <c r="M412" s="39" t="n">
        <v>1275</v>
      </c>
      <c r="N412" s="38" t="s">
        <v>66</v>
      </c>
      <c r="O412" s="38" t="n">
        <f aca="false">YEAR(B412)</f>
        <v>2024</v>
      </c>
      <c r="P412" s="41" t="n">
        <f aca="false">DATE(YEAR(B412),MONTH(B412),1)</f>
        <v>45323</v>
      </c>
      <c r="Q412" s="0" t="str">
        <f aca="false">INDEX(Products!$C$2:$C$16,MATCH(E412,Products!$A$2:$A$16,0))</f>
        <v>Furniture</v>
      </c>
      <c r="R412" s="0" t="str">
        <f aca="false">INDEX(Customers!$F$2:$F$101,MATCH(D412,Customers!$A$2:$A$101,0))</f>
        <v>North</v>
      </c>
      <c r="S412" s="0" t="str">
        <f aca="false">INDEX(Customers!$C$2:$C$101,MATCH(D412,Customers!$A$2:$A$101,0))</f>
        <v>Small Business</v>
      </c>
      <c r="T412" s="0" t="str">
        <f aca="false">INDEX(Customers!$D$2:$D$101,MATCH(D412,Customers!$A$2:$A$101,0))</f>
        <v>Lucknow</v>
      </c>
    </row>
    <row r="413" customFormat="false" ht="15" hidden="false" customHeight="false" outlineLevel="0" collapsed="false">
      <c r="A413" s="0" t="s">
        <v>683</v>
      </c>
      <c r="B413" s="37" t="n">
        <v>45800</v>
      </c>
      <c r="C413" s="37" t="n">
        <v>45802</v>
      </c>
      <c r="D413" s="38" t="s">
        <v>343</v>
      </c>
      <c r="E413" s="38" t="s">
        <v>127</v>
      </c>
      <c r="F413" s="38" t="s">
        <v>100</v>
      </c>
      <c r="G413" s="38" t="s">
        <v>170</v>
      </c>
      <c r="H413" s="0" t="n">
        <v>2</v>
      </c>
      <c r="I413" s="39" t="n">
        <v>18000</v>
      </c>
      <c r="J413" s="40" t="n">
        <v>0</v>
      </c>
      <c r="K413" s="39" t="n">
        <v>36000</v>
      </c>
      <c r="L413" s="39" t="n">
        <v>28000</v>
      </c>
      <c r="M413" s="39" t="n">
        <v>8000</v>
      </c>
      <c r="N413" s="38" t="s">
        <v>147</v>
      </c>
      <c r="O413" s="38" t="n">
        <f aca="false">YEAR(B413)</f>
        <v>2025</v>
      </c>
      <c r="P413" s="41" t="n">
        <f aca="false">DATE(YEAR(B413),MONTH(B413),1)</f>
        <v>45778</v>
      </c>
      <c r="Q413" s="0" t="str">
        <f aca="false">INDEX(Products!$C$2:$C$16,MATCH(E413,Products!$A$2:$A$16,0))</f>
        <v>Technology</v>
      </c>
      <c r="R413" s="0" t="str">
        <f aca="false">INDEX(Customers!$F$2:$F$101,MATCH(D413,Customers!$A$2:$A$101,0))</f>
        <v>West</v>
      </c>
      <c r="S413" s="0" t="str">
        <f aca="false">INDEX(Customers!$C$2:$C$101,MATCH(D413,Customers!$A$2:$A$101,0))</f>
        <v>Consumer</v>
      </c>
      <c r="T413" s="0" t="str">
        <f aca="false">INDEX(Customers!$D$2:$D$101,MATCH(D413,Customers!$A$2:$A$101,0))</f>
        <v>Mumbai</v>
      </c>
    </row>
    <row r="414" customFormat="false" ht="15" hidden="false" customHeight="false" outlineLevel="0" collapsed="false">
      <c r="A414" s="0" t="s">
        <v>684</v>
      </c>
      <c r="B414" s="37" t="n">
        <v>46198</v>
      </c>
      <c r="C414" s="37" t="n">
        <v>46199</v>
      </c>
      <c r="D414" s="38" t="s">
        <v>219</v>
      </c>
      <c r="E414" s="38" t="s">
        <v>123</v>
      </c>
      <c r="F414" s="38" t="s">
        <v>102</v>
      </c>
      <c r="G414" s="38" t="s">
        <v>170</v>
      </c>
      <c r="H414" s="0" t="n">
        <v>5</v>
      </c>
      <c r="I414" s="39" t="n">
        <v>2200</v>
      </c>
      <c r="J414" s="40" t="n">
        <v>0.2</v>
      </c>
      <c r="K414" s="39" t="n">
        <v>8800</v>
      </c>
      <c r="L414" s="39" t="n">
        <v>6500</v>
      </c>
      <c r="M414" s="39" t="n">
        <v>2300</v>
      </c>
      <c r="N414" s="38" t="s">
        <v>66</v>
      </c>
      <c r="O414" s="38" t="n">
        <f aca="false">YEAR(B414)</f>
        <v>2026</v>
      </c>
      <c r="P414" s="41" t="n">
        <f aca="false">DATE(YEAR(B414),MONTH(B414),1)</f>
        <v>46174</v>
      </c>
      <c r="Q414" s="0" t="str">
        <f aca="false">INDEX(Products!$C$2:$C$16,MATCH(E414,Products!$A$2:$A$16,0))</f>
        <v>Technology</v>
      </c>
      <c r="R414" s="0" t="str">
        <f aca="false">INDEX(Customers!$F$2:$F$101,MATCH(D414,Customers!$A$2:$A$101,0))</f>
        <v>North</v>
      </c>
      <c r="S414" s="0" t="str">
        <f aca="false">INDEX(Customers!$C$2:$C$101,MATCH(D414,Customers!$A$2:$A$101,0))</f>
        <v>Small Business</v>
      </c>
      <c r="T414" s="0" t="str">
        <f aca="false">INDEX(Customers!$D$2:$D$101,MATCH(D414,Customers!$A$2:$A$101,0))</f>
        <v>Lucknow</v>
      </c>
    </row>
    <row r="415" customFormat="false" ht="15" hidden="false" customHeight="false" outlineLevel="0" collapsed="false">
      <c r="A415" s="0" t="s">
        <v>685</v>
      </c>
      <c r="B415" s="37" t="n">
        <v>45547</v>
      </c>
      <c r="C415" s="37" t="n">
        <v>45553</v>
      </c>
      <c r="D415" s="38" t="s">
        <v>234</v>
      </c>
      <c r="E415" s="38" t="s">
        <v>116</v>
      </c>
      <c r="F415" s="38" t="s">
        <v>100</v>
      </c>
      <c r="G415" s="38" t="s">
        <v>178</v>
      </c>
      <c r="H415" s="0" t="n">
        <v>1</v>
      </c>
      <c r="I415" s="39" t="n">
        <v>12000</v>
      </c>
      <c r="J415" s="40" t="n">
        <v>0.05</v>
      </c>
      <c r="K415" s="39" t="n">
        <v>11400</v>
      </c>
      <c r="L415" s="39" t="n">
        <v>9000</v>
      </c>
      <c r="M415" s="39" t="n">
        <v>2400</v>
      </c>
      <c r="N415" s="38" t="s">
        <v>66</v>
      </c>
      <c r="O415" s="38" t="n">
        <f aca="false">YEAR(B415)</f>
        <v>2024</v>
      </c>
      <c r="P415" s="41" t="n">
        <f aca="false">DATE(YEAR(B415),MONTH(B415),1)</f>
        <v>45536</v>
      </c>
      <c r="Q415" s="0" t="str">
        <f aca="false">INDEX(Products!$C$2:$C$16,MATCH(E415,Products!$A$2:$A$16,0))</f>
        <v>Technology</v>
      </c>
      <c r="R415" s="0" t="str">
        <f aca="false">INDEX(Customers!$F$2:$F$101,MATCH(D415,Customers!$A$2:$A$101,0))</f>
        <v>South</v>
      </c>
      <c r="S415" s="0" t="str">
        <f aca="false">INDEX(Customers!$C$2:$C$101,MATCH(D415,Customers!$A$2:$A$101,0))</f>
        <v>Corporate</v>
      </c>
      <c r="T415" s="0" t="str">
        <f aca="false">INDEX(Customers!$D$2:$D$101,MATCH(D415,Customers!$A$2:$A$101,0))</f>
        <v>Bengaluru</v>
      </c>
    </row>
    <row r="416" customFormat="false" ht="15" hidden="false" customHeight="false" outlineLevel="0" collapsed="false">
      <c r="A416" s="0" t="s">
        <v>686</v>
      </c>
      <c r="B416" s="37" t="n">
        <v>45721</v>
      </c>
      <c r="C416" s="37" t="n">
        <v>45723</v>
      </c>
      <c r="D416" s="38" t="s">
        <v>172</v>
      </c>
      <c r="E416" s="38" t="s">
        <v>124</v>
      </c>
      <c r="F416" s="38" t="s">
        <v>101</v>
      </c>
      <c r="G416" s="38" t="s">
        <v>170</v>
      </c>
      <c r="H416" s="0" t="n">
        <v>5</v>
      </c>
      <c r="I416" s="39" t="n">
        <v>3000</v>
      </c>
      <c r="J416" s="40" t="n">
        <v>0.1</v>
      </c>
      <c r="K416" s="39" t="n">
        <v>13500</v>
      </c>
      <c r="L416" s="39" t="n">
        <v>9500</v>
      </c>
      <c r="M416" s="39" t="n">
        <v>4000</v>
      </c>
      <c r="N416" s="38" t="s">
        <v>66</v>
      </c>
      <c r="O416" s="38" t="n">
        <f aca="false">YEAR(B416)</f>
        <v>2025</v>
      </c>
      <c r="P416" s="41" t="n">
        <f aca="false">DATE(YEAR(B416),MONTH(B416),1)</f>
        <v>45717</v>
      </c>
      <c r="Q416" s="0" t="str">
        <f aca="false">INDEX(Products!$C$2:$C$16,MATCH(E416,Products!$A$2:$A$16,0))</f>
        <v>Technology</v>
      </c>
      <c r="R416" s="0" t="str">
        <f aca="false">INDEX(Customers!$F$2:$F$101,MATCH(D416,Customers!$A$2:$A$101,0))</f>
        <v>East</v>
      </c>
      <c r="S416" s="0" t="str">
        <f aca="false">INDEX(Customers!$C$2:$C$101,MATCH(D416,Customers!$A$2:$A$101,0))</f>
        <v>Consumer</v>
      </c>
      <c r="T416" s="0" t="str">
        <f aca="false">INDEX(Customers!$D$2:$D$101,MATCH(D416,Customers!$A$2:$A$101,0))</f>
        <v>Bhubaneswar</v>
      </c>
    </row>
    <row r="417" customFormat="false" ht="15" hidden="false" customHeight="false" outlineLevel="0" collapsed="false">
      <c r="A417" s="0" t="s">
        <v>687</v>
      </c>
      <c r="B417" s="37" t="n">
        <v>45782</v>
      </c>
      <c r="C417" s="37" t="n">
        <v>45789</v>
      </c>
      <c r="D417" s="38" t="s">
        <v>354</v>
      </c>
      <c r="E417" s="38" t="s">
        <v>126</v>
      </c>
      <c r="F417" s="38" t="s">
        <v>102</v>
      </c>
      <c r="G417" s="38" t="s">
        <v>173</v>
      </c>
      <c r="H417" s="0" t="n">
        <v>5</v>
      </c>
      <c r="I417" s="39" t="n">
        <v>1200</v>
      </c>
      <c r="J417" s="40" t="n">
        <v>0.2</v>
      </c>
      <c r="K417" s="39" t="n">
        <v>4800</v>
      </c>
      <c r="L417" s="39" t="n">
        <v>3500</v>
      </c>
      <c r="M417" s="39" t="n">
        <v>1300</v>
      </c>
      <c r="N417" s="38" t="s">
        <v>66</v>
      </c>
      <c r="O417" s="38" t="n">
        <f aca="false">YEAR(B417)</f>
        <v>2025</v>
      </c>
      <c r="P417" s="41" t="n">
        <f aca="false">DATE(YEAR(B417),MONTH(B417),1)</f>
        <v>45778</v>
      </c>
      <c r="Q417" s="0" t="str">
        <f aca="false">INDEX(Products!$C$2:$C$16,MATCH(E417,Products!$A$2:$A$16,0))</f>
        <v>Furniture</v>
      </c>
      <c r="R417" s="0" t="str">
        <f aca="false">INDEX(Customers!$F$2:$F$101,MATCH(D417,Customers!$A$2:$A$101,0))</f>
        <v>East</v>
      </c>
      <c r="S417" s="0" t="str">
        <f aca="false">INDEX(Customers!$C$2:$C$101,MATCH(D417,Customers!$A$2:$A$101,0))</f>
        <v>Small Business</v>
      </c>
      <c r="T417" s="0" t="str">
        <f aca="false">INDEX(Customers!$D$2:$D$101,MATCH(D417,Customers!$A$2:$A$101,0))</f>
        <v>Bhubaneswar</v>
      </c>
    </row>
    <row r="418" customFormat="false" ht="15" hidden="false" customHeight="false" outlineLevel="0" collapsed="false">
      <c r="A418" s="0" t="s">
        <v>688</v>
      </c>
      <c r="B418" s="37" t="n">
        <v>46158</v>
      </c>
      <c r="C418" s="37" t="n">
        <v>46159</v>
      </c>
      <c r="D418" s="38" t="s">
        <v>381</v>
      </c>
      <c r="E418" s="38" t="s">
        <v>125</v>
      </c>
      <c r="F418" s="38" t="s">
        <v>101</v>
      </c>
      <c r="G418" s="38" t="s">
        <v>178</v>
      </c>
      <c r="H418" s="0" t="n">
        <v>1</v>
      </c>
      <c r="I418" s="39" t="n">
        <v>600</v>
      </c>
      <c r="J418" s="40" t="n">
        <v>0.05</v>
      </c>
      <c r="K418" s="39" t="n">
        <v>570</v>
      </c>
      <c r="L418" s="39" t="n">
        <v>350</v>
      </c>
      <c r="M418" s="39" t="n">
        <v>220</v>
      </c>
      <c r="N418" s="38" t="s">
        <v>66</v>
      </c>
      <c r="O418" s="38" t="n">
        <f aca="false">YEAR(B418)</f>
        <v>2026</v>
      </c>
      <c r="P418" s="41" t="n">
        <f aca="false">DATE(YEAR(B418),MONTH(B418),1)</f>
        <v>46143</v>
      </c>
      <c r="Q418" s="0" t="str">
        <f aca="false">INDEX(Products!$C$2:$C$16,MATCH(E418,Products!$A$2:$A$16,0))</f>
        <v>Office Supplies</v>
      </c>
      <c r="R418" s="0" t="str">
        <f aca="false">INDEX(Customers!$F$2:$F$101,MATCH(D418,Customers!$A$2:$A$101,0))</f>
        <v>West</v>
      </c>
      <c r="S418" s="0" t="str">
        <f aca="false">INDEX(Customers!$C$2:$C$101,MATCH(D418,Customers!$A$2:$A$101,0))</f>
        <v>Consumer</v>
      </c>
      <c r="T418" s="0" t="str">
        <f aca="false">INDEX(Customers!$D$2:$D$101,MATCH(D418,Customers!$A$2:$A$101,0))</f>
        <v>Pune</v>
      </c>
    </row>
    <row r="419" customFormat="false" ht="15" hidden="false" customHeight="false" outlineLevel="0" collapsed="false">
      <c r="A419" s="0" t="s">
        <v>689</v>
      </c>
      <c r="B419" s="37" t="n">
        <v>45676</v>
      </c>
      <c r="C419" s="37" t="n">
        <v>45678</v>
      </c>
      <c r="D419" s="38" t="s">
        <v>219</v>
      </c>
      <c r="E419" s="38" t="s">
        <v>127</v>
      </c>
      <c r="F419" s="38" t="s">
        <v>100</v>
      </c>
      <c r="G419" s="38" t="s">
        <v>170</v>
      </c>
      <c r="H419" s="0" t="n">
        <v>4</v>
      </c>
      <c r="I419" s="39" t="n">
        <v>18000</v>
      </c>
      <c r="J419" s="40" t="n">
        <v>0.15</v>
      </c>
      <c r="K419" s="39" t="n">
        <v>61200</v>
      </c>
      <c r="L419" s="39" t="n">
        <v>56000</v>
      </c>
      <c r="M419" s="39" t="n">
        <v>5200</v>
      </c>
      <c r="N419" s="38" t="s">
        <v>66</v>
      </c>
      <c r="O419" s="38" t="n">
        <f aca="false">YEAR(B419)</f>
        <v>2025</v>
      </c>
      <c r="P419" s="41" t="n">
        <f aca="false">DATE(YEAR(B419),MONTH(B419),1)</f>
        <v>45658</v>
      </c>
      <c r="Q419" s="0" t="str">
        <f aca="false">INDEX(Products!$C$2:$C$16,MATCH(E419,Products!$A$2:$A$16,0))</f>
        <v>Technology</v>
      </c>
      <c r="R419" s="0" t="str">
        <f aca="false">INDEX(Customers!$F$2:$F$101,MATCH(D419,Customers!$A$2:$A$101,0))</f>
        <v>North</v>
      </c>
      <c r="S419" s="0" t="str">
        <f aca="false">INDEX(Customers!$C$2:$C$101,MATCH(D419,Customers!$A$2:$A$101,0))</f>
        <v>Small Business</v>
      </c>
      <c r="T419" s="0" t="str">
        <f aca="false">INDEX(Customers!$D$2:$D$101,MATCH(D419,Customers!$A$2:$A$101,0))</f>
        <v>Lucknow</v>
      </c>
    </row>
    <row r="420" customFormat="false" ht="15" hidden="false" customHeight="false" outlineLevel="0" collapsed="false">
      <c r="A420" s="0" t="s">
        <v>690</v>
      </c>
      <c r="B420" s="37" t="n">
        <v>45786</v>
      </c>
      <c r="C420" s="37" t="n">
        <v>45792</v>
      </c>
      <c r="D420" s="38" t="s">
        <v>621</v>
      </c>
      <c r="E420" s="38" t="s">
        <v>127</v>
      </c>
      <c r="F420" s="38" t="s">
        <v>100</v>
      </c>
      <c r="G420" s="38" t="s">
        <v>188</v>
      </c>
      <c r="H420" s="0" t="n">
        <v>1</v>
      </c>
      <c r="I420" s="39" t="n">
        <v>18000</v>
      </c>
      <c r="J420" s="40" t="n">
        <v>0.2</v>
      </c>
      <c r="K420" s="39" t="n">
        <v>14400</v>
      </c>
      <c r="L420" s="39" t="n">
        <v>14000</v>
      </c>
      <c r="M420" s="39" t="n">
        <v>400</v>
      </c>
      <c r="N420" s="38" t="s">
        <v>66</v>
      </c>
      <c r="O420" s="38" t="n">
        <f aca="false">YEAR(B420)</f>
        <v>2025</v>
      </c>
      <c r="P420" s="41" t="n">
        <f aca="false">DATE(YEAR(B420),MONTH(B420),1)</f>
        <v>45778</v>
      </c>
      <c r="Q420" s="0" t="str">
        <f aca="false">INDEX(Products!$C$2:$C$16,MATCH(E420,Products!$A$2:$A$16,0))</f>
        <v>Technology</v>
      </c>
      <c r="R420" s="0" t="str">
        <f aca="false">INDEX(Customers!$F$2:$F$101,MATCH(D420,Customers!$A$2:$A$101,0))</f>
        <v>East</v>
      </c>
      <c r="S420" s="0" t="str">
        <f aca="false">INDEX(Customers!$C$2:$C$101,MATCH(D420,Customers!$A$2:$A$101,0))</f>
        <v>Corporate</v>
      </c>
      <c r="T420" s="0" t="str">
        <f aca="false">INDEX(Customers!$D$2:$D$101,MATCH(D420,Customers!$A$2:$A$101,0))</f>
        <v>Bhubaneswar</v>
      </c>
    </row>
    <row r="421" customFormat="false" ht="15" hidden="false" customHeight="false" outlineLevel="0" collapsed="false">
      <c r="A421" s="0" t="s">
        <v>691</v>
      </c>
      <c r="B421" s="37" t="n">
        <v>45395</v>
      </c>
      <c r="C421" s="37" t="n">
        <v>45398</v>
      </c>
      <c r="D421" s="38" t="s">
        <v>404</v>
      </c>
      <c r="E421" s="38" t="s">
        <v>113</v>
      </c>
      <c r="F421" s="38" t="s">
        <v>101</v>
      </c>
      <c r="G421" s="38" t="s">
        <v>188</v>
      </c>
      <c r="H421" s="0" t="n">
        <v>1</v>
      </c>
      <c r="I421" s="39" t="n">
        <v>45000</v>
      </c>
      <c r="J421" s="40" t="n">
        <v>0</v>
      </c>
      <c r="K421" s="39" t="n">
        <v>45000</v>
      </c>
      <c r="L421" s="39" t="n">
        <v>36000</v>
      </c>
      <c r="M421" s="39" t="n">
        <v>9000</v>
      </c>
      <c r="N421" s="38" t="s">
        <v>66</v>
      </c>
      <c r="O421" s="38" t="n">
        <f aca="false">YEAR(B421)</f>
        <v>2024</v>
      </c>
      <c r="P421" s="41" t="n">
        <f aca="false">DATE(YEAR(B421),MONTH(B421),1)</f>
        <v>45383</v>
      </c>
      <c r="Q421" s="0" t="str">
        <f aca="false">INDEX(Products!$C$2:$C$16,MATCH(E421,Products!$A$2:$A$16,0))</f>
        <v>Technology</v>
      </c>
      <c r="R421" s="0" t="str">
        <f aca="false">INDEX(Customers!$F$2:$F$101,MATCH(D421,Customers!$A$2:$A$101,0))</f>
        <v>West</v>
      </c>
      <c r="S421" s="0" t="str">
        <f aca="false">INDEX(Customers!$C$2:$C$101,MATCH(D421,Customers!$A$2:$A$101,0))</f>
        <v>Small Business</v>
      </c>
      <c r="T421" s="0" t="str">
        <f aca="false">INDEX(Customers!$D$2:$D$101,MATCH(D421,Customers!$A$2:$A$101,0))</f>
        <v>Mumbai</v>
      </c>
    </row>
    <row r="422" customFormat="false" ht="15" hidden="false" customHeight="false" outlineLevel="0" collapsed="false">
      <c r="A422" s="0" t="s">
        <v>692</v>
      </c>
      <c r="B422" s="37" t="n">
        <v>45563</v>
      </c>
      <c r="C422" s="37" t="n">
        <v>45569</v>
      </c>
      <c r="D422" s="38" t="s">
        <v>425</v>
      </c>
      <c r="E422" s="38" t="s">
        <v>121</v>
      </c>
      <c r="F422" s="38" t="s">
        <v>100</v>
      </c>
      <c r="G422" s="38" t="s">
        <v>178</v>
      </c>
      <c r="H422" s="0" t="n">
        <v>1</v>
      </c>
      <c r="I422" s="39" t="n">
        <v>180</v>
      </c>
      <c r="J422" s="40" t="n">
        <v>0</v>
      </c>
      <c r="K422" s="39" t="n">
        <v>180</v>
      </c>
      <c r="L422" s="39" t="n">
        <v>70</v>
      </c>
      <c r="M422" s="39" t="n">
        <v>110</v>
      </c>
      <c r="N422" s="38" t="s">
        <v>66</v>
      </c>
      <c r="O422" s="38" t="n">
        <f aca="false">YEAR(B422)</f>
        <v>2024</v>
      </c>
      <c r="P422" s="41" t="n">
        <f aca="false">DATE(YEAR(B422),MONTH(B422),1)</f>
        <v>45536</v>
      </c>
      <c r="Q422" s="0" t="str">
        <f aca="false">INDEX(Products!$C$2:$C$16,MATCH(E422,Products!$A$2:$A$16,0))</f>
        <v>Office Supplies</v>
      </c>
      <c r="R422" s="0" t="str">
        <f aca="false">INDEX(Customers!$F$2:$F$101,MATCH(D422,Customers!$A$2:$A$101,0))</f>
        <v>North</v>
      </c>
      <c r="S422" s="0" t="str">
        <f aca="false">INDEX(Customers!$C$2:$C$101,MATCH(D422,Customers!$A$2:$A$101,0))</f>
        <v>Small Business</v>
      </c>
      <c r="T422" s="0" t="str">
        <f aca="false">INDEX(Customers!$D$2:$D$101,MATCH(D422,Customers!$A$2:$A$101,0))</f>
        <v>Lucknow</v>
      </c>
    </row>
    <row r="423" customFormat="false" ht="15" hidden="false" customHeight="false" outlineLevel="0" collapsed="false">
      <c r="A423" s="0" t="s">
        <v>693</v>
      </c>
      <c r="B423" s="37" t="n">
        <v>45794</v>
      </c>
      <c r="C423" s="37" t="n">
        <v>45796</v>
      </c>
      <c r="D423" s="38" t="s">
        <v>287</v>
      </c>
      <c r="E423" s="38" t="s">
        <v>126</v>
      </c>
      <c r="F423" s="38" t="s">
        <v>101</v>
      </c>
      <c r="G423" s="38" t="s">
        <v>178</v>
      </c>
      <c r="H423" s="0" t="n">
        <v>1</v>
      </c>
      <c r="I423" s="39" t="n">
        <v>1200</v>
      </c>
      <c r="J423" s="40" t="n">
        <v>0</v>
      </c>
      <c r="K423" s="39" t="n">
        <v>1200</v>
      </c>
      <c r="L423" s="39" t="n">
        <v>700</v>
      </c>
      <c r="M423" s="39" t="n">
        <v>500</v>
      </c>
      <c r="N423" s="38" t="s">
        <v>66</v>
      </c>
      <c r="O423" s="38" t="n">
        <f aca="false">YEAR(B423)</f>
        <v>2025</v>
      </c>
      <c r="P423" s="41" t="n">
        <f aca="false">DATE(YEAR(B423),MONTH(B423),1)</f>
        <v>45778</v>
      </c>
      <c r="Q423" s="0" t="str">
        <f aca="false">INDEX(Products!$C$2:$C$16,MATCH(E423,Products!$A$2:$A$16,0))</f>
        <v>Furniture</v>
      </c>
      <c r="R423" s="0" t="str">
        <f aca="false">INDEX(Customers!$F$2:$F$101,MATCH(D423,Customers!$A$2:$A$101,0))</f>
        <v>South</v>
      </c>
      <c r="S423" s="0" t="str">
        <f aca="false">INDEX(Customers!$C$2:$C$101,MATCH(D423,Customers!$A$2:$A$101,0))</f>
        <v>Small Business</v>
      </c>
      <c r="T423" s="0" t="str">
        <f aca="false">INDEX(Customers!$D$2:$D$101,MATCH(D423,Customers!$A$2:$A$101,0))</f>
        <v>Chennai</v>
      </c>
    </row>
    <row r="424" customFormat="false" ht="15" hidden="false" customHeight="false" outlineLevel="0" collapsed="false">
      <c r="A424" s="0" t="s">
        <v>694</v>
      </c>
      <c r="B424" s="37" t="n">
        <v>45906</v>
      </c>
      <c r="C424" s="37" t="n">
        <v>45910</v>
      </c>
      <c r="D424" s="38" t="s">
        <v>522</v>
      </c>
      <c r="E424" s="38" t="s">
        <v>123</v>
      </c>
      <c r="F424" s="38" t="s">
        <v>100</v>
      </c>
      <c r="G424" s="38" t="s">
        <v>173</v>
      </c>
      <c r="H424" s="0" t="n">
        <v>1</v>
      </c>
      <c r="I424" s="39" t="n">
        <v>2200</v>
      </c>
      <c r="J424" s="40" t="n">
        <v>0</v>
      </c>
      <c r="K424" s="39" t="n">
        <v>2200</v>
      </c>
      <c r="L424" s="39" t="n">
        <v>1300</v>
      </c>
      <c r="M424" s="39" t="n">
        <v>900</v>
      </c>
      <c r="N424" s="38" t="s">
        <v>66</v>
      </c>
      <c r="O424" s="38" t="n">
        <f aca="false">YEAR(B424)</f>
        <v>2025</v>
      </c>
      <c r="P424" s="41" t="n">
        <f aca="false">DATE(YEAR(B424),MONTH(B424),1)</f>
        <v>45901</v>
      </c>
      <c r="Q424" s="0" t="str">
        <f aca="false">INDEX(Products!$C$2:$C$16,MATCH(E424,Products!$A$2:$A$16,0))</f>
        <v>Technology</v>
      </c>
      <c r="R424" s="0" t="str">
        <f aca="false">INDEX(Customers!$F$2:$F$101,MATCH(D424,Customers!$A$2:$A$101,0))</f>
        <v>West</v>
      </c>
      <c r="S424" s="0" t="str">
        <f aca="false">INDEX(Customers!$C$2:$C$101,MATCH(D424,Customers!$A$2:$A$101,0))</f>
        <v>Consumer</v>
      </c>
      <c r="T424" s="0" t="str">
        <f aca="false">INDEX(Customers!$D$2:$D$101,MATCH(D424,Customers!$A$2:$A$101,0))</f>
        <v>Ahmedabad</v>
      </c>
    </row>
    <row r="425" customFormat="false" ht="15" hidden="false" customHeight="false" outlineLevel="0" collapsed="false">
      <c r="A425" s="0" t="s">
        <v>695</v>
      </c>
      <c r="B425" s="37" t="n">
        <v>46156</v>
      </c>
      <c r="C425" s="37" t="n">
        <v>46157</v>
      </c>
      <c r="D425" s="38" t="s">
        <v>196</v>
      </c>
      <c r="E425" s="38" t="s">
        <v>120</v>
      </c>
      <c r="F425" s="38" t="s">
        <v>101</v>
      </c>
      <c r="G425" s="38" t="s">
        <v>185</v>
      </c>
      <c r="H425" s="0" t="n">
        <v>2</v>
      </c>
      <c r="I425" s="39" t="n">
        <v>400</v>
      </c>
      <c r="J425" s="40" t="n">
        <v>0.1</v>
      </c>
      <c r="K425" s="39" t="n">
        <v>720</v>
      </c>
      <c r="L425" s="39" t="n">
        <v>520</v>
      </c>
      <c r="M425" s="39" t="n">
        <v>200</v>
      </c>
      <c r="N425" s="38" t="s">
        <v>66</v>
      </c>
      <c r="O425" s="38" t="n">
        <f aca="false">YEAR(B425)</f>
        <v>2026</v>
      </c>
      <c r="P425" s="41" t="n">
        <f aca="false">DATE(YEAR(B425),MONTH(B425),1)</f>
        <v>46143</v>
      </c>
      <c r="Q425" s="0" t="str">
        <f aca="false">INDEX(Products!$C$2:$C$16,MATCH(E425,Products!$A$2:$A$16,0))</f>
        <v>Office Supplies</v>
      </c>
      <c r="R425" s="0" t="str">
        <f aca="false">INDEX(Customers!$F$2:$F$101,MATCH(D425,Customers!$A$2:$A$101,0))</f>
        <v>South</v>
      </c>
      <c r="S425" s="0" t="str">
        <f aca="false">INDEX(Customers!$C$2:$C$101,MATCH(D425,Customers!$A$2:$A$101,0))</f>
        <v>Consumer</v>
      </c>
      <c r="T425" s="0" t="str">
        <f aca="false">INDEX(Customers!$D$2:$D$101,MATCH(D425,Customers!$A$2:$A$101,0))</f>
        <v>Chennai</v>
      </c>
    </row>
    <row r="426" customFormat="false" ht="15" hidden="false" customHeight="false" outlineLevel="0" collapsed="false">
      <c r="A426" s="0" t="s">
        <v>696</v>
      </c>
      <c r="B426" s="37" t="n">
        <v>45949</v>
      </c>
      <c r="C426" s="37" t="n">
        <v>45954</v>
      </c>
      <c r="D426" s="38" t="s">
        <v>234</v>
      </c>
      <c r="E426" s="38" t="s">
        <v>114</v>
      </c>
      <c r="F426" s="38" t="s">
        <v>101</v>
      </c>
      <c r="G426" s="38" t="s">
        <v>170</v>
      </c>
      <c r="H426" s="0" t="n">
        <v>2</v>
      </c>
      <c r="I426" s="39" t="n">
        <v>800</v>
      </c>
      <c r="J426" s="40" t="n">
        <v>0.05</v>
      </c>
      <c r="K426" s="39" t="n">
        <v>1520</v>
      </c>
      <c r="L426" s="39" t="n">
        <v>840</v>
      </c>
      <c r="M426" s="39" t="n">
        <v>680</v>
      </c>
      <c r="N426" s="38" t="s">
        <v>66</v>
      </c>
      <c r="O426" s="38" t="n">
        <f aca="false">YEAR(B426)</f>
        <v>2025</v>
      </c>
      <c r="P426" s="41" t="n">
        <f aca="false">DATE(YEAR(B426),MONTH(B426),1)</f>
        <v>45931</v>
      </c>
      <c r="Q426" s="0" t="str">
        <f aca="false">INDEX(Products!$C$2:$C$16,MATCH(E426,Products!$A$2:$A$16,0))</f>
        <v>Technology</v>
      </c>
      <c r="R426" s="0" t="str">
        <f aca="false">INDEX(Customers!$F$2:$F$101,MATCH(D426,Customers!$A$2:$A$101,0))</f>
        <v>South</v>
      </c>
      <c r="S426" s="0" t="str">
        <f aca="false">INDEX(Customers!$C$2:$C$101,MATCH(D426,Customers!$A$2:$A$101,0))</f>
        <v>Corporate</v>
      </c>
      <c r="T426" s="0" t="str">
        <f aca="false">INDEX(Customers!$D$2:$D$101,MATCH(D426,Customers!$A$2:$A$101,0))</f>
        <v>Bengaluru</v>
      </c>
    </row>
    <row r="427" customFormat="false" ht="15" hidden="false" customHeight="false" outlineLevel="0" collapsed="false">
      <c r="A427" s="0" t="s">
        <v>697</v>
      </c>
      <c r="B427" s="37" t="n">
        <v>45742</v>
      </c>
      <c r="C427" s="37" t="n">
        <v>45746</v>
      </c>
      <c r="D427" s="38" t="s">
        <v>302</v>
      </c>
      <c r="E427" s="38" t="s">
        <v>117</v>
      </c>
      <c r="F427" s="38" t="s">
        <v>101</v>
      </c>
      <c r="G427" s="38" t="s">
        <v>188</v>
      </c>
      <c r="H427" s="0" t="n">
        <v>1</v>
      </c>
      <c r="I427" s="39" t="n">
        <v>6500</v>
      </c>
      <c r="J427" s="40" t="n">
        <v>0.25</v>
      </c>
      <c r="K427" s="39" t="n">
        <v>4875</v>
      </c>
      <c r="L427" s="39" t="n">
        <v>4200</v>
      </c>
      <c r="M427" s="39" t="n">
        <v>675</v>
      </c>
      <c r="N427" s="38" t="s">
        <v>66</v>
      </c>
      <c r="O427" s="38" t="n">
        <f aca="false">YEAR(B427)</f>
        <v>2025</v>
      </c>
      <c r="P427" s="41" t="n">
        <f aca="false">DATE(YEAR(B427),MONTH(B427),1)</f>
        <v>45717</v>
      </c>
      <c r="Q427" s="0" t="str">
        <f aca="false">INDEX(Products!$C$2:$C$16,MATCH(E427,Products!$A$2:$A$16,0))</f>
        <v>Furniture</v>
      </c>
      <c r="R427" s="0" t="str">
        <f aca="false">INDEX(Customers!$F$2:$F$101,MATCH(D427,Customers!$A$2:$A$101,0))</f>
        <v>East</v>
      </c>
      <c r="S427" s="0" t="str">
        <f aca="false">INDEX(Customers!$C$2:$C$101,MATCH(D427,Customers!$A$2:$A$101,0))</f>
        <v>Consumer</v>
      </c>
      <c r="T427" s="0" t="str">
        <f aca="false">INDEX(Customers!$D$2:$D$101,MATCH(D427,Customers!$A$2:$A$101,0))</f>
        <v>Bhubaneswar</v>
      </c>
    </row>
    <row r="428" customFormat="false" ht="15" hidden="false" customHeight="false" outlineLevel="0" collapsed="false">
      <c r="A428" s="0" t="s">
        <v>698</v>
      </c>
      <c r="B428" s="37" t="n">
        <v>45975</v>
      </c>
      <c r="C428" s="37" t="n">
        <v>45976</v>
      </c>
      <c r="D428" s="38" t="s">
        <v>192</v>
      </c>
      <c r="E428" s="38" t="s">
        <v>124</v>
      </c>
      <c r="F428" s="38" t="s">
        <v>102</v>
      </c>
      <c r="G428" s="38" t="s">
        <v>185</v>
      </c>
      <c r="H428" s="0" t="n">
        <v>1</v>
      </c>
      <c r="I428" s="39" t="n">
        <v>3000</v>
      </c>
      <c r="J428" s="40" t="n">
        <v>0.05</v>
      </c>
      <c r="K428" s="39" t="n">
        <v>2850</v>
      </c>
      <c r="L428" s="39" t="n">
        <v>1900</v>
      </c>
      <c r="M428" s="39" t="n">
        <v>950</v>
      </c>
      <c r="N428" s="38" t="s">
        <v>147</v>
      </c>
      <c r="O428" s="38" t="n">
        <f aca="false">YEAR(B428)</f>
        <v>2025</v>
      </c>
      <c r="P428" s="41" t="n">
        <f aca="false">DATE(YEAR(B428),MONTH(B428),1)</f>
        <v>45962</v>
      </c>
      <c r="Q428" s="0" t="str">
        <f aca="false">INDEX(Products!$C$2:$C$16,MATCH(E428,Products!$A$2:$A$16,0))</f>
        <v>Technology</v>
      </c>
      <c r="R428" s="0" t="str">
        <f aca="false">INDEX(Customers!$F$2:$F$101,MATCH(D428,Customers!$A$2:$A$101,0))</f>
        <v>East</v>
      </c>
      <c r="S428" s="0" t="str">
        <f aca="false">INDEX(Customers!$C$2:$C$101,MATCH(D428,Customers!$A$2:$A$101,0))</f>
        <v>Small Business</v>
      </c>
      <c r="T428" s="0" t="str">
        <f aca="false">INDEX(Customers!$D$2:$D$101,MATCH(D428,Customers!$A$2:$A$101,0))</f>
        <v>Bhubaneswar</v>
      </c>
    </row>
    <row r="429" customFormat="false" ht="15" hidden="false" customHeight="false" outlineLevel="0" collapsed="false">
      <c r="A429" s="0" t="s">
        <v>699</v>
      </c>
      <c r="B429" s="37" t="n">
        <v>45858</v>
      </c>
      <c r="C429" s="37" t="n">
        <v>45859</v>
      </c>
      <c r="D429" s="38" t="s">
        <v>244</v>
      </c>
      <c r="E429" s="38" t="s">
        <v>116</v>
      </c>
      <c r="F429" s="38" t="s">
        <v>102</v>
      </c>
      <c r="G429" s="38" t="s">
        <v>185</v>
      </c>
      <c r="H429" s="0" t="n">
        <v>5</v>
      </c>
      <c r="I429" s="39" t="n">
        <v>12000</v>
      </c>
      <c r="J429" s="40" t="n">
        <v>0.25</v>
      </c>
      <c r="K429" s="39" t="n">
        <v>45000</v>
      </c>
      <c r="L429" s="39" t="n">
        <v>45000</v>
      </c>
      <c r="M429" s="39" t="n">
        <v>0</v>
      </c>
      <c r="N429" s="38" t="s">
        <v>146</v>
      </c>
      <c r="O429" s="38" t="n">
        <f aca="false">YEAR(B429)</f>
        <v>2025</v>
      </c>
      <c r="P429" s="41" t="n">
        <f aca="false">DATE(YEAR(B429),MONTH(B429),1)</f>
        <v>45839</v>
      </c>
      <c r="Q429" s="0" t="str">
        <f aca="false">INDEX(Products!$C$2:$C$16,MATCH(E429,Products!$A$2:$A$16,0))</f>
        <v>Technology</v>
      </c>
      <c r="R429" s="0" t="str">
        <f aca="false">INDEX(Customers!$F$2:$F$101,MATCH(D429,Customers!$A$2:$A$101,0))</f>
        <v>North</v>
      </c>
      <c r="S429" s="0" t="str">
        <f aca="false">INDEX(Customers!$C$2:$C$101,MATCH(D429,Customers!$A$2:$A$101,0))</f>
        <v>Consumer</v>
      </c>
      <c r="T429" s="0" t="str">
        <f aca="false">INDEX(Customers!$D$2:$D$101,MATCH(D429,Customers!$A$2:$A$101,0))</f>
        <v>Gurugram</v>
      </c>
    </row>
    <row r="430" customFormat="false" ht="15" hidden="false" customHeight="false" outlineLevel="0" collapsed="false">
      <c r="A430" s="0" t="s">
        <v>700</v>
      </c>
      <c r="B430" s="37" t="n">
        <v>46250</v>
      </c>
      <c r="C430" s="37" t="n">
        <v>46254</v>
      </c>
      <c r="D430" s="38" t="s">
        <v>312</v>
      </c>
      <c r="E430" s="38" t="s">
        <v>126</v>
      </c>
      <c r="F430" s="38" t="s">
        <v>101</v>
      </c>
      <c r="G430" s="38" t="s">
        <v>170</v>
      </c>
      <c r="H430" s="0" t="n">
        <v>3</v>
      </c>
      <c r="I430" s="39" t="n">
        <v>1200</v>
      </c>
      <c r="J430" s="40" t="n">
        <v>0</v>
      </c>
      <c r="K430" s="39" t="n">
        <v>3600</v>
      </c>
      <c r="L430" s="39" t="n">
        <v>2100</v>
      </c>
      <c r="M430" s="39" t="n">
        <v>1500</v>
      </c>
      <c r="N430" s="38" t="s">
        <v>66</v>
      </c>
      <c r="O430" s="38" t="n">
        <f aca="false">YEAR(B430)</f>
        <v>2026</v>
      </c>
      <c r="P430" s="41" t="n">
        <f aca="false">DATE(YEAR(B430),MONTH(B430),1)</f>
        <v>46235</v>
      </c>
      <c r="Q430" s="0" t="str">
        <f aca="false">INDEX(Products!$C$2:$C$16,MATCH(E430,Products!$A$2:$A$16,0))</f>
        <v>Furniture</v>
      </c>
      <c r="R430" s="0" t="str">
        <f aca="false">INDEX(Customers!$F$2:$F$101,MATCH(D430,Customers!$A$2:$A$101,0))</f>
        <v>North</v>
      </c>
      <c r="S430" s="0" t="str">
        <f aca="false">INDEX(Customers!$C$2:$C$101,MATCH(D430,Customers!$A$2:$A$101,0))</f>
        <v>Corporate</v>
      </c>
      <c r="T430" s="0" t="str">
        <f aca="false">INDEX(Customers!$D$2:$D$101,MATCH(D430,Customers!$A$2:$A$101,0))</f>
        <v>Delhi</v>
      </c>
    </row>
    <row r="431" customFormat="false" ht="15" hidden="false" customHeight="false" outlineLevel="0" collapsed="false">
      <c r="A431" s="0" t="s">
        <v>701</v>
      </c>
      <c r="B431" s="37" t="n">
        <v>45806</v>
      </c>
      <c r="C431" s="37" t="n">
        <v>45811</v>
      </c>
      <c r="D431" s="38" t="s">
        <v>285</v>
      </c>
      <c r="E431" s="38" t="s">
        <v>113</v>
      </c>
      <c r="F431" s="38" t="s">
        <v>102</v>
      </c>
      <c r="G431" s="38" t="s">
        <v>188</v>
      </c>
      <c r="H431" s="0" t="n">
        <v>6</v>
      </c>
      <c r="I431" s="39" t="n">
        <v>45000</v>
      </c>
      <c r="J431" s="40" t="n">
        <v>0.25</v>
      </c>
      <c r="K431" s="39" t="n">
        <v>202500</v>
      </c>
      <c r="L431" s="39" t="n">
        <v>216000</v>
      </c>
      <c r="M431" s="39" t="n">
        <v>-13500</v>
      </c>
      <c r="N431" s="38" t="s">
        <v>66</v>
      </c>
      <c r="O431" s="38" t="n">
        <f aca="false">YEAR(B431)</f>
        <v>2025</v>
      </c>
      <c r="P431" s="41" t="n">
        <f aca="false">DATE(YEAR(B431),MONTH(B431),1)</f>
        <v>45778</v>
      </c>
      <c r="Q431" s="0" t="str">
        <f aca="false">INDEX(Products!$C$2:$C$16,MATCH(E431,Products!$A$2:$A$16,0))</f>
        <v>Technology</v>
      </c>
      <c r="R431" s="0" t="str">
        <f aca="false">INDEX(Customers!$F$2:$F$101,MATCH(D431,Customers!$A$2:$A$101,0))</f>
        <v>South</v>
      </c>
      <c r="S431" s="0" t="str">
        <f aca="false">INDEX(Customers!$C$2:$C$101,MATCH(D431,Customers!$A$2:$A$101,0))</f>
        <v>Small Business</v>
      </c>
      <c r="T431" s="0" t="str">
        <f aca="false">INDEX(Customers!$D$2:$D$101,MATCH(D431,Customers!$A$2:$A$101,0))</f>
        <v>Hyderabad</v>
      </c>
    </row>
    <row r="432" customFormat="false" ht="15" hidden="false" customHeight="false" outlineLevel="0" collapsed="false">
      <c r="A432" s="0" t="s">
        <v>702</v>
      </c>
      <c r="B432" s="37" t="n">
        <v>45469</v>
      </c>
      <c r="C432" s="37" t="n">
        <v>45471</v>
      </c>
      <c r="D432" s="38" t="s">
        <v>192</v>
      </c>
      <c r="E432" s="38" t="s">
        <v>120</v>
      </c>
      <c r="F432" s="38" t="s">
        <v>100</v>
      </c>
      <c r="G432" s="38" t="s">
        <v>173</v>
      </c>
      <c r="H432" s="0" t="n">
        <v>8</v>
      </c>
      <c r="I432" s="39" t="n">
        <v>400</v>
      </c>
      <c r="J432" s="40" t="n">
        <v>0.25</v>
      </c>
      <c r="K432" s="39" t="n">
        <v>2400</v>
      </c>
      <c r="L432" s="39" t="n">
        <v>2080</v>
      </c>
      <c r="M432" s="39" t="n">
        <v>320</v>
      </c>
      <c r="N432" s="38" t="s">
        <v>66</v>
      </c>
      <c r="O432" s="38" t="n">
        <f aca="false">YEAR(B432)</f>
        <v>2024</v>
      </c>
      <c r="P432" s="41" t="n">
        <f aca="false">DATE(YEAR(B432),MONTH(B432),1)</f>
        <v>45444</v>
      </c>
      <c r="Q432" s="0" t="str">
        <f aca="false">INDEX(Products!$C$2:$C$16,MATCH(E432,Products!$A$2:$A$16,0))</f>
        <v>Office Supplies</v>
      </c>
      <c r="R432" s="0" t="str">
        <f aca="false">INDEX(Customers!$F$2:$F$101,MATCH(D432,Customers!$A$2:$A$101,0))</f>
        <v>East</v>
      </c>
      <c r="S432" s="0" t="str">
        <f aca="false">INDEX(Customers!$C$2:$C$101,MATCH(D432,Customers!$A$2:$A$101,0))</f>
        <v>Small Business</v>
      </c>
      <c r="T432" s="0" t="str">
        <f aca="false">INDEX(Customers!$D$2:$D$101,MATCH(D432,Customers!$A$2:$A$101,0))</f>
        <v>Bhubaneswar</v>
      </c>
    </row>
    <row r="433" customFormat="false" ht="15" hidden="false" customHeight="false" outlineLevel="0" collapsed="false">
      <c r="A433" s="0" t="s">
        <v>703</v>
      </c>
      <c r="B433" s="37" t="n">
        <v>45737</v>
      </c>
      <c r="C433" s="37" t="n">
        <v>45739</v>
      </c>
      <c r="D433" s="38" t="s">
        <v>196</v>
      </c>
      <c r="E433" s="38" t="s">
        <v>123</v>
      </c>
      <c r="F433" s="38" t="s">
        <v>100</v>
      </c>
      <c r="G433" s="38" t="s">
        <v>188</v>
      </c>
      <c r="H433" s="0" t="n">
        <v>10</v>
      </c>
      <c r="I433" s="39" t="n">
        <v>2200</v>
      </c>
      <c r="J433" s="40" t="n">
        <v>0.2</v>
      </c>
      <c r="K433" s="39" t="n">
        <v>17600</v>
      </c>
      <c r="L433" s="39" t="n">
        <v>13000</v>
      </c>
      <c r="M433" s="39" t="n">
        <v>4600</v>
      </c>
      <c r="N433" s="38" t="s">
        <v>66</v>
      </c>
      <c r="O433" s="38" t="n">
        <f aca="false">YEAR(B433)</f>
        <v>2025</v>
      </c>
      <c r="P433" s="41" t="n">
        <f aca="false">DATE(YEAR(B433),MONTH(B433),1)</f>
        <v>45717</v>
      </c>
      <c r="Q433" s="0" t="str">
        <f aca="false">INDEX(Products!$C$2:$C$16,MATCH(E433,Products!$A$2:$A$16,0))</f>
        <v>Technology</v>
      </c>
      <c r="R433" s="0" t="str">
        <f aca="false">INDEX(Customers!$F$2:$F$101,MATCH(D433,Customers!$A$2:$A$101,0))</f>
        <v>South</v>
      </c>
      <c r="S433" s="0" t="str">
        <f aca="false">INDEX(Customers!$C$2:$C$101,MATCH(D433,Customers!$A$2:$A$101,0))</f>
        <v>Consumer</v>
      </c>
      <c r="T433" s="0" t="str">
        <f aca="false">INDEX(Customers!$D$2:$D$101,MATCH(D433,Customers!$A$2:$A$101,0))</f>
        <v>Chennai</v>
      </c>
    </row>
    <row r="434" customFormat="false" ht="15" hidden="false" customHeight="false" outlineLevel="0" collapsed="false">
      <c r="A434" s="0" t="s">
        <v>704</v>
      </c>
      <c r="B434" s="37" t="n">
        <v>46118</v>
      </c>
      <c r="C434" s="37" t="n">
        <v>46119</v>
      </c>
      <c r="D434" s="38" t="s">
        <v>425</v>
      </c>
      <c r="E434" s="38" t="s">
        <v>127</v>
      </c>
      <c r="F434" s="38" t="s">
        <v>101</v>
      </c>
      <c r="G434" s="38" t="s">
        <v>188</v>
      </c>
      <c r="H434" s="0" t="n">
        <v>1</v>
      </c>
      <c r="I434" s="39" t="n">
        <v>18000</v>
      </c>
      <c r="J434" s="40" t="n">
        <v>0.15</v>
      </c>
      <c r="K434" s="39" t="n">
        <v>15300</v>
      </c>
      <c r="L434" s="39" t="n">
        <v>14000</v>
      </c>
      <c r="M434" s="39" t="n">
        <v>1300</v>
      </c>
      <c r="N434" s="38" t="s">
        <v>66</v>
      </c>
      <c r="O434" s="38" t="n">
        <f aca="false">YEAR(B434)</f>
        <v>2026</v>
      </c>
      <c r="P434" s="41" t="n">
        <f aca="false">DATE(YEAR(B434),MONTH(B434),1)</f>
        <v>46113</v>
      </c>
      <c r="Q434" s="0" t="str">
        <f aca="false">INDEX(Products!$C$2:$C$16,MATCH(E434,Products!$A$2:$A$16,0))</f>
        <v>Technology</v>
      </c>
      <c r="R434" s="0" t="str">
        <f aca="false">INDEX(Customers!$F$2:$F$101,MATCH(D434,Customers!$A$2:$A$101,0))</f>
        <v>North</v>
      </c>
      <c r="S434" s="0" t="str">
        <f aca="false">INDEX(Customers!$C$2:$C$101,MATCH(D434,Customers!$A$2:$A$101,0))</f>
        <v>Small Business</v>
      </c>
      <c r="T434" s="0" t="str">
        <f aca="false">INDEX(Customers!$D$2:$D$101,MATCH(D434,Customers!$A$2:$A$101,0))</f>
        <v>Lucknow</v>
      </c>
    </row>
    <row r="435" customFormat="false" ht="15" hidden="false" customHeight="false" outlineLevel="0" collapsed="false">
      <c r="A435" s="0" t="s">
        <v>705</v>
      </c>
      <c r="B435" s="37" t="n">
        <v>45761</v>
      </c>
      <c r="C435" s="37" t="n">
        <v>45768</v>
      </c>
      <c r="D435" s="38" t="s">
        <v>194</v>
      </c>
      <c r="E435" s="38" t="s">
        <v>121</v>
      </c>
      <c r="F435" s="38" t="s">
        <v>102</v>
      </c>
      <c r="G435" s="38" t="s">
        <v>188</v>
      </c>
      <c r="H435" s="0" t="n">
        <v>1</v>
      </c>
      <c r="I435" s="39" t="n">
        <v>180</v>
      </c>
      <c r="J435" s="40" t="n">
        <v>0.2</v>
      </c>
      <c r="K435" s="39" t="n">
        <v>144</v>
      </c>
      <c r="L435" s="39" t="n">
        <v>70</v>
      </c>
      <c r="M435" s="39" t="n">
        <v>74</v>
      </c>
      <c r="N435" s="38" t="s">
        <v>66</v>
      </c>
      <c r="O435" s="38" t="n">
        <f aca="false">YEAR(B435)</f>
        <v>2025</v>
      </c>
      <c r="P435" s="41" t="n">
        <f aca="false">DATE(YEAR(B435),MONTH(B435),1)</f>
        <v>45748</v>
      </c>
      <c r="Q435" s="0" t="str">
        <f aca="false">INDEX(Products!$C$2:$C$16,MATCH(E435,Products!$A$2:$A$16,0))</f>
        <v>Office Supplies</v>
      </c>
      <c r="R435" s="0" t="str">
        <f aca="false">INDEX(Customers!$F$2:$F$101,MATCH(D435,Customers!$A$2:$A$101,0))</f>
        <v>North</v>
      </c>
      <c r="S435" s="0" t="str">
        <f aca="false">INDEX(Customers!$C$2:$C$101,MATCH(D435,Customers!$A$2:$A$101,0))</f>
        <v>Small Business</v>
      </c>
      <c r="T435" s="0" t="str">
        <f aca="false">INDEX(Customers!$D$2:$D$101,MATCH(D435,Customers!$A$2:$A$101,0))</f>
        <v>Gurugram</v>
      </c>
    </row>
    <row r="436" customFormat="false" ht="15" hidden="false" customHeight="false" outlineLevel="0" collapsed="false">
      <c r="A436" s="0" t="s">
        <v>706</v>
      </c>
      <c r="B436" s="37" t="n">
        <v>45716</v>
      </c>
      <c r="C436" s="37" t="n">
        <v>45718</v>
      </c>
      <c r="D436" s="38" t="s">
        <v>364</v>
      </c>
      <c r="E436" s="38" t="s">
        <v>114</v>
      </c>
      <c r="F436" s="38" t="s">
        <v>102</v>
      </c>
      <c r="G436" s="38" t="s">
        <v>178</v>
      </c>
      <c r="H436" s="0" t="n">
        <v>1</v>
      </c>
      <c r="I436" s="39" t="n">
        <v>800</v>
      </c>
      <c r="J436" s="40" t="n">
        <v>0.15</v>
      </c>
      <c r="K436" s="39" t="n">
        <v>680</v>
      </c>
      <c r="L436" s="39" t="n">
        <v>420</v>
      </c>
      <c r="M436" s="39" t="n">
        <v>260</v>
      </c>
      <c r="N436" s="38" t="s">
        <v>146</v>
      </c>
      <c r="O436" s="38" t="n">
        <f aca="false">YEAR(B436)</f>
        <v>2025</v>
      </c>
      <c r="P436" s="41" t="n">
        <f aca="false">DATE(YEAR(B436),MONTH(B436),1)</f>
        <v>45689</v>
      </c>
      <c r="Q436" s="0" t="str">
        <f aca="false">INDEX(Products!$C$2:$C$16,MATCH(E436,Products!$A$2:$A$16,0))</f>
        <v>Technology</v>
      </c>
      <c r="R436" s="0" t="str">
        <f aca="false">INDEX(Customers!$F$2:$F$101,MATCH(D436,Customers!$A$2:$A$101,0))</f>
        <v>North</v>
      </c>
      <c r="S436" s="0" t="str">
        <f aca="false">INDEX(Customers!$C$2:$C$101,MATCH(D436,Customers!$A$2:$A$101,0))</f>
        <v>Corporate</v>
      </c>
      <c r="T436" s="0" t="str">
        <f aca="false">INDEX(Customers!$D$2:$D$101,MATCH(D436,Customers!$A$2:$A$101,0))</f>
        <v>Jaipur</v>
      </c>
    </row>
    <row r="437" customFormat="false" ht="15" hidden="false" customHeight="false" outlineLevel="0" collapsed="false">
      <c r="A437" s="0" t="s">
        <v>707</v>
      </c>
      <c r="B437" s="37" t="n">
        <v>45395</v>
      </c>
      <c r="C437" s="37" t="n">
        <v>45402</v>
      </c>
      <c r="D437" s="38" t="s">
        <v>224</v>
      </c>
      <c r="E437" s="38" t="s">
        <v>125</v>
      </c>
      <c r="F437" s="38" t="s">
        <v>101</v>
      </c>
      <c r="G437" s="38" t="s">
        <v>185</v>
      </c>
      <c r="H437" s="0" t="n">
        <v>1</v>
      </c>
      <c r="I437" s="39" t="n">
        <v>600</v>
      </c>
      <c r="J437" s="40" t="n">
        <v>0.15</v>
      </c>
      <c r="K437" s="39" t="n">
        <v>510</v>
      </c>
      <c r="L437" s="39" t="n">
        <v>350</v>
      </c>
      <c r="M437" s="39" t="n">
        <v>160</v>
      </c>
      <c r="N437" s="38" t="s">
        <v>66</v>
      </c>
      <c r="O437" s="38" t="n">
        <f aca="false">YEAR(B437)</f>
        <v>2024</v>
      </c>
      <c r="P437" s="41" t="n">
        <f aca="false">DATE(YEAR(B437),MONTH(B437),1)</f>
        <v>45383</v>
      </c>
      <c r="Q437" s="0" t="str">
        <f aca="false">INDEX(Products!$C$2:$C$16,MATCH(E437,Products!$A$2:$A$16,0))</f>
        <v>Office Supplies</v>
      </c>
      <c r="R437" s="0" t="str">
        <f aca="false">INDEX(Customers!$F$2:$F$101,MATCH(D437,Customers!$A$2:$A$101,0))</f>
        <v>North</v>
      </c>
      <c r="S437" s="0" t="str">
        <f aca="false">INDEX(Customers!$C$2:$C$101,MATCH(D437,Customers!$A$2:$A$101,0))</f>
        <v>Small Business</v>
      </c>
      <c r="T437" s="0" t="str">
        <f aca="false">INDEX(Customers!$D$2:$D$101,MATCH(D437,Customers!$A$2:$A$101,0))</f>
        <v>Jaipur</v>
      </c>
    </row>
    <row r="438" customFormat="false" ht="15" hidden="false" customHeight="false" outlineLevel="0" collapsed="false">
      <c r="A438" s="0" t="s">
        <v>708</v>
      </c>
      <c r="B438" s="37" t="n">
        <v>45877</v>
      </c>
      <c r="C438" s="37" t="n">
        <v>45882</v>
      </c>
      <c r="D438" s="38" t="s">
        <v>215</v>
      </c>
      <c r="E438" s="38" t="s">
        <v>120</v>
      </c>
      <c r="F438" s="38" t="s">
        <v>101</v>
      </c>
      <c r="G438" s="38" t="s">
        <v>185</v>
      </c>
      <c r="H438" s="0" t="n">
        <v>2</v>
      </c>
      <c r="I438" s="39" t="n">
        <v>400</v>
      </c>
      <c r="J438" s="40" t="n">
        <v>0</v>
      </c>
      <c r="K438" s="39" t="n">
        <v>800</v>
      </c>
      <c r="L438" s="39" t="n">
        <v>520</v>
      </c>
      <c r="M438" s="39" t="n">
        <v>280</v>
      </c>
      <c r="N438" s="38" t="s">
        <v>66</v>
      </c>
      <c r="O438" s="38" t="n">
        <f aca="false">YEAR(B438)</f>
        <v>2025</v>
      </c>
      <c r="P438" s="41" t="n">
        <f aca="false">DATE(YEAR(B438),MONTH(B438),1)</f>
        <v>45870</v>
      </c>
      <c r="Q438" s="0" t="str">
        <f aca="false">INDEX(Products!$C$2:$C$16,MATCH(E438,Products!$A$2:$A$16,0))</f>
        <v>Office Supplies</v>
      </c>
      <c r="R438" s="0" t="str">
        <f aca="false">INDEX(Customers!$F$2:$F$101,MATCH(D438,Customers!$A$2:$A$101,0))</f>
        <v>North</v>
      </c>
      <c r="S438" s="0" t="str">
        <f aca="false">INDEX(Customers!$C$2:$C$101,MATCH(D438,Customers!$A$2:$A$101,0))</f>
        <v>Consumer</v>
      </c>
      <c r="T438" s="0" t="str">
        <f aca="false">INDEX(Customers!$D$2:$D$101,MATCH(D438,Customers!$A$2:$A$101,0))</f>
        <v>Jaipur</v>
      </c>
    </row>
    <row r="439" customFormat="false" ht="15" hidden="false" customHeight="false" outlineLevel="0" collapsed="false">
      <c r="A439" s="0" t="s">
        <v>709</v>
      </c>
      <c r="B439" s="37" t="n">
        <v>46002</v>
      </c>
      <c r="C439" s="37" t="n">
        <v>46006</v>
      </c>
      <c r="D439" s="38" t="s">
        <v>350</v>
      </c>
      <c r="E439" s="38" t="s">
        <v>123</v>
      </c>
      <c r="F439" s="38" t="s">
        <v>102</v>
      </c>
      <c r="G439" s="38" t="s">
        <v>173</v>
      </c>
      <c r="H439" s="0" t="n">
        <v>1</v>
      </c>
      <c r="I439" s="39" t="n">
        <v>2200</v>
      </c>
      <c r="J439" s="40" t="n">
        <v>0.05</v>
      </c>
      <c r="K439" s="39" t="n">
        <v>2090</v>
      </c>
      <c r="L439" s="39" t="n">
        <v>1300</v>
      </c>
      <c r="M439" s="39" t="n">
        <v>790</v>
      </c>
      <c r="N439" s="38" t="s">
        <v>66</v>
      </c>
      <c r="O439" s="38" t="n">
        <f aca="false">YEAR(B439)</f>
        <v>2025</v>
      </c>
      <c r="P439" s="41" t="n">
        <f aca="false">DATE(YEAR(B439),MONTH(B439),1)</f>
        <v>45992</v>
      </c>
      <c r="Q439" s="0" t="str">
        <f aca="false">INDEX(Products!$C$2:$C$16,MATCH(E439,Products!$A$2:$A$16,0))</f>
        <v>Technology</v>
      </c>
      <c r="R439" s="0" t="str">
        <f aca="false">INDEX(Customers!$F$2:$F$101,MATCH(D439,Customers!$A$2:$A$101,0))</f>
        <v>South</v>
      </c>
      <c r="S439" s="0" t="str">
        <f aca="false">INDEX(Customers!$C$2:$C$101,MATCH(D439,Customers!$A$2:$A$101,0))</f>
        <v>Consumer</v>
      </c>
      <c r="T439" s="0" t="str">
        <f aca="false">INDEX(Customers!$D$2:$D$101,MATCH(D439,Customers!$A$2:$A$101,0))</f>
        <v>Chennai</v>
      </c>
    </row>
    <row r="440" customFormat="false" ht="15" hidden="false" customHeight="false" outlineLevel="0" collapsed="false">
      <c r="A440" s="0" t="s">
        <v>710</v>
      </c>
      <c r="B440" s="37" t="n">
        <v>45567</v>
      </c>
      <c r="C440" s="37" t="n">
        <v>45570</v>
      </c>
      <c r="D440" s="38" t="s">
        <v>213</v>
      </c>
      <c r="E440" s="38" t="s">
        <v>127</v>
      </c>
      <c r="F440" s="38" t="s">
        <v>101</v>
      </c>
      <c r="G440" s="38" t="s">
        <v>170</v>
      </c>
      <c r="H440" s="0" t="n">
        <v>1</v>
      </c>
      <c r="I440" s="39" t="n">
        <v>18000</v>
      </c>
      <c r="J440" s="40" t="n">
        <v>0.25</v>
      </c>
      <c r="K440" s="39" t="n">
        <v>13500</v>
      </c>
      <c r="L440" s="39" t="n">
        <v>14000</v>
      </c>
      <c r="M440" s="39" t="n">
        <v>-500</v>
      </c>
      <c r="N440" s="38" t="s">
        <v>66</v>
      </c>
      <c r="O440" s="38" t="n">
        <f aca="false">YEAR(B440)</f>
        <v>2024</v>
      </c>
      <c r="P440" s="41" t="n">
        <f aca="false">DATE(YEAR(B440),MONTH(B440),1)</f>
        <v>45566</v>
      </c>
      <c r="Q440" s="0" t="str">
        <f aca="false">INDEX(Products!$C$2:$C$16,MATCH(E440,Products!$A$2:$A$16,0))</f>
        <v>Technology</v>
      </c>
      <c r="R440" s="0" t="str">
        <f aca="false">INDEX(Customers!$F$2:$F$101,MATCH(D440,Customers!$A$2:$A$101,0))</f>
        <v>North</v>
      </c>
      <c r="S440" s="0" t="str">
        <f aca="false">INDEX(Customers!$C$2:$C$101,MATCH(D440,Customers!$A$2:$A$101,0))</f>
        <v>Small Business</v>
      </c>
      <c r="T440" s="0" t="str">
        <f aca="false">INDEX(Customers!$D$2:$D$101,MATCH(D440,Customers!$A$2:$A$101,0))</f>
        <v>Gurugram</v>
      </c>
    </row>
    <row r="441" customFormat="false" ht="15" hidden="false" customHeight="false" outlineLevel="0" collapsed="false">
      <c r="A441" s="0" t="s">
        <v>711</v>
      </c>
      <c r="B441" s="37" t="n">
        <v>46004</v>
      </c>
      <c r="C441" s="37" t="n">
        <v>46010</v>
      </c>
      <c r="D441" s="38" t="s">
        <v>238</v>
      </c>
      <c r="E441" s="38" t="s">
        <v>126</v>
      </c>
      <c r="F441" s="38" t="s">
        <v>100</v>
      </c>
      <c r="G441" s="38" t="s">
        <v>173</v>
      </c>
      <c r="H441" s="0" t="n">
        <v>1</v>
      </c>
      <c r="I441" s="39" t="n">
        <v>1200</v>
      </c>
      <c r="J441" s="40" t="n">
        <v>0.25</v>
      </c>
      <c r="K441" s="39" t="n">
        <v>900</v>
      </c>
      <c r="L441" s="39" t="n">
        <v>700</v>
      </c>
      <c r="M441" s="39" t="n">
        <v>200</v>
      </c>
      <c r="N441" s="38" t="s">
        <v>66</v>
      </c>
      <c r="O441" s="38" t="n">
        <f aca="false">YEAR(B441)</f>
        <v>2025</v>
      </c>
      <c r="P441" s="41" t="n">
        <f aca="false">DATE(YEAR(B441),MONTH(B441),1)</f>
        <v>45992</v>
      </c>
      <c r="Q441" s="0" t="str">
        <f aca="false">INDEX(Products!$C$2:$C$16,MATCH(E441,Products!$A$2:$A$16,0))</f>
        <v>Furniture</v>
      </c>
      <c r="R441" s="0" t="str">
        <f aca="false">INDEX(Customers!$F$2:$F$101,MATCH(D441,Customers!$A$2:$A$101,0))</f>
        <v>North</v>
      </c>
      <c r="S441" s="0" t="str">
        <f aca="false">INDEX(Customers!$C$2:$C$101,MATCH(D441,Customers!$A$2:$A$101,0))</f>
        <v>Small Business</v>
      </c>
      <c r="T441" s="0" t="str">
        <f aca="false">INDEX(Customers!$D$2:$D$101,MATCH(D441,Customers!$A$2:$A$101,0))</f>
        <v>Lucknow</v>
      </c>
    </row>
    <row r="442" customFormat="false" ht="15" hidden="false" customHeight="false" outlineLevel="0" collapsed="false">
      <c r="A442" s="0" t="s">
        <v>712</v>
      </c>
      <c r="B442" s="37" t="n">
        <v>46084</v>
      </c>
      <c r="C442" s="37" t="n">
        <v>46091</v>
      </c>
      <c r="D442" s="38" t="s">
        <v>242</v>
      </c>
      <c r="E442" s="38" t="s">
        <v>120</v>
      </c>
      <c r="F442" s="38" t="s">
        <v>101</v>
      </c>
      <c r="G442" s="38" t="s">
        <v>188</v>
      </c>
      <c r="H442" s="0" t="n">
        <v>2</v>
      </c>
      <c r="I442" s="39" t="n">
        <v>400</v>
      </c>
      <c r="J442" s="40" t="n">
        <v>0.2</v>
      </c>
      <c r="K442" s="39" t="n">
        <v>640</v>
      </c>
      <c r="L442" s="39" t="n">
        <v>520</v>
      </c>
      <c r="M442" s="39" t="n">
        <v>120</v>
      </c>
      <c r="N442" s="38" t="s">
        <v>66</v>
      </c>
      <c r="O442" s="38" t="n">
        <f aca="false">YEAR(B442)</f>
        <v>2026</v>
      </c>
      <c r="P442" s="41" t="n">
        <f aca="false">DATE(YEAR(B442),MONTH(B442),1)</f>
        <v>46082</v>
      </c>
      <c r="Q442" s="0" t="str">
        <f aca="false">INDEX(Products!$C$2:$C$16,MATCH(E442,Products!$A$2:$A$16,0))</f>
        <v>Office Supplies</v>
      </c>
      <c r="R442" s="0" t="str">
        <f aca="false">INDEX(Customers!$F$2:$F$101,MATCH(D442,Customers!$A$2:$A$101,0))</f>
        <v>North</v>
      </c>
      <c r="S442" s="0" t="str">
        <f aca="false">INDEX(Customers!$C$2:$C$101,MATCH(D442,Customers!$A$2:$A$101,0))</f>
        <v>Small Business</v>
      </c>
      <c r="T442" s="0" t="str">
        <f aca="false">INDEX(Customers!$D$2:$D$101,MATCH(D442,Customers!$A$2:$A$101,0))</f>
        <v>Gurugram</v>
      </c>
    </row>
    <row r="443" customFormat="false" ht="15" hidden="false" customHeight="false" outlineLevel="0" collapsed="false">
      <c r="A443" s="0" t="s">
        <v>713</v>
      </c>
      <c r="B443" s="37" t="n">
        <v>45508</v>
      </c>
      <c r="C443" s="37" t="n">
        <v>45515</v>
      </c>
      <c r="D443" s="38" t="s">
        <v>236</v>
      </c>
      <c r="E443" s="38" t="s">
        <v>120</v>
      </c>
      <c r="F443" s="38" t="s">
        <v>102</v>
      </c>
      <c r="G443" s="38" t="s">
        <v>170</v>
      </c>
      <c r="H443" s="0" t="n">
        <v>2</v>
      </c>
      <c r="I443" s="39" t="n">
        <v>400</v>
      </c>
      <c r="J443" s="40" t="n">
        <v>0.1</v>
      </c>
      <c r="K443" s="39" t="n">
        <v>720</v>
      </c>
      <c r="L443" s="39" t="n">
        <v>520</v>
      </c>
      <c r="M443" s="39" t="n">
        <v>200</v>
      </c>
      <c r="N443" s="38" t="s">
        <v>66</v>
      </c>
      <c r="O443" s="38" t="n">
        <f aca="false">YEAR(B443)</f>
        <v>2024</v>
      </c>
      <c r="P443" s="41" t="n">
        <f aca="false">DATE(YEAR(B443),MONTH(B443),1)</f>
        <v>45505</v>
      </c>
      <c r="Q443" s="0" t="str">
        <f aca="false">INDEX(Products!$C$2:$C$16,MATCH(E443,Products!$A$2:$A$16,0))</f>
        <v>Office Supplies</v>
      </c>
      <c r="R443" s="0" t="str">
        <f aca="false">INDEX(Customers!$F$2:$F$101,MATCH(D443,Customers!$A$2:$A$101,0))</f>
        <v>West</v>
      </c>
      <c r="S443" s="0" t="str">
        <f aca="false">INDEX(Customers!$C$2:$C$101,MATCH(D443,Customers!$A$2:$A$101,0))</f>
        <v>Small Business</v>
      </c>
      <c r="T443" s="0" t="str">
        <f aca="false">INDEX(Customers!$D$2:$D$101,MATCH(D443,Customers!$A$2:$A$101,0))</f>
        <v>Pune</v>
      </c>
    </row>
    <row r="444" customFormat="false" ht="15" hidden="false" customHeight="false" outlineLevel="0" collapsed="false">
      <c r="A444" s="0" t="s">
        <v>714</v>
      </c>
      <c r="B444" s="37" t="n">
        <v>45454</v>
      </c>
      <c r="C444" s="37" t="n">
        <v>45455</v>
      </c>
      <c r="D444" s="38" t="s">
        <v>447</v>
      </c>
      <c r="E444" s="38" t="s">
        <v>125</v>
      </c>
      <c r="F444" s="38" t="s">
        <v>101</v>
      </c>
      <c r="G444" s="38" t="s">
        <v>173</v>
      </c>
      <c r="H444" s="0" t="n">
        <v>2</v>
      </c>
      <c r="I444" s="39" t="n">
        <v>600</v>
      </c>
      <c r="J444" s="40" t="n">
        <v>0.15</v>
      </c>
      <c r="K444" s="39" t="n">
        <v>1020</v>
      </c>
      <c r="L444" s="39" t="n">
        <v>700</v>
      </c>
      <c r="M444" s="39" t="n">
        <v>320</v>
      </c>
      <c r="N444" s="38" t="s">
        <v>66</v>
      </c>
      <c r="O444" s="38" t="n">
        <f aca="false">YEAR(B444)</f>
        <v>2024</v>
      </c>
      <c r="P444" s="41" t="n">
        <f aca="false">DATE(YEAR(B444),MONTH(B444),1)</f>
        <v>45444</v>
      </c>
      <c r="Q444" s="0" t="str">
        <f aca="false">INDEX(Products!$C$2:$C$16,MATCH(E444,Products!$A$2:$A$16,0))</f>
        <v>Office Supplies</v>
      </c>
      <c r="R444" s="0" t="str">
        <f aca="false">INDEX(Customers!$F$2:$F$101,MATCH(D444,Customers!$A$2:$A$101,0))</f>
        <v>North</v>
      </c>
      <c r="S444" s="0" t="str">
        <f aca="false">INDEX(Customers!$C$2:$C$101,MATCH(D444,Customers!$A$2:$A$101,0))</f>
        <v>Corporate</v>
      </c>
      <c r="T444" s="0" t="str">
        <f aca="false">INDEX(Customers!$D$2:$D$101,MATCH(D444,Customers!$A$2:$A$101,0))</f>
        <v>Jaipur</v>
      </c>
    </row>
    <row r="445" customFormat="false" ht="15" hidden="false" customHeight="false" outlineLevel="0" collapsed="false">
      <c r="A445" s="0" t="s">
        <v>715</v>
      </c>
      <c r="B445" s="37" t="n">
        <v>45874</v>
      </c>
      <c r="C445" s="37" t="n">
        <v>45875</v>
      </c>
      <c r="D445" s="38" t="s">
        <v>379</v>
      </c>
      <c r="E445" s="38" t="s">
        <v>127</v>
      </c>
      <c r="F445" s="38" t="s">
        <v>100</v>
      </c>
      <c r="G445" s="38" t="s">
        <v>178</v>
      </c>
      <c r="H445" s="0" t="n">
        <v>1</v>
      </c>
      <c r="I445" s="39" t="n">
        <v>18000</v>
      </c>
      <c r="J445" s="40" t="n">
        <v>0.25</v>
      </c>
      <c r="K445" s="39" t="n">
        <v>13500</v>
      </c>
      <c r="L445" s="39" t="n">
        <v>14000</v>
      </c>
      <c r="M445" s="39" t="n">
        <v>-500</v>
      </c>
      <c r="N445" s="38" t="s">
        <v>66</v>
      </c>
      <c r="O445" s="38" t="n">
        <f aca="false">YEAR(B445)</f>
        <v>2025</v>
      </c>
      <c r="P445" s="41" t="n">
        <f aca="false">DATE(YEAR(B445),MONTH(B445),1)</f>
        <v>45870</v>
      </c>
      <c r="Q445" s="0" t="str">
        <f aca="false">INDEX(Products!$C$2:$C$16,MATCH(E445,Products!$A$2:$A$16,0))</f>
        <v>Technology</v>
      </c>
      <c r="R445" s="0" t="str">
        <f aca="false">INDEX(Customers!$F$2:$F$101,MATCH(D445,Customers!$A$2:$A$101,0))</f>
        <v>North</v>
      </c>
      <c r="S445" s="0" t="str">
        <f aca="false">INDEX(Customers!$C$2:$C$101,MATCH(D445,Customers!$A$2:$A$101,0))</f>
        <v>Consumer</v>
      </c>
      <c r="T445" s="0" t="str">
        <f aca="false">INDEX(Customers!$D$2:$D$101,MATCH(D445,Customers!$A$2:$A$101,0))</f>
        <v>Lucknow</v>
      </c>
    </row>
    <row r="446" customFormat="false" ht="15" hidden="false" customHeight="false" outlineLevel="0" collapsed="false">
      <c r="A446" s="0" t="s">
        <v>716</v>
      </c>
      <c r="B446" s="37" t="n">
        <v>46232</v>
      </c>
      <c r="C446" s="37" t="n">
        <v>46235</v>
      </c>
      <c r="D446" s="38" t="s">
        <v>227</v>
      </c>
      <c r="E446" s="38" t="s">
        <v>113</v>
      </c>
      <c r="F446" s="38" t="s">
        <v>101</v>
      </c>
      <c r="G446" s="38" t="s">
        <v>185</v>
      </c>
      <c r="H446" s="0" t="n">
        <v>3</v>
      </c>
      <c r="I446" s="39" t="n">
        <v>45000</v>
      </c>
      <c r="J446" s="40" t="n">
        <v>0.05</v>
      </c>
      <c r="K446" s="39" t="n">
        <v>128250</v>
      </c>
      <c r="L446" s="39" t="n">
        <v>108000</v>
      </c>
      <c r="M446" s="39" t="n">
        <v>20250</v>
      </c>
      <c r="N446" s="38" t="s">
        <v>66</v>
      </c>
      <c r="O446" s="38" t="n">
        <f aca="false">YEAR(B446)</f>
        <v>2026</v>
      </c>
      <c r="P446" s="41" t="n">
        <f aca="false">DATE(YEAR(B446),MONTH(B446),1)</f>
        <v>46204</v>
      </c>
      <c r="Q446" s="0" t="str">
        <f aca="false">INDEX(Products!$C$2:$C$16,MATCH(E446,Products!$A$2:$A$16,0))</f>
        <v>Technology</v>
      </c>
      <c r="R446" s="0" t="str">
        <f aca="false">INDEX(Customers!$F$2:$F$101,MATCH(D446,Customers!$A$2:$A$101,0))</f>
        <v>North</v>
      </c>
      <c r="S446" s="0" t="str">
        <f aca="false">INDEX(Customers!$C$2:$C$101,MATCH(D446,Customers!$A$2:$A$101,0))</f>
        <v>Consumer</v>
      </c>
      <c r="T446" s="0" t="str">
        <f aca="false">INDEX(Customers!$D$2:$D$101,MATCH(D446,Customers!$A$2:$A$101,0))</f>
        <v>Delhi</v>
      </c>
    </row>
    <row r="447" customFormat="false" ht="15" hidden="false" customHeight="false" outlineLevel="0" collapsed="false">
      <c r="A447" s="0" t="s">
        <v>717</v>
      </c>
      <c r="B447" s="37" t="n">
        <v>45418</v>
      </c>
      <c r="C447" s="37" t="n">
        <v>45424</v>
      </c>
      <c r="D447" s="38" t="s">
        <v>348</v>
      </c>
      <c r="E447" s="38" t="s">
        <v>127</v>
      </c>
      <c r="F447" s="38" t="s">
        <v>101</v>
      </c>
      <c r="G447" s="38" t="s">
        <v>188</v>
      </c>
      <c r="H447" s="0" t="n">
        <v>1</v>
      </c>
      <c r="I447" s="39" t="n">
        <v>18000</v>
      </c>
      <c r="J447" s="40" t="n">
        <v>0.05</v>
      </c>
      <c r="K447" s="39" t="n">
        <v>17100</v>
      </c>
      <c r="L447" s="39" t="n">
        <v>14000</v>
      </c>
      <c r="M447" s="39" t="n">
        <v>3100</v>
      </c>
      <c r="N447" s="38" t="s">
        <v>66</v>
      </c>
      <c r="O447" s="38" t="n">
        <f aca="false">YEAR(B447)</f>
        <v>2024</v>
      </c>
      <c r="P447" s="41" t="n">
        <f aca="false">DATE(YEAR(B447),MONTH(B447),1)</f>
        <v>45413</v>
      </c>
      <c r="Q447" s="0" t="str">
        <f aca="false">INDEX(Products!$C$2:$C$16,MATCH(E447,Products!$A$2:$A$16,0))</f>
        <v>Technology</v>
      </c>
      <c r="R447" s="0" t="str">
        <f aca="false">INDEX(Customers!$F$2:$F$101,MATCH(D447,Customers!$A$2:$A$101,0))</f>
        <v>East</v>
      </c>
      <c r="S447" s="0" t="str">
        <f aca="false">INDEX(Customers!$C$2:$C$101,MATCH(D447,Customers!$A$2:$A$101,0))</f>
        <v>Corporate</v>
      </c>
      <c r="T447" s="0" t="str">
        <f aca="false">INDEX(Customers!$D$2:$D$101,MATCH(D447,Customers!$A$2:$A$101,0))</f>
        <v>Kolkata</v>
      </c>
    </row>
    <row r="448" customFormat="false" ht="15" hidden="false" customHeight="false" outlineLevel="0" collapsed="false">
      <c r="A448" s="0" t="s">
        <v>718</v>
      </c>
      <c r="B448" s="37" t="n">
        <v>45856</v>
      </c>
      <c r="C448" s="37" t="n">
        <v>45859</v>
      </c>
      <c r="D448" s="38" t="s">
        <v>213</v>
      </c>
      <c r="E448" s="38" t="s">
        <v>122</v>
      </c>
      <c r="F448" s="38" t="s">
        <v>101</v>
      </c>
      <c r="G448" s="38" t="s">
        <v>178</v>
      </c>
      <c r="H448" s="0" t="n">
        <v>2</v>
      </c>
      <c r="I448" s="39" t="n">
        <v>5500</v>
      </c>
      <c r="J448" s="40" t="n">
        <v>0.25</v>
      </c>
      <c r="K448" s="39" t="n">
        <v>8250</v>
      </c>
      <c r="L448" s="39" t="n">
        <v>7400</v>
      </c>
      <c r="M448" s="39" t="n">
        <v>850</v>
      </c>
      <c r="N448" s="38" t="s">
        <v>66</v>
      </c>
      <c r="O448" s="38" t="n">
        <f aca="false">YEAR(B448)</f>
        <v>2025</v>
      </c>
      <c r="P448" s="41" t="n">
        <f aca="false">DATE(YEAR(B448),MONTH(B448),1)</f>
        <v>45839</v>
      </c>
      <c r="Q448" s="0" t="str">
        <f aca="false">INDEX(Products!$C$2:$C$16,MATCH(E448,Products!$A$2:$A$16,0))</f>
        <v>Furniture</v>
      </c>
      <c r="R448" s="0" t="str">
        <f aca="false">INDEX(Customers!$F$2:$F$101,MATCH(D448,Customers!$A$2:$A$101,0))</f>
        <v>North</v>
      </c>
      <c r="S448" s="0" t="str">
        <f aca="false">INDEX(Customers!$C$2:$C$101,MATCH(D448,Customers!$A$2:$A$101,0))</f>
        <v>Small Business</v>
      </c>
      <c r="T448" s="0" t="str">
        <f aca="false">INDEX(Customers!$D$2:$D$101,MATCH(D448,Customers!$A$2:$A$101,0))</f>
        <v>Gurugram</v>
      </c>
    </row>
    <row r="449" customFormat="false" ht="15" hidden="false" customHeight="false" outlineLevel="0" collapsed="false">
      <c r="A449" s="0" t="s">
        <v>719</v>
      </c>
      <c r="B449" s="37" t="n">
        <v>45458</v>
      </c>
      <c r="C449" s="37" t="n">
        <v>45465</v>
      </c>
      <c r="D449" s="38" t="s">
        <v>473</v>
      </c>
      <c r="E449" s="38" t="s">
        <v>113</v>
      </c>
      <c r="F449" s="38" t="s">
        <v>100</v>
      </c>
      <c r="G449" s="38" t="s">
        <v>173</v>
      </c>
      <c r="H449" s="0" t="n">
        <v>3</v>
      </c>
      <c r="I449" s="39" t="n">
        <v>45000</v>
      </c>
      <c r="J449" s="40" t="n">
        <v>0</v>
      </c>
      <c r="K449" s="39" t="n">
        <v>135000</v>
      </c>
      <c r="L449" s="39" t="n">
        <v>108000</v>
      </c>
      <c r="M449" s="39" t="n">
        <v>27000</v>
      </c>
      <c r="N449" s="38" t="s">
        <v>66</v>
      </c>
      <c r="O449" s="38" t="n">
        <f aca="false">YEAR(B449)</f>
        <v>2024</v>
      </c>
      <c r="P449" s="41" t="n">
        <f aca="false">DATE(YEAR(B449),MONTH(B449),1)</f>
        <v>45444</v>
      </c>
      <c r="Q449" s="0" t="str">
        <f aca="false">INDEX(Products!$C$2:$C$16,MATCH(E449,Products!$A$2:$A$16,0))</f>
        <v>Technology</v>
      </c>
      <c r="R449" s="0" t="str">
        <f aca="false">INDEX(Customers!$F$2:$F$101,MATCH(D449,Customers!$A$2:$A$101,0))</f>
        <v>North</v>
      </c>
      <c r="S449" s="0" t="str">
        <f aca="false">INDEX(Customers!$C$2:$C$101,MATCH(D449,Customers!$A$2:$A$101,0))</f>
        <v>Consumer</v>
      </c>
      <c r="T449" s="0" t="str">
        <f aca="false">INDEX(Customers!$D$2:$D$101,MATCH(D449,Customers!$A$2:$A$101,0))</f>
        <v>Gurugram</v>
      </c>
    </row>
    <row r="450" customFormat="false" ht="15" hidden="false" customHeight="false" outlineLevel="0" collapsed="false">
      <c r="A450" s="0" t="s">
        <v>720</v>
      </c>
      <c r="B450" s="37" t="n">
        <v>45711</v>
      </c>
      <c r="C450" s="37" t="n">
        <v>45716</v>
      </c>
      <c r="D450" s="38" t="s">
        <v>638</v>
      </c>
      <c r="E450" s="38" t="s">
        <v>123</v>
      </c>
      <c r="F450" s="38" t="s">
        <v>102</v>
      </c>
      <c r="G450" s="38" t="s">
        <v>178</v>
      </c>
      <c r="H450" s="0" t="n">
        <v>1</v>
      </c>
      <c r="I450" s="39" t="n">
        <v>2200</v>
      </c>
      <c r="J450" s="40" t="n">
        <v>0.25</v>
      </c>
      <c r="K450" s="39" t="n">
        <v>1650</v>
      </c>
      <c r="L450" s="39" t="n">
        <v>1300</v>
      </c>
      <c r="M450" s="39" t="n">
        <v>350</v>
      </c>
      <c r="N450" s="38" t="s">
        <v>66</v>
      </c>
      <c r="O450" s="38" t="n">
        <f aca="false">YEAR(B450)</f>
        <v>2025</v>
      </c>
      <c r="P450" s="41" t="n">
        <f aca="false">DATE(YEAR(B450),MONTH(B450),1)</f>
        <v>45689</v>
      </c>
      <c r="Q450" s="0" t="str">
        <f aca="false">INDEX(Products!$C$2:$C$16,MATCH(E450,Products!$A$2:$A$16,0))</f>
        <v>Technology</v>
      </c>
      <c r="R450" s="0" t="str">
        <f aca="false">INDEX(Customers!$F$2:$F$101,MATCH(D450,Customers!$A$2:$A$101,0))</f>
        <v>North</v>
      </c>
      <c r="S450" s="0" t="str">
        <f aca="false">INDEX(Customers!$C$2:$C$101,MATCH(D450,Customers!$A$2:$A$101,0))</f>
        <v>Small Business</v>
      </c>
      <c r="T450" s="0" t="str">
        <f aca="false">INDEX(Customers!$D$2:$D$101,MATCH(D450,Customers!$A$2:$A$101,0))</f>
        <v>Lucknow</v>
      </c>
    </row>
    <row r="451" customFormat="false" ht="15" hidden="false" customHeight="false" outlineLevel="0" collapsed="false">
      <c r="A451" s="0" t="s">
        <v>721</v>
      </c>
      <c r="B451" s="37" t="n">
        <v>45469</v>
      </c>
      <c r="C451" s="37" t="n">
        <v>45474</v>
      </c>
      <c r="D451" s="38" t="s">
        <v>217</v>
      </c>
      <c r="E451" s="38" t="s">
        <v>123</v>
      </c>
      <c r="F451" s="38" t="s">
        <v>101</v>
      </c>
      <c r="G451" s="38" t="s">
        <v>188</v>
      </c>
      <c r="H451" s="0" t="n">
        <v>4</v>
      </c>
      <c r="I451" s="39" t="n">
        <v>2200</v>
      </c>
      <c r="J451" s="40" t="n">
        <v>0</v>
      </c>
      <c r="K451" s="39" t="n">
        <v>8800</v>
      </c>
      <c r="L451" s="39" t="n">
        <v>5200</v>
      </c>
      <c r="M451" s="39" t="n">
        <v>3600</v>
      </c>
      <c r="N451" s="38" t="s">
        <v>66</v>
      </c>
      <c r="O451" s="38" t="n">
        <f aca="false">YEAR(B451)</f>
        <v>2024</v>
      </c>
      <c r="P451" s="41" t="n">
        <f aca="false">DATE(YEAR(B451),MONTH(B451),1)</f>
        <v>45444</v>
      </c>
      <c r="Q451" s="0" t="str">
        <f aca="false">INDEX(Products!$C$2:$C$16,MATCH(E451,Products!$A$2:$A$16,0))</f>
        <v>Technology</v>
      </c>
      <c r="R451" s="0" t="str">
        <f aca="false">INDEX(Customers!$F$2:$F$101,MATCH(D451,Customers!$A$2:$A$101,0))</f>
        <v>East</v>
      </c>
      <c r="S451" s="0" t="str">
        <f aca="false">INDEX(Customers!$C$2:$C$101,MATCH(D451,Customers!$A$2:$A$101,0))</f>
        <v>Small Business</v>
      </c>
      <c r="T451" s="0" t="str">
        <f aca="false">INDEX(Customers!$D$2:$D$101,MATCH(D451,Customers!$A$2:$A$101,0))</f>
        <v>Kolkata</v>
      </c>
    </row>
    <row r="452" customFormat="false" ht="15" hidden="false" customHeight="false" outlineLevel="0" collapsed="false">
      <c r="A452" s="0" t="s">
        <v>722</v>
      </c>
      <c r="B452" s="37" t="n">
        <v>46282</v>
      </c>
      <c r="C452" s="37" t="n">
        <v>46288</v>
      </c>
      <c r="D452" s="38" t="s">
        <v>257</v>
      </c>
      <c r="E452" s="38" t="s">
        <v>124</v>
      </c>
      <c r="F452" s="38" t="s">
        <v>101</v>
      </c>
      <c r="G452" s="38" t="s">
        <v>170</v>
      </c>
      <c r="H452" s="0" t="n">
        <v>3</v>
      </c>
      <c r="I452" s="39" t="n">
        <v>3000</v>
      </c>
      <c r="J452" s="40" t="n">
        <v>0.1</v>
      </c>
      <c r="K452" s="39" t="n">
        <v>8100</v>
      </c>
      <c r="L452" s="39" t="n">
        <v>5700</v>
      </c>
      <c r="M452" s="39" t="n">
        <v>2400</v>
      </c>
      <c r="N452" s="38" t="s">
        <v>66</v>
      </c>
      <c r="O452" s="38" t="n">
        <f aca="false">YEAR(B452)</f>
        <v>2026</v>
      </c>
      <c r="P452" s="41" t="n">
        <f aca="false">DATE(YEAR(B452),MONTH(B452),1)</f>
        <v>46266</v>
      </c>
      <c r="Q452" s="0" t="str">
        <f aca="false">INDEX(Products!$C$2:$C$16,MATCH(E452,Products!$A$2:$A$16,0))</f>
        <v>Technology</v>
      </c>
      <c r="R452" s="0" t="str">
        <f aca="false">INDEX(Customers!$F$2:$F$101,MATCH(D452,Customers!$A$2:$A$101,0))</f>
        <v>West</v>
      </c>
      <c r="S452" s="0" t="str">
        <f aca="false">INDEX(Customers!$C$2:$C$101,MATCH(D452,Customers!$A$2:$A$101,0))</f>
        <v>Consumer</v>
      </c>
      <c r="T452" s="0" t="str">
        <f aca="false">INDEX(Customers!$D$2:$D$101,MATCH(D452,Customers!$A$2:$A$101,0))</f>
        <v>Pune</v>
      </c>
    </row>
    <row r="453" customFormat="false" ht="15" hidden="false" customHeight="false" outlineLevel="0" collapsed="false">
      <c r="A453" s="0" t="s">
        <v>723</v>
      </c>
      <c r="B453" s="37" t="n">
        <v>45601</v>
      </c>
      <c r="C453" s="37" t="n">
        <v>45607</v>
      </c>
      <c r="D453" s="38" t="s">
        <v>352</v>
      </c>
      <c r="E453" s="38" t="s">
        <v>120</v>
      </c>
      <c r="F453" s="38" t="s">
        <v>101</v>
      </c>
      <c r="G453" s="38" t="s">
        <v>188</v>
      </c>
      <c r="H453" s="0" t="n">
        <v>2</v>
      </c>
      <c r="I453" s="39" t="n">
        <v>400</v>
      </c>
      <c r="J453" s="40" t="n">
        <v>0.15</v>
      </c>
      <c r="K453" s="39" t="n">
        <v>680</v>
      </c>
      <c r="L453" s="39" t="n">
        <v>520</v>
      </c>
      <c r="M453" s="39" t="n">
        <v>160</v>
      </c>
      <c r="N453" s="38" t="s">
        <v>66</v>
      </c>
      <c r="O453" s="38" t="n">
        <f aca="false">YEAR(B453)</f>
        <v>2024</v>
      </c>
      <c r="P453" s="41" t="n">
        <f aca="false">DATE(YEAR(B453),MONTH(B453),1)</f>
        <v>45597</v>
      </c>
      <c r="Q453" s="0" t="str">
        <f aca="false">INDEX(Products!$C$2:$C$16,MATCH(E453,Products!$A$2:$A$16,0))</f>
        <v>Office Supplies</v>
      </c>
      <c r="R453" s="0" t="str">
        <f aca="false">INDEX(Customers!$F$2:$F$101,MATCH(D453,Customers!$A$2:$A$101,0))</f>
        <v>South</v>
      </c>
      <c r="S453" s="0" t="str">
        <f aca="false">INDEX(Customers!$C$2:$C$101,MATCH(D453,Customers!$A$2:$A$101,0))</f>
        <v>Small Business</v>
      </c>
      <c r="T453" s="0" t="str">
        <f aca="false">INDEX(Customers!$D$2:$D$101,MATCH(D453,Customers!$A$2:$A$101,0))</f>
        <v>Hyderabad</v>
      </c>
    </row>
    <row r="454" customFormat="false" ht="15" hidden="false" customHeight="false" outlineLevel="0" collapsed="false">
      <c r="A454" s="0" t="s">
        <v>724</v>
      </c>
      <c r="B454" s="37" t="n">
        <v>46281</v>
      </c>
      <c r="C454" s="37" t="n">
        <v>46288</v>
      </c>
      <c r="D454" s="38" t="s">
        <v>447</v>
      </c>
      <c r="E454" s="38" t="s">
        <v>123</v>
      </c>
      <c r="F454" s="38" t="s">
        <v>102</v>
      </c>
      <c r="G454" s="38" t="s">
        <v>188</v>
      </c>
      <c r="H454" s="0" t="n">
        <v>5</v>
      </c>
      <c r="I454" s="39" t="n">
        <v>2200</v>
      </c>
      <c r="J454" s="40" t="n">
        <v>0.15</v>
      </c>
      <c r="K454" s="39" t="n">
        <v>9350</v>
      </c>
      <c r="L454" s="39" t="n">
        <v>6500</v>
      </c>
      <c r="M454" s="39" t="n">
        <v>2850</v>
      </c>
      <c r="N454" s="38" t="s">
        <v>66</v>
      </c>
      <c r="O454" s="38" t="n">
        <f aca="false">YEAR(B454)</f>
        <v>2026</v>
      </c>
      <c r="P454" s="41" t="n">
        <f aca="false">DATE(YEAR(B454),MONTH(B454),1)</f>
        <v>46266</v>
      </c>
      <c r="Q454" s="0" t="str">
        <f aca="false">INDEX(Products!$C$2:$C$16,MATCH(E454,Products!$A$2:$A$16,0))</f>
        <v>Technology</v>
      </c>
      <c r="R454" s="0" t="str">
        <f aca="false">INDEX(Customers!$F$2:$F$101,MATCH(D454,Customers!$A$2:$A$101,0))</f>
        <v>North</v>
      </c>
      <c r="S454" s="0" t="str">
        <f aca="false">INDEX(Customers!$C$2:$C$101,MATCH(D454,Customers!$A$2:$A$101,0))</f>
        <v>Corporate</v>
      </c>
      <c r="T454" s="0" t="str">
        <f aca="false">INDEX(Customers!$D$2:$D$101,MATCH(D454,Customers!$A$2:$A$101,0))</f>
        <v>Jaipur</v>
      </c>
    </row>
    <row r="455" customFormat="false" ht="15" hidden="false" customHeight="false" outlineLevel="0" collapsed="false">
      <c r="A455" s="0" t="s">
        <v>725</v>
      </c>
      <c r="B455" s="37" t="n">
        <v>45402</v>
      </c>
      <c r="C455" s="37" t="n">
        <v>45406</v>
      </c>
      <c r="D455" s="38" t="s">
        <v>253</v>
      </c>
      <c r="E455" s="38" t="s">
        <v>123</v>
      </c>
      <c r="F455" s="38" t="s">
        <v>102</v>
      </c>
      <c r="G455" s="38" t="s">
        <v>170</v>
      </c>
      <c r="H455" s="0" t="n">
        <v>1</v>
      </c>
      <c r="I455" s="39" t="n">
        <v>2200</v>
      </c>
      <c r="J455" s="40" t="n">
        <v>0.05</v>
      </c>
      <c r="K455" s="39" t="n">
        <v>2090</v>
      </c>
      <c r="L455" s="39" t="n">
        <v>1300</v>
      </c>
      <c r="M455" s="39" t="n">
        <v>790</v>
      </c>
      <c r="N455" s="38" t="s">
        <v>66</v>
      </c>
      <c r="O455" s="38" t="n">
        <f aca="false">YEAR(B455)</f>
        <v>2024</v>
      </c>
      <c r="P455" s="41" t="n">
        <f aca="false">DATE(YEAR(B455),MONTH(B455),1)</f>
        <v>45383</v>
      </c>
      <c r="Q455" s="0" t="str">
        <f aca="false">INDEX(Products!$C$2:$C$16,MATCH(E455,Products!$A$2:$A$16,0))</f>
        <v>Technology</v>
      </c>
      <c r="R455" s="0" t="str">
        <f aca="false">INDEX(Customers!$F$2:$F$101,MATCH(D455,Customers!$A$2:$A$101,0))</f>
        <v>East</v>
      </c>
      <c r="S455" s="0" t="str">
        <f aca="false">INDEX(Customers!$C$2:$C$101,MATCH(D455,Customers!$A$2:$A$101,0))</f>
        <v>Small Business</v>
      </c>
      <c r="T455" s="0" t="str">
        <f aca="false">INDEX(Customers!$D$2:$D$101,MATCH(D455,Customers!$A$2:$A$101,0))</f>
        <v>Bhubaneswar</v>
      </c>
    </row>
    <row r="456" customFormat="false" ht="15" hidden="false" customHeight="false" outlineLevel="0" collapsed="false">
      <c r="A456" s="0" t="s">
        <v>726</v>
      </c>
      <c r="B456" s="37" t="n">
        <v>46020</v>
      </c>
      <c r="C456" s="37" t="n">
        <v>46026</v>
      </c>
      <c r="D456" s="38" t="s">
        <v>234</v>
      </c>
      <c r="E456" s="38" t="s">
        <v>123</v>
      </c>
      <c r="F456" s="38" t="s">
        <v>102</v>
      </c>
      <c r="G456" s="38" t="s">
        <v>173</v>
      </c>
      <c r="H456" s="0" t="n">
        <v>1</v>
      </c>
      <c r="I456" s="39" t="n">
        <v>2200</v>
      </c>
      <c r="J456" s="40" t="n">
        <v>0</v>
      </c>
      <c r="K456" s="39" t="n">
        <v>2200</v>
      </c>
      <c r="L456" s="39" t="n">
        <v>1300</v>
      </c>
      <c r="M456" s="39" t="n">
        <v>900</v>
      </c>
      <c r="N456" s="38" t="s">
        <v>66</v>
      </c>
      <c r="O456" s="38" t="n">
        <f aca="false">YEAR(B456)</f>
        <v>2025</v>
      </c>
      <c r="P456" s="41" t="n">
        <f aca="false">DATE(YEAR(B456),MONTH(B456),1)</f>
        <v>45992</v>
      </c>
      <c r="Q456" s="0" t="str">
        <f aca="false">INDEX(Products!$C$2:$C$16,MATCH(E456,Products!$A$2:$A$16,0))</f>
        <v>Technology</v>
      </c>
      <c r="R456" s="0" t="str">
        <f aca="false">INDEX(Customers!$F$2:$F$101,MATCH(D456,Customers!$A$2:$A$101,0))</f>
        <v>South</v>
      </c>
      <c r="S456" s="0" t="str">
        <f aca="false">INDEX(Customers!$C$2:$C$101,MATCH(D456,Customers!$A$2:$A$101,0))</f>
        <v>Corporate</v>
      </c>
      <c r="T456" s="0" t="str">
        <f aca="false">INDEX(Customers!$D$2:$D$101,MATCH(D456,Customers!$A$2:$A$101,0))</f>
        <v>Bengaluru</v>
      </c>
    </row>
    <row r="457" customFormat="false" ht="15" hidden="false" customHeight="false" outlineLevel="0" collapsed="false">
      <c r="A457" s="0" t="s">
        <v>727</v>
      </c>
      <c r="B457" s="37" t="n">
        <v>45968</v>
      </c>
      <c r="C457" s="37" t="n">
        <v>45971</v>
      </c>
      <c r="D457" s="38" t="s">
        <v>266</v>
      </c>
      <c r="E457" s="38" t="s">
        <v>119</v>
      </c>
      <c r="F457" s="38" t="s">
        <v>100</v>
      </c>
      <c r="G457" s="38" t="s">
        <v>185</v>
      </c>
      <c r="H457" s="0" t="n">
        <v>3</v>
      </c>
      <c r="I457" s="39" t="n">
        <v>250</v>
      </c>
      <c r="J457" s="40" t="n">
        <v>0.2</v>
      </c>
      <c r="K457" s="39" t="n">
        <v>600</v>
      </c>
      <c r="L457" s="39" t="n">
        <v>360</v>
      </c>
      <c r="M457" s="39" t="n">
        <v>240</v>
      </c>
      <c r="N457" s="38" t="s">
        <v>147</v>
      </c>
      <c r="O457" s="38" t="n">
        <f aca="false">YEAR(B457)</f>
        <v>2025</v>
      </c>
      <c r="P457" s="41" t="n">
        <f aca="false">DATE(YEAR(B457),MONTH(B457),1)</f>
        <v>45962</v>
      </c>
      <c r="Q457" s="0" t="str">
        <f aca="false">INDEX(Products!$C$2:$C$16,MATCH(E457,Products!$A$2:$A$16,0))</f>
        <v>Office Supplies</v>
      </c>
      <c r="R457" s="0" t="str">
        <f aca="false">INDEX(Customers!$F$2:$F$101,MATCH(D457,Customers!$A$2:$A$101,0))</f>
        <v>West</v>
      </c>
      <c r="S457" s="0" t="str">
        <f aca="false">INDEX(Customers!$C$2:$C$101,MATCH(D457,Customers!$A$2:$A$101,0))</f>
        <v>Consumer</v>
      </c>
      <c r="T457" s="0" t="str">
        <f aca="false">INDEX(Customers!$D$2:$D$101,MATCH(D457,Customers!$A$2:$A$101,0))</f>
        <v>Pune</v>
      </c>
    </row>
    <row r="458" customFormat="false" ht="15" hidden="false" customHeight="false" outlineLevel="0" collapsed="false">
      <c r="A458" s="0" t="s">
        <v>728</v>
      </c>
      <c r="B458" s="37" t="n">
        <v>45720</v>
      </c>
      <c r="C458" s="37" t="n">
        <v>45724</v>
      </c>
      <c r="D458" s="38" t="s">
        <v>234</v>
      </c>
      <c r="E458" s="38" t="s">
        <v>127</v>
      </c>
      <c r="F458" s="38" t="s">
        <v>102</v>
      </c>
      <c r="G458" s="38" t="s">
        <v>188</v>
      </c>
      <c r="H458" s="0" t="n">
        <v>2</v>
      </c>
      <c r="I458" s="39" t="n">
        <v>18000</v>
      </c>
      <c r="J458" s="40" t="n">
        <v>0</v>
      </c>
      <c r="K458" s="39" t="n">
        <v>36000</v>
      </c>
      <c r="L458" s="39" t="n">
        <v>28000</v>
      </c>
      <c r="M458" s="39" t="n">
        <v>8000</v>
      </c>
      <c r="N458" s="38" t="s">
        <v>66</v>
      </c>
      <c r="O458" s="38" t="n">
        <f aca="false">YEAR(B458)</f>
        <v>2025</v>
      </c>
      <c r="P458" s="41" t="n">
        <f aca="false">DATE(YEAR(B458),MONTH(B458),1)</f>
        <v>45717</v>
      </c>
      <c r="Q458" s="0" t="str">
        <f aca="false">INDEX(Products!$C$2:$C$16,MATCH(E458,Products!$A$2:$A$16,0))</f>
        <v>Technology</v>
      </c>
      <c r="R458" s="0" t="str">
        <f aca="false">INDEX(Customers!$F$2:$F$101,MATCH(D458,Customers!$A$2:$A$101,0))</f>
        <v>South</v>
      </c>
      <c r="S458" s="0" t="str">
        <f aca="false">INDEX(Customers!$C$2:$C$101,MATCH(D458,Customers!$A$2:$A$101,0))</f>
        <v>Corporate</v>
      </c>
      <c r="T458" s="0" t="str">
        <f aca="false">INDEX(Customers!$D$2:$D$101,MATCH(D458,Customers!$A$2:$A$101,0))</f>
        <v>Bengaluru</v>
      </c>
    </row>
    <row r="459" customFormat="false" ht="15" hidden="false" customHeight="false" outlineLevel="0" collapsed="false">
      <c r="A459" s="0" t="s">
        <v>729</v>
      </c>
      <c r="B459" s="37" t="n">
        <v>46022</v>
      </c>
      <c r="C459" s="37" t="n">
        <v>46024</v>
      </c>
      <c r="D459" s="38" t="s">
        <v>206</v>
      </c>
      <c r="E459" s="38" t="s">
        <v>124</v>
      </c>
      <c r="F459" s="38" t="s">
        <v>101</v>
      </c>
      <c r="G459" s="38" t="s">
        <v>170</v>
      </c>
      <c r="H459" s="0" t="n">
        <v>3</v>
      </c>
      <c r="I459" s="39" t="n">
        <v>3000</v>
      </c>
      <c r="J459" s="40" t="n">
        <v>0.2</v>
      </c>
      <c r="K459" s="39" t="n">
        <v>7200</v>
      </c>
      <c r="L459" s="39" t="n">
        <v>5700</v>
      </c>
      <c r="M459" s="39" t="n">
        <v>1500</v>
      </c>
      <c r="N459" s="38" t="s">
        <v>66</v>
      </c>
      <c r="O459" s="38" t="n">
        <f aca="false">YEAR(B459)</f>
        <v>2025</v>
      </c>
      <c r="P459" s="41" t="n">
        <f aca="false">DATE(YEAR(B459),MONTH(B459),1)</f>
        <v>45992</v>
      </c>
      <c r="Q459" s="0" t="str">
        <f aca="false">INDEX(Products!$C$2:$C$16,MATCH(E459,Products!$A$2:$A$16,0))</f>
        <v>Technology</v>
      </c>
      <c r="R459" s="0" t="str">
        <f aca="false">INDEX(Customers!$F$2:$F$101,MATCH(D459,Customers!$A$2:$A$101,0))</f>
        <v>West</v>
      </c>
      <c r="S459" s="0" t="str">
        <f aca="false">INDEX(Customers!$C$2:$C$101,MATCH(D459,Customers!$A$2:$A$101,0))</f>
        <v>Corporate</v>
      </c>
      <c r="T459" s="0" t="str">
        <f aca="false">INDEX(Customers!$D$2:$D$101,MATCH(D459,Customers!$A$2:$A$101,0))</f>
        <v>Pune</v>
      </c>
    </row>
    <row r="460" customFormat="false" ht="15" hidden="false" customHeight="false" outlineLevel="0" collapsed="false">
      <c r="A460" s="0" t="s">
        <v>730</v>
      </c>
      <c r="B460" s="37" t="n">
        <v>45965</v>
      </c>
      <c r="C460" s="37" t="n">
        <v>45970</v>
      </c>
      <c r="D460" s="38" t="s">
        <v>219</v>
      </c>
      <c r="E460" s="38" t="s">
        <v>126</v>
      </c>
      <c r="F460" s="38" t="s">
        <v>101</v>
      </c>
      <c r="G460" s="38" t="s">
        <v>173</v>
      </c>
      <c r="H460" s="0" t="n">
        <v>1</v>
      </c>
      <c r="I460" s="39" t="n">
        <v>1200</v>
      </c>
      <c r="J460" s="40" t="n">
        <v>0</v>
      </c>
      <c r="K460" s="39" t="n">
        <v>1200</v>
      </c>
      <c r="L460" s="39" t="n">
        <v>700</v>
      </c>
      <c r="M460" s="39" t="n">
        <v>500</v>
      </c>
      <c r="N460" s="38" t="s">
        <v>66</v>
      </c>
      <c r="O460" s="38" t="n">
        <f aca="false">YEAR(B460)</f>
        <v>2025</v>
      </c>
      <c r="P460" s="41" t="n">
        <f aca="false">DATE(YEAR(B460),MONTH(B460),1)</f>
        <v>45962</v>
      </c>
      <c r="Q460" s="0" t="str">
        <f aca="false">INDEX(Products!$C$2:$C$16,MATCH(E460,Products!$A$2:$A$16,0))</f>
        <v>Furniture</v>
      </c>
      <c r="R460" s="0" t="str">
        <f aca="false">INDEX(Customers!$F$2:$F$101,MATCH(D460,Customers!$A$2:$A$101,0))</f>
        <v>North</v>
      </c>
      <c r="S460" s="0" t="str">
        <f aca="false">INDEX(Customers!$C$2:$C$101,MATCH(D460,Customers!$A$2:$A$101,0))</f>
        <v>Small Business</v>
      </c>
      <c r="T460" s="0" t="str">
        <f aca="false">INDEX(Customers!$D$2:$D$101,MATCH(D460,Customers!$A$2:$A$101,0))</f>
        <v>Lucknow</v>
      </c>
    </row>
    <row r="461" customFormat="false" ht="15" hidden="false" customHeight="false" outlineLevel="0" collapsed="false">
      <c r="A461" s="0" t="s">
        <v>731</v>
      </c>
      <c r="B461" s="37" t="n">
        <v>45864</v>
      </c>
      <c r="C461" s="37" t="n">
        <v>45871</v>
      </c>
      <c r="D461" s="38" t="s">
        <v>316</v>
      </c>
      <c r="E461" s="38" t="s">
        <v>125</v>
      </c>
      <c r="F461" s="38" t="s">
        <v>101</v>
      </c>
      <c r="G461" s="38" t="s">
        <v>178</v>
      </c>
      <c r="H461" s="0" t="n">
        <v>6</v>
      </c>
      <c r="I461" s="39" t="n">
        <v>600</v>
      </c>
      <c r="J461" s="40" t="n">
        <v>0.2</v>
      </c>
      <c r="K461" s="39" t="n">
        <v>2880</v>
      </c>
      <c r="L461" s="39" t="n">
        <v>2100</v>
      </c>
      <c r="M461" s="39" t="n">
        <v>780</v>
      </c>
      <c r="N461" s="38" t="s">
        <v>66</v>
      </c>
      <c r="O461" s="38" t="n">
        <f aca="false">YEAR(B461)</f>
        <v>2025</v>
      </c>
      <c r="P461" s="41" t="n">
        <f aca="false">DATE(YEAR(B461),MONTH(B461),1)</f>
        <v>45839</v>
      </c>
      <c r="Q461" s="0" t="str">
        <f aca="false">INDEX(Products!$C$2:$C$16,MATCH(E461,Products!$A$2:$A$16,0))</f>
        <v>Office Supplies</v>
      </c>
      <c r="R461" s="0" t="str">
        <f aca="false">INDEX(Customers!$F$2:$F$101,MATCH(D461,Customers!$A$2:$A$101,0))</f>
        <v>West</v>
      </c>
      <c r="S461" s="0" t="str">
        <f aca="false">INDEX(Customers!$C$2:$C$101,MATCH(D461,Customers!$A$2:$A$101,0))</f>
        <v>Corporate</v>
      </c>
      <c r="T461" s="0" t="str">
        <f aca="false">INDEX(Customers!$D$2:$D$101,MATCH(D461,Customers!$A$2:$A$101,0))</f>
        <v>Ahmedabad</v>
      </c>
    </row>
    <row r="462" customFormat="false" ht="15" hidden="false" customHeight="false" outlineLevel="0" collapsed="false">
      <c r="A462" s="0" t="s">
        <v>732</v>
      </c>
      <c r="B462" s="37" t="n">
        <v>46184</v>
      </c>
      <c r="C462" s="37" t="n">
        <v>46187</v>
      </c>
      <c r="D462" s="38" t="s">
        <v>255</v>
      </c>
      <c r="E462" s="38" t="s">
        <v>124</v>
      </c>
      <c r="F462" s="38" t="s">
        <v>101</v>
      </c>
      <c r="G462" s="38" t="s">
        <v>170</v>
      </c>
      <c r="H462" s="0" t="n">
        <v>2</v>
      </c>
      <c r="I462" s="39" t="n">
        <v>3000</v>
      </c>
      <c r="J462" s="40" t="n">
        <v>0.05</v>
      </c>
      <c r="K462" s="39" t="n">
        <v>5700</v>
      </c>
      <c r="L462" s="39" t="n">
        <v>3800</v>
      </c>
      <c r="M462" s="39" t="n">
        <v>1900</v>
      </c>
      <c r="N462" s="38" t="s">
        <v>66</v>
      </c>
      <c r="O462" s="38" t="n">
        <f aca="false">YEAR(B462)</f>
        <v>2026</v>
      </c>
      <c r="P462" s="41" t="n">
        <f aca="false">DATE(YEAR(B462),MONTH(B462),1)</f>
        <v>46174</v>
      </c>
      <c r="Q462" s="0" t="str">
        <f aca="false">INDEX(Products!$C$2:$C$16,MATCH(E462,Products!$A$2:$A$16,0))</f>
        <v>Technology</v>
      </c>
      <c r="R462" s="0" t="str">
        <f aca="false">INDEX(Customers!$F$2:$F$101,MATCH(D462,Customers!$A$2:$A$101,0))</f>
        <v>East</v>
      </c>
      <c r="S462" s="0" t="str">
        <f aca="false">INDEX(Customers!$C$2:$C$101,MATCH(D462,Customers!$A$2:$A$101,0))</f>
        <v>Small Business</v>
      </c>
      <c r="T462" s="0" t="str">
        <f aca="false">INDEX(Customers!$D$2:$D$101,MATCH(D462,Customers!$A$2:$A$101,0))</f>
        <v>Kolkata</v>
      </c>
    </row>
    <row r="463" customFormat="false" ht="15" hidden="false" customHeight="false" outlineLevel="0" collapsed="false">
      <c r="A463" s="0" t="s">
        <v>733</v>
      </c>
      <c r="B463" s="37" t="n">
        <v>45412</v>
      </c>
      <c r="C463" s="37" t="n">
        <v>45416</v>
      </c>
      <c r="D463" s="38" t="s">
        <v>187</v>
      </c>
      <c r="E463" s="38" t="s">
        <v>126</v>
      </c>
      <c r="F463" s="38" t="s">
        <v>102</v>
      </c>
      <c r="G463" s="38" t="s">
        <v>188</v>
      </c>
      <c r="H463" s="0" t="n">
        <v>1</v>
      </c>
      <c r="I463" s="39" t="n">
        <v>1200</v>
      </c>
      <c r="J463" s="40" t="n">
        <v>0.2</v>
      </c>
      <c r="K463" s="39" t="n">
        <v>960</v>
      </c>
      <c r="L463" s="39" t="n">
        <v>700</v>
      </c>
      <c r="M463" s="39" t="n">
        <v>260</v>
      </c>
      <c r="N463" s="38" t="s">
        <v>146</v>
      </c>
      <c r="O463" s="38" t="n">
        <f aca="false">YEAR(B463)</f>
        <v>2024</v>
      </c>
      <c r="P463" s="41" t="n">
        <f aca="false">DATE(YEAR(B463),MONTH(B463),1)</f>
        <v>45383</v>
      </c>
      <c r="Q463" s="0" t="str">
        <f aca="false">INDEX(Products!$C$2:$C$16,MATCH(E463,Products!$A$2:$A$16,0))</f>
        <v>Furniture</v>
      </c>
      <c r="R463" s="0" t="str">
        <f aca="false">INDEX(Customers!$F$2:$F$101,MATCH(D463,Customers!$A$2:$A$101,0))</f>
        <v>South</v>
      </c>
      <c r="S463" s="0" t="str">
        <f aca="false">INDEX(Customers!$C$2:$C$101,MATCH(D463,Customers!$A$2:$A$101,0))</f>
        <v>Consumer</v>
      </c>
      <c r="T463" s="0" t="str">
        <f aca="false">INDEX(Customers!$D$2:$D$101,MATCH(D463,Customers!$A$2:$A$101,0))</f>
        <v>Bengaluru</v>
      </c>
    </row>
    <row r="464" customFormat="false" ht="15" hidden="false" customHeight="false" outlineLevel="0" collapsed="false">
      <c r="A464" s="0" t="s">
        <v>734</v>
      </c>
      <c r="B464" s="37" t="n">
        <v>46202</v>
      </c>
      <c r="C464" s="37" t="n">
        <v>46204</v>
      </c>
      <c r="D464" s="38" t="s">
        <v>381</v>
      </c>
      <c r="E464" s="38" t="s">
        <v>120</v>
      </c>
      <c r="F464" s="38" t="s">
        <v>102</v>
      </c>
      <c r="G464" s="38" t="s">
        <v>185</v>
      </c>
      <c r="H464" s="0" t="n">
        <v>2</v>
      </c>
      <c r="I464" s="39" t="n">
        <v>400</v>
      </c>
      <c r="J464" s="40" t="n">
        <v>0.25</v>
      </c>
      <c r="K464" s="39" t="n">
        <v>600</v>
      </c>
      <c r="L464" s="39" t="n">
        <v>520</v>
      </c>
      <c r="M464" s="39" t="n">
        <v>80</v>
      </c>
      <c r="N464" s="38" t="s">
        <v>66</v>
      </c>
      <c r="O464" s="38" t="n">
        <f aca="false">YEAR(B464)</f>
        <v>2026</v>
      </c>
      <c r="P464" s="41" t="n">
        <f aca="false">DATE(YEAR(B464),MONTH(B464),1)</f>
        <v>46174</v>
      </c>
      <c r="Q464" s="0" t="str">
        <f aca="false">INDEX(Products!$C$2:$C$16,MATCH(E464,Products!$A$2:$A$16,0))</f>
        <v>Office Supplies</v>
      </c>
      <c r="R464" s="0" t="str">
        <f aca="false">INDEX(Customers!$F$2:$F$101,MATCH(D464,Customers!$A$2:$A$101,0))</f>
        <v>West</v>
      </c>
      <c r="S464" s="0" t="str">
        <f aca="false">INDEX(Customers!$C$2:$C$101,MATCH(D464,Customers!$A$2:$A$101,0))</f>
        <v>Consumer</v>
      </c>
      <c r="T464" s="0" t="str">
        <f aca="false">INDEX(Customers!$D$2:$D$101,MATCH(D464,Customers!$A$2:$A$101,0))</f>
        <v>Pune</v>
      </c>
    </row>
    <row r="465" customFormat="false" ht="15" hidden="false" customHeight="false" outlineLevel="0" collapsed="false">
      <c r="A465" s="0" t="s">
        <v>735</v>
      </c>
      <c r="B465" s="37" t="n">
        <v>46183</v>
      </c>
      <c r="C465" s="37" t="n">
        <v>46190</v>
      </c>
      <c r="D465" s="38" t="s">
        <v>198</v>
      </c>
      <c r="E465" s="38" t="s">
        <v>113</v>
      </c>
      <c r="F465" s="38" t="s">
        <v>101</v>
      </c>
      <c r="G465" s="38" t="s">
        <v>185</v>
      </c>
      <c r="H465" s="0" t="n">
        <v>1</v>
      </c>
      <c r="I465" s="39" t="n">
        <v>45000</v>
      </c>
      <c r="J465" s="40" t="n">
        <v>0</v>
      </c>
      <c r="K465" s="39" t="n">
        <v>45000</v>
      </c>
      <c r="L465" s="39" t="n">
        <v>36000</v>
      </c>
      <c r="M465" s="39" t="n">
        <v>9000</v>
      </c>
      <c r="N465" s="38" t="s">
        <v>147</v>
      </c>
      <c r="O465" s="38" t="n">
        <f aca="false">YEAR(B465)</f>
        <v>2026</v>
      </c>
      <c r="P465" s="41" t="n">
        <f aca="false">DATE(YEAR(B465),MONTH(B465),1)</f>
        <v>46174</v>
      </c>
      <c r="Q465" s="0" t="str">
        <f aca="false">INDEX(Products!$C$2:$C$16,MATCH(E465,Products!$A$2:$A$16,0))</f>
        <v>Technology</v>
      </c>
      <c r="R465" s="0" t="str">
        <f aca="false">INDEX(Customers!$F$2:$F$101,MATCH(D465,Customers!$A$2:$A$101,0))</f>
        <v>North</v>
      </c>
      <c r="S465" s="0" t="str">
        <f aca="false">INDEX(Customers!$C$2:$C$101,MATCH(D465,Customers!$A$2:$A$101,0))</f>
        <v>Consumer</v>
      </c>
      <c r="T465" s="0" t="str">
        <f aca="false">INDEX(Customers!$D$2:$D$101,MATCH(D465,Customers!$A$2:$A$101,0))</f>
        <v>Gurugram</v>
      </c>
    </row>
    <row r="466" customFormat="false" ht="15" hidden="false" customHeight="false" outlineLevel="0" collapsed="false">
      <c r="A466" s="0" t="s">
        <v>736</v>
      </c>
      <c r="B466" s="37" t="n">
        <v>45615</v>
      </c>
      <c r="C466" s="37" t="n">
        <v>45622</v>
      </c>
      <c r="D466" s="38" t="s">
        <v>227</v>
      </c>
      <c r="E466" s="38" t="s">
        <v>115</v>
      </c>
      <c r="F466" s="38" t="s">
        <v>100</v>
      </c>
      <c r="G466" s="38" t="s">
        <v>185</v>
      </c>
      <c r="H466" s="0" t="n">
        <v>4</v>
      </c>
      <c r="I466" s="39" t="n">
        <v>1500</v>
      </c>
      <c r="J466" s="40" t="n">
        <v>0.25</v>
      </c>
      <c r="K466" s="39" t="n">
        <v>4500</v>
      </c>
      <c r="L466" s="39" t="n">
        <v>3400</v>
      </c>
      <c r="M466" s="39" t="n">
        <v>1100</v>
      </c>
      <c r="N466" s="38" t="s">
        <v>66</v>
      </c>
      <c r="O466" s="38" t="n">
        <f aca="false">YEAR(B466)</f>
        <v>2024</v>
      </c>
      <c r="P466" s="41" t="n">
        <f aca="false">DATE(YEAR(B466),MONTH(B466),1)</f>
        <v>45597</v>
      </c>
      <c r="Q466" s="0" t="str">
        <f aca="false">INDEX(Products!$C$2:$C$16,MATCH(E466,Products!$A$2:$A$16,0))</f>
        <v>Technology</v>
      </c>
      <c r="R466" s="0" t="str">
        <f aca="false">INDEX(Customers!$F$2:$F$101,MATCH(D466,Customers!$A$2:$A$101,0))</f>
        <v>North</v>
      </c>
      <c r="S466" s="0" t="str">
        <f aca="false">INDEX(Customers!$C$2:$C$101,MATCH(D466,Customers!$A$2:$A$101,0))</f>
        <v>Consumer</v>
      </c>
      <c r="T466" s="0" t="str">
        <f aca="false">INDEX(Customers!$D$2:$D$101,MATCH(D466,Customers!$A$2:$A$101,0))</f>
        <v>Delhi</v>
      </c>
    </row>
    <row r="467" customFormat="false" ht="15" hidden="false" customHeight="false" outlineLevel="0" collapsed="false">
      <c r="A467" s="0" t="s">
        <v>737</v>
      </c>
      <c r="B467" s="37" t="n">
        <v>45941</v>
      </c>
      <c r="C467" s="37" t="n">
        <v>45942</v>
      </c>
      <c r="D467" s="38" t="s">
        <v>246</v>
      </c>
      <c r="E467" s="38" t="s">
        <v>118</v>
      </c>
      <c r="F467" s="38" t="s">
        <v>100</v>
      </c>
      <c r="G467" s="38" t="s">
        <v>173</v>
      </c>
      <c r="H467" s="0" t="n">
        <v>1</v>
      </c>
      <c r="I467" s="39" t="n">
        <v>9000</v>
      </c>
      <c r="J467" s="40" t="n">
        <v>0.05</v>
      </c>
      <c r="K467" s="39" t="n">
        <v>8550</v>
      </c>
      <c r="L467" s="39" t="n">
        <v>6500</v>
      </c>
      <c r="M467" s="39" t="n">
        <v>2050</v>
      </c>
      <c r="N467" s="38" t="s">
        <v>66</v>
      </c>
      <c r="O467" s="38" t="n">
        <f aca="false">YEAR(B467)</f>
        <v>2025</v>
      </c>
      <c r="P467" s="41" t="n">
        <f aca="false">DATE(YEAR(B467),MONTH(B467),1)</f>
        <v>45931</v>
      </c>
      <c r="Q467" s="0" t="str">
        <f aca="false">INDEX(Products!$C$2:$C$16,MATCH(E467,Products!$A$2:$A$16,0))</f>
        <v>Furniture</v>
      </c>
      <c r="R467" s="0" t="str">
        <f aca="false">INDEX(Customers!$F$2:$F$101,MATCH(D467,Customers!$A$2:$A$101,0))</f>
        <v>North</v>
      </c>
      <c r="S467" s="0" t="str">
        <f aca="false">INDEX(Customers!$C$2:$C$101,MATCH(D467,Customers!$A$2:$A$101,0))</f>
        <v>Consumer</v>
      </c>
      <c r="T467" s="0" t="str">
        <f aca="false">INDEX(Customers!$D$2:$D$101,MATCH(D467,Customers!$A$2:$A$101,0))</f>
        <v>Jaipur</v>
      </c>
    </row>
    <row r="468" customFormat="false" ht="15" hidden="false" customHeight="false" outlineLevel="0" collapsed="false">
      <c r="A468" s="0" t="s">
        <v>738</v>
      </c>
      <c r="B468" s="37" t="n">
        <v>46096</v>
      </c>
      <c r="C468" s="37" t="n">
        <v>46103</v>
      </c>
      <c r="D468" s="38" t="s">
        <v>404</v>
      </c>
      <c r="E468" s="38" t="s">
        <v>120</v>
      </c>
      <c r="F468" s="38" t="s">
        <v>102</v>
      </c>
      <c r="G468" s="38" t="s">
        <v>185</v>
      </c>
      <c r="H468" s="0" t="n">
        <v>4</v>
      </c>
      <c r="I468" s="39" t="n">
        <v>400</v>
      </c>
      <c r="J468" s="40" t="n">
        <v>0</v>
      </c>
      <c r="K468" s="39" t="n">
        <v>1600</v>
      </c>
      <c r="L468" s="39" t="n">
        <v>1040</v>
      </c>
      <c r="M468" s="39" t="n">
        <v>560</v>
      </c>
      <c r="N468" s="38" t="s">
        <v>66</v>
      </c>
      <c r="O468" s="38" t="n">
        <f aca="false">YEAR(B468)</f>
        <v>2026</v>
      </c>
      <c r="P468" s="41" t="n">
        <f aca="false">DATE(YEAR(B468),MONTH(B468),1)</f>
        <v>46082</v>
      </c>
      <c r="Q468" s="0" t="str">
        <f aca="false">INDEX(Products!$C$2:$C$16,MATCH(E468,Products!$A$2:$A$16,0))</f>
        <v>Office Supplies</v>
      </c>
      <c r="R468" s="0" t="str">
        <f aca="false">INDEX(Customers!$F$2:$F$101,MATCH(D468,Customers!$A$2:$A$101,0))</f>
        <v>West</v>
      </c>
      <c r="S468" s="0" t="str">
        <f aca="false">INDEX(Customers!$C$2:$C$101,MATCH(D468,Customers!$A$2:$A$101,0))</f>
        <v>Small Business</v>
      </c>
      <c r="T468" s="0" t="str">
        <f aca="false">INDEX(Customers!$D$2:$D$101,MATCH(D468,Customers!$A$2:$A$101,0))</f>
        <v>Mumbai</v>
      </c>
    </row>
    <row r="469" customFormat="false" ht="15" hidden="false" customHeight="false" outlineLevel="0" collapsed="false">
      <c r="A469" s="0" t="s">
        <v>739</v>
      </c>
      <c r="B469" s="37" t="n">
        <v>46280</v>
      </c>
      <c r="C469" s="37" t="n">
        <v>46284</v>
      </c>
      <c r="D469" s="38" t="s">
        <v>251</v>
      </c>
      <c r="E469" s="38" t="s">
        <v>119</v>
      </c>
      <c r="F469" s="38" t="s">
        <v>102</v>
      </c>
      <c r="G469" s="38" t="s">
        <v>173</v>
      </c>
      <c r="H469" s="0" t="n">
        <v>2</v>
      </c>
      <c r="I469" s="39" t="n">
        <v>250</v>
      </c>
      <c r="J469" s="40" t="n">
        <v>0</v>
      </c>
      <c r="K469" s="39" t="n">
        <v>500</v>
      </c>
      <c r="L469" s="39" t="n">
        <v>240</v>
      </c>
      <c r="M469" s="39" t="n">
        <v>260</v>
      </c>
      <c r="N469" s="38" t="s">
        <v>66</v>
      </c>
      <c r="O469" s="38" t="n">
        <f aca="false">YEAR(B469)</f>
        <v>2026</v>
      </c>
      <c r="P469" s="41" t="n">
        <f aca="false">DATE(YEAR(B469),MONTH(B469),1)</f>
        <v>46266</v>
      </c>
      <c r="Q469" s="0" t="str">
        <f aca="false">INDEX(Products!$C$2:$C$16,MATCH(E469,Products!$A$2:$A$16,0))</f>
        <v>Office Supplies</v>
      </c>
      <c r="R469" s="0" t="str">
        <f aca="false">INDEX(Customers!$F$2:$F$101,MATCH(D469,Customers!$A$2:$A$101,0))</f>
        <v>South</v>
      </c>
      <c r="S469" s="0" t="str">
        <f aca="false">INDEX(Customers!$C$2:$C$101,MATCH(D469,Customers!$A$2:$A$101,0))</f>
        <v>Corporate</v>
      </c>
      <c r="T469" s="0" t="str">
        <f aca="false">INDEX(Customers!$D$2:$D$101,MATCH(D469,Customers!$A$2:$A$101,0))</f>
        <v>Bengaluru</v>
      </c>
    </row>
    <row r="470" customFormat="false" ht="15" hidden="false" customHeight="false" outlineLevel="0" collapsed="false">
      <c r="A470" s="0" t="s">
        <v>740</v>
      </c>
      <c r="B470" s="37" t="n">
        <v>45621</v>
      </c>
      <c r="C470" s="37" t="n">
        <v>45628</v>
      </c>
      <c r="D470" s="38" t="s">
        <v>470</v>
      </c>
      <c r="E470" s="38" t="s">
        <v>127</v>
      </c>
      <c r="F470" s="38" t="s">
        <v>100</v>
      </c>
      <c r="G470" s="38" t="s">
        <v>178</v>
      </c>
      <c r="H470" s="0" t="n">
        <v>5</v>
      </c>
      <c r="I470" s="39" t="n">
        <v>18000</v>
      </c>
      <c r="J470" s="40" t="n">
        <v>0</v>
      </c>
      <c r="K470" s="39" t="n">
        <v>90000</v>
      </c>
      <c r="L470" s="39" t="n">
        <v>70000</v>
      </c>
      <c r="M470" s="39" t="n">
        <v>20000</v>
      </c>
      <c r="N470" s="38" t="s">
        <v>66</v>
      </c>
      <c r="O470" s="38" t="n">
        <f aca="false">YEAR(B470)</f>
        <v>2024</v>
      </c>
      <c r="P470" s="41" t="n">
        <f aca="false">DATE(YEAR(B470),MONTH(B470),1)</f>
        <v>45597</v>
      </c>
      <c r="Q470" s="0" t="str">
        <f aca="false">INDEX(Products!$C$2:$C$16,MATCH(E470,Products!$A$2:$A$16,0))</f>
        <v>Technology</v>
      </c>
      <c r="R470" s="0" t="str">
        <f aca="false">INDEX(Customers!$F$2:$F$101,MATCH(D470,Customers!$A$2:$A$101,0))</f>
        <v>North</v>
      </c>
      <c r="S470" s="0" t="str">
        <f aca="false">INDEX(Customers!$C$2:$C$101,MATCH(D470,Customers!$A$2:$A$101,0))</f>
        <v>Small Business</v>
      </c>
      <c r="T470" s="0" t="str">
        <f aca="false">INDEX(Customers!$D$2:$D$101,MATCH(D470,Customers!$A$2:$A$101,0))</f>
        <v>Lucknow</v>
      </c>
    </row>
    <row r="471" customFormat="false" ht="15" hidden="false" customHeight="false" outlineLevel="0" collapsed="false">
      <c r="A471" s="0" t="s">
        <v>741</v>
      </c>
      <c r="B471" s="37" t="n">
        <v>46002</v>
      </c>
      <c r="C471" s="37" t="n">
        <v>46005</v>
      </c>
      <c r="D471" s="38" t="s">
        <v>230</v>
      </c>
      <c r="E471" s="38" t="s">
        <v>116</v>
      </c>
      <c r="F471" s="38" t="s">
        <v>101</v>
      </c>
      <c r="G471" s="38" t="s">
        <v>188</v>
      </c>
      <c r="H471" s="0" t="n">
        <v>2</v>
      </c>
      <c r="I471" s="39" t="n">
        <v>12000</v>
      </c>
      <c r="J471" s="40" t="n">
        <v>0</v>
      </c>
      <c r="K471" s="39" t="n">
        <v>24000</v>
      </c>
      <c r="L471" s="39" t="n">
        <v>18000</v>
      </c>
      <c r="M471" s="39" t="n">
        <v>6000</v>
      </c>
      <c r="N471" s="38" t="s">
        <v>66</v>
      </c>
      <c r="O471" s="38" t="n">
        <f aca="false">YEAR(B471)</f>
        <v>2025</v>
      </c>
      <c r="P471" s="41" t="n">
        <f aca="false">DATE(YEAR(B471),MONTH(B471),1)</f>
        <v>45992</v>
      </c>
      <c r="Q471" s="0" t="str">
        <f aca="false">INDEX(Products!$C$2:$C$16,MATCH(E471,Products!$A$2:$A$16,0))</f>
        <v>Technology</v>
      </c>
      <c r="R471" s="0" t="str">
        <f aca="false">INDEX(Customers!$F$2:$F$101,MATCH(D471,Customers!$A$2:$A$101,0))</f>
        <v>East</v>
      </c>
      <c r="S471" s="0" t="str">
        <f aca="false">INDEX(Customers!$C$2:$C$101,MATCH(D471,Customers!$A$2:$A$101,0))</f>
        <v>Consumer</v>
      </c>
      <c r="T471" s="0" t="str">
        <f aca="false">INDEX(Customers!$D$2:$D$101,MATCH(D471,Customers!$A$2:$A$101,0))</f>
        <v>Kolkata</v>
      </c>
    </row>
    <row r="472" customFormat="false" ht="15" hidden="false" customHeight="false" outlineLevel="0" collapsed="false">
      <c r="A472" s="0" t="s">
        <v>742</v>
      </c>
      <c r="B472" s="37" t="n">
        <v>46135</v>
      </c>
      <c r="C472" s="37" t="n">
        <v>46136</v>
      </c>
      <c r="D472" s="38" t="s">
        <v>219</v>
      </c>
      <c r="E472" s="38" t="s">
        <v>114</v>
      </c>
      <c r="F472" s="38" t="s">
        <v>101</v>
      </c>
      <c r="G472" s="38" t="s">
        <v>188</v>
      </c>
      <c r="H472" s="0" t="n">
        <v>1</v>
      </c>
      <c r="I472" s="39" t="n">
        <v>800</v>
      </c>
      <c r="J472" s="40" t="n">
        <v>0.05</v>
      </c>
      <c r="K472" s="39" t="n">
        <v>760</v>
      </c>
      <c r="L472" s="39" t="n">
        <v>420</v>
      </c>
      <c r="M472" s="39" t="n">
        <v>340</v>
      </c>
      <c r="N472" s="38" t="s">
        <v>66</v>
      </c>
      <c r="O472" s="38" t="n">
        <f aca="false">YEAR(B472)</f>
        <v>2026</v>
      </c>
      <c r="P472" s="41" t="n">
        <f aca="false">DATE(YEAR(B472),MONTH(B472),1)</f>
        <v>46113</v>
      </c>
      <c r="Q472" s="0" t="str">
        <f aca="false">INDEX(Products!$C$2:$C$16,MATCH(E472,Products!$A$2:$A$16,0))</f>
        <v>Technology</v>
      </c>
      <c r="R472" s="0" t="str">
        <f aca="false">INDEX(Customers!$F$2:$F$101,MATCH(D472,Customers!$A$2:$A$101,0))</f>
        <v>North</v>
      </c>
      <c r="S472" s="0" t="str">
        <f aca="false">INDEX(Customers!$C$2:$C$101,MATCH(D472,Customers!$A$2:$A$101,0))</f>
        <v>Small Business</v>
      </c>
      <c r="T472" s="0" t="str">
        <f aca="false">INDEX(Customers!$D$2:$D$101,MATCH(D472,Customers!$A$2:$A$101,0))</f>
        <v>Lucknow</v>
      </c>
    </row>
    <row r="473" customFormat="false" ht="15" hidden="false" customHeight="false" outlineLevel="0" collapsed="false">
      <c r="A473" s="0" t="s">
        <v>743</v>
      </c>
      <c r="B473" s="37" t="n">
        <v>46201</v>
      </c>
      <c r="C473" s="37" t="n">
        <v>46207</v>
      </c>
      <c r="D473" s="38" t="s">
        <v>206</v>
      </c>
      <c r="E473" s="38" t="s">
        <v>119</v>
      </c>
      <c r="F473" s="38" t="s">
        <v>101</v>
      </c>
      <c r="G473" s="38" t="s">
        <v>170</v>
      </c>
      <c r="H473" s="0" t="n">
        <v>10</v>
      </c>
      <c r="I473" s="39" t="n">
        <v>250</v>
      </c>
      <c r="J473" s="40" t="n">
        <v>0.05</v>
      </c>
      <c r="K473" s="39" t="n">
        <v>2375</v>
      </c>
      <c r="L473" s="39" t="n">
        <v>1200</v>
      </c>
      <c r="M473" s="39" t="n">
        <v>1175</v>
      </c>
      <c r="N473" s="38" t="s">
        <v>66</v>
      </c>
      <c r="O473" s="38" t="n">
        <f aca="false">YEAR(B473)</f>
        <v>2026</v>
      </c>
      <c r="P473" s="41" t="n">
        <f aca="false">DATE(YEAR(B473),MONTH(B473),1)</f>
        <v>46174</v>
      </c>
      <c r="Q473" s="0" t="str">
        <f aca="false">INDEX(Products!$C$2:$C$16,MATCH(E473,Products!$A$2:$A$16,0))</f>
        <v>Office Supplies</v>
      </c>
      <c r="R473" s="0" t="str">
        <f aca="false">INDEX(Customers!$F$2:$F$101,MATCH(D473,Customers!$A$2:$A$101,0))</f>
        <v>West</v>
      </c>
      <c r="S473" s="0" t="str">
        <f aca="false">INDEX(Customers!$C$2:$C$101,MATCH(D473,Customers!$A$2:$A$101,0))</f>
        <v>Corporate</v>
      </c>
      <c r="T473" s="0" t="str">
        <f aca="false">INDEX(Customers!$D$2:$D$101,MATCH(D473,Customers!$A$2:$A$101,0))</f>
        <v>Pune</v>
      </c>
    </row>
    <row r="474" customFormat="false" ht="15" hidden="false" customHeight="false" outlineLevel="0" collapsed="false">
      <c r="A474" s="0" t="s">
        <v>744</v>
      </c>
      <c r="B474" s="37" t="n">
        <v>46232</v>
      </c>
      <c r="C474" s="37" t="n">
        <v>46239</v>
      </c>
      <c r="D474" s="38" t="s">
        <v>219</v>
      </c>
      <c r="E474" s="38" t="s">
        <v>127</v>
      </c>
      <c r="F474" s="38" t="s">
        <v>100</v>
      </c>
      <c r="G474" s="38" t="s">
        <v>173</v>
      </c>
      <c r="H474" s="0" t="n">
        <v>2</v>
      </c>
      <c r="I474" s="39" t="n">
        <v>18000</v>
      </c>
      <c r="J474" s="40" t="n">
        <v>0</v>
      </c>
      <c r="K474" s="39" t="n">
        <v>36000</v>
      </c>
      <c r="L474" s="39" t="n">
        <v>28000</v>
      </c>
      <c r="M474" s="39" t="n">
        <v>8000</v>
      </c>
      <c r="N474" s="38" t="s">
        <v>66</v>
      </c>
      <c r="O474" s="38" t="n">
        <f aca="false">YEAR(B474)</f>
        <v>2026</v>
      </c>
      <c r="P474" s="41" t="n">
        <f aca="false">DATE(YEAR(B474),MONTH(B474),1)</f>
        <v>46204</v>
      </c>
      <c r="Q474" s="0" t="str">
        <f aca="false">INDEX(Products!$C$2:$C$16,MATCH(E474,Products!$A$2:$A$16,0))</f>
        <v>Technology</v>
      </c>
      <c r="R474" s="0" t="str">
        <f aca="false">INDEX(Customers!$F$2:$F$101,MATCH(D474,Customers!$A$2:$A$101,0))</f>
        <v>North</v>
      </c>
      <c r="S474" s="0" t="str">
        <f aca="false">INDEX(Customers!$C$2:$C$101,MATCH(D474,Customers!$A$2:$A$101,0))</f>
        <v>Small Business</v>
      </c>
      <c r="T474" s="0" t="str">
        <f aca="false">INDEX(Customers!$D$2:$D$101,MATCH(D474,Customers!$A$2:$A$101,0))</f>
        <v>Lucknow</v>
      </c>
    </row>
    <row r="475" customFormat="false" ht="15" hidden="false" customHeight="false" outlineLevel="0" collapsed="false">
      <c r="A475" s="0" t="s">
        <v>745</v>
      </c>
      <c r="B475" s="37" t="n">
        <v>45808</v>
      </c>
      <c r="C475" s="37" t="n">
        <v>45810</v>
      </c>
      <c r="D475" s="38" t="s">
        <v>675</v>
      </c>
      <c r="E475" s="38" t="s">
        <v>122</v>
      </c>
      <c r="F475" s="38" t="s">
        <v>102</v>
      </c>
      <c r="G475" s="38" t="s">
        <v>178</v>
      </c>
      <c r="H475" s="0" t="n">
        <v>1</v>
      </c>
      <c r="I475" s="39" t="n">
        <v>5500</v>
      </c>
      <c r="J475" s="40" t="n">
        <v>0.2</v>
      </c>
      <c r="K475" s="39" t="n">
        <v>4400</v>
      </c>
      <c r="L475" s="39" t="n">
        <v>3700</v>
      </c>
      <c r="M475" s="39" t="n">
        <v>700</v>
      </c>
      <c r="N475" s="38" t="s">
        <v>66</v>
      </c>
      <c r="O475" s="38" t="n">
        <f aca="false">YEAR(B475)</f>
        <v>2025</v>
      </c>
      <c r="P475" s="41" t="n">
        <f aca="false">DATE(YEAR(B475),MONTH(B475),1)</f>
        <v>45778</v>
      </c>
      <c r="Q475" s="0" t="str">
        <f aca="false">INDEX(Products!$C$2:$C$16,MATCH(E475,Products!$A$2:$A$16,0))</f>
        <v>Furniture</v>
      </c>
      <c r="R475" s="0" t="str">
        <f aca="false">INDEX(Customers!$F$2:$F$101,MATCH(D475,Customers!$A$2:$A$101,0))</f>
        <v>East</v>
      </c>
      <c r="S475" s="0" t="str">
        <f aca="false">INDEX(Customers!$C$2:$C$101,MATCH(D475,Customers!$A$2:$A$101,0))</f>
        <v>Small Business</v>
      </c>
      <c r="T475" s="0" t="str">
        <f aca="false">INDEX(Customers!$D$2:$D$101,MATCH(D475,Customers!$A$2:$A$101,0))</f>
        <v>Kolkata</v>
      </c>
    </row>
    <row r="476" customFormat="false" ht="15" hidden="false" customHeight="false" outlineLevel="0" collapsed="false">
      <c r="A476" s="0" t="s">
        <v>746</v>
      </c>
      <c r="B476" s="37" t="n">
        <v>46081</v>
      </c>
      <c r="C476" s="37" t="n">
        <v>46086</v>
      </c>
      <c r="D476" s="38" t="s">
        <v>348</v>
      </c>
      <c r="E476" s="38" t="s">
        <v>117</v>
      </c>
      <c r="F476" s="38" t="s">
        <v>100</v>
      </c>
      <c r="G476" s="38" t="s">
        <v>178</v>
      </c>
      <c r="H476" s="0" t="n">
        <v>3</v>
      </c>
      <c r="I476" s="39" t="n">
        <v>6500</v>
      </c>
      <c r="J476" s="40" t="n">
        <v>0.15</v>
      </c>
      <c r="K476" s="39" t="n">
        <v>16575</v>
      </c>
      <c r="L476" s="39" t="n">
        <v>12600</v>
      </c>
      <c r="M476" s="39" t="n">
        <v>3975</v>
      </c>
      <c r="N476" s="38" t="s">
        <v>66</v>
      </c>
      <c r="O476" s="38" t="n">
        <f aca="false">YEAR(B476)</f>
        <v>2026</v>
      </c>
      <c r="P476" s="41" t="n">
        <f aca="false">DATE(YEAR(B476),MONTH(B476),1)</f>
        <v>46054</v>
      </c>
      <c r="Q476" s="0" t="str">
        <f aca="false">INDEX(Products!$C$2:$C$16,MATCH(E476,Products!$A$2:$A$16,0))</f>
        <v>Furniture</v>
      </c>
      <c r="R476" s="0" t="str">
        <f aca="false">INDEX(Customers!$F$2:$F$101,MATCH(D476,Customers!$A$2:$A$101,0))</f>
        <v>East</v>
      </c>
      <c r="S476" s="0" t="str">
        <f aca="false">INDEX(Customers!$C$2:$C$101,MATCH(D476,Customers!$A$2:$A$101,0))</f>
        <v>Corporate</v>
      </c>
      <c r="T476" s="0" t="str">
        <f aca="false">INDEX(Customers!$D$2:$D$101,MATCH(D476,Customers!$A$2:$A$101,0))</f>
        <v>Kolkata</v>
      </c>
    </row>
    <row r="477" customFormat="false" ht="15" hidden="false" customHeight="false" outlineLevel="0" collapsed="false">
      <c r="A477" s="0" t="s">
        <v>747</v>
      </c>
      <c r="B477" s="37" t="n">
        <v>45998</v>
      </c>
      <c r="C477" s="37" t="n">
        <v>45999</v>
      </c>
      <c r="D477" s="38" t="s">
        <v>675</v>
      </c>
      <c r="E477" s="38" t="s">
        <v>113</v>
      </c>
      <c r="F477" s="38" t="s">
        <v>100</v>
      </c>
      <c r="G477" s="38" t="s">
        <v>188</v>
      </c>
      <c r="H477" s="0" t="n">
        <v>2</v>
      </c>
      <c r="I477" s="39" t="n">
        <v>45000</v>
      </c>
      <c r="J477" s="40" t="n">
        <v>0.1</v>
      </c>
      <c r="K477" s="39" t="n">
        <v>81000</v>
      </c>
      <c r="L477" s="39" t="n">
        <v>72000</v>
      </c>
      <c r="M477" s="39" t="n">
        <v>9000</v>
      </c>
      <c r="N477" s="38" t="s">
        <v>66</v>
      </c>
      <c r="O477" s="38" t="n">
        <f aca="false">YEAR(B477)</f>
        <v>2025</v>
      </c>
      <c r="P477" s="41" t="n">
        <f aca="false">DATE(YEAR(B477),MONTH(B477),1)</f>
        <v>45992</v>
      </c>
      <c r="Q477" s="0" t="str">
        <f aca="false">INDEX(Products!$C$2:$C$16,MATCH(E477,Products!$A$2:$A$16,0))</f>
        <v>Technology</v>
      </c>
      <c r="R477" s="0" t="str">
        <f aca="false">INDEX(Customers!$F$2:$F$101,MATCH(D477,Customers!$A$2:$A$101,0))</f>
        <v>East</v>
      </c>
      <c r="S477" s="0" t="str">
        <f aca="false">INDEX(Customers!$C$2:$C$101,MATCH(D477,Customers!$A$2:$A$101,0))</f>
        <v>Small Business</v>
      </c>
      <c r="T477" s="0" t="str">
        <f aca="false">INDEX(Customers!$D$2:$D$101,MATCH(D477,Customers!$A$2:$A$101,0))</f>
        <v>Kolkata</v>
      </c>
    </row>
    <row r="478" customFormat="false" ht="15" hidden="false" customHeight="false" outlineLevel="0" collapsed="false">
      <c r="A478" s="0" t="s">
        <v>748</v>
      </c>
      <c r="B478" s="37" t="n">
        <v>45502</v>
      </c>
      <c r="C478" s="37" t="n">
        <v>45508</v>
      </c>
      <c r="D478" s="38" t="s">
        <v>184</v>
      </c>
      <c r="E478" s="38" t="s">
        <v>115</v>
      </c>
      <c r="F478" s="38" t="s">
        <v>101</v>
      </c>
      <c r="G478" s="38" t="s">
        <v>185</v>
      </c>
      <c r="H478" s="0" t="n">
        <v>3</v>
      </c>
      <c r="I478" s="39" t="n">
        <v>1500</v>
      </c>
      <c r="J478" s="40" t="n">
        <v>0</v>
      </c>
      <c r="K478" s="39" t="n">
        <v>4500</v>
      </c>
      <c r="L478" s="39" t="n">
        <v>2550</v>
      </c>
      <c r="M478" s="39" t="n">
        <v>1950</v>
      </c>
      <c r="N478" s="38" t="s">
        <v>66</v>
      </c>
      <c r="O478" s="38" t="n">
        <f aca="false">YEAR(B478)</f>
        <v>2024</v>
      </c>
      <c r="P478" s="41" t="n">
        <f aca="false">DATE(YEAR(B478),MONTH(B478),1)</f>
        <v>45474</v>
      </c>
      <c r="Q478" s="0" t="str">
        <f aca="false">INDEX(Products!$C$2:$C$16,MATCH(E478,Products!$A$2:$A$16,0))</f>
        <v>Technology</v>
      </c>
      <c r="R478" s="0" t="str">
        <f aca="false">INDEX(Customers!$F$2:$F$101,MATCH(D478,Customers!$A$2:$A$101,0))</f>
        <v>West</v>
      </c>
      <c r="S478" s="0" t="str">
        <f aca="false">INDEX(Customers!$C$2:$C$101,MATCH(D478,Customers!$A$2:$A$101,0))</f>
        <v>Consumer</v>
      </c>
      <c r="T478" s="0" t="str">
        <f aca="false">INDEX(Customers!$D$2:$D$101,MATCH(D478,Customers!$A$2:$A$101,0))</f>
        <v>Ahmedabad</v>
      </c>
    </row>
    <row r="479" customFormat="false" ht="15" hidden="false" customHeight="false" outlineLevel="0" collapsed="false">
      <c r="A479" s="0" t="s">
        <v>749</v>
      </c>
      <c r="B479" s="37" t="n">
        <v>45568</v>
      </c>
      <c r="C479" s="37" t="n">
        <v>45573</v>
      </c>
      <c r="D479" s="38" t="s">
        <v>522</v>
      </c>
      <c r="E479" s="38" t="s">
        <v>121</v>
      </c>
      <c r="F479" s="38" t="s">
        <v>101</v>
      </c>
      <c r="G479" s="38" t="s">
        <v>178</v>
      </c>
      <c r="H479" s="0" t="n">
        <v>3</v>
      </c>
      <c r="I479" s="39" t="n">
        <v>180</v>
      </c>
      <c r="J479" s="40" t="n">
        <v>0</v>
      </c>
      <c r="K479" s="39" t="n">
        <v>540</v>
      </c>
      <c r="L479" s="39" t="n">
        <v>210</v>
      </c>
      <c r="M479" s="39" t="n">
        <v>330</v>
      </c>
      <c r="N479" s="38" t="s">
        <v>66</v>
      </c>
      <c r="O479" s="38" t="n">
        <f aca="false">YEAR(B479)</f>
        <v>2024</v>
      </c>
      <c r="P479" s="41" t="n">
        <f aca="false">DATE(YEAR(B479),MONTH(B479),1)</f>
        <v>45566</v>
      </c>
      <c r="Q479" s="0" t="str">
        <f aca="false">INDEX(Products!$C$2:$C$16,MATCH(E479,Products!$A$2:$A$16,0))</f>
        <v>Office Supplies</v>
      </c>
      <c r="R479" s="0" t="str">
        <f aca="false">INDEX(Customers!$F$2:$F$101,MATCH(D479,Customers!$A$2:$A$101,0))</f>
        <v>West</v>
      </c>
      <c r="S479" s="0" t="str">
        <f aca="false">INDEX(Customers!$C$2:$C$101,MATCH(D479,Customers!$A$2:$A$101,0))</f>
        <v>Consumer</v>
      </c>
      <c r="T479" s="0" t="str">
        <f aca="false">INDEX(Customers!$D$2:$D$101,MATCH(D479,Customers!$A$2:$A$101,0))</f>
        <v>Ahmedabad</v>
      </c>
    </row>
    <row r="480" customFormat="false" ht="15" hidden="false" customHeight="false" outlineLevel="0" collapsed="false">
      <c r="A480" s="0" t="s">
        <v>750</v>
      </c>
      <c r="B480" s="37" t="n">
        <v>45581</v>
      </c>
      <c r="C480" s="37" t="n">
        <v>45582</v>
      </c>
      <c r="D480" s="38" t="s">
        <v>305</v>
      </c>
      <c r="E480" s="38" t="s">
        <v>114</v>
      </c>
      <c r="F480" s="38" t="s">
        <v>100</v>
      </c>
      <c r="G480" s="38" t="s">
        <v>188</v>
      </c>
      <c r="H480" s="0" t="n">
        <v>4</v>
      </c>
      <c r="I480" s="39" t="n">
        <v>800</v>
      </c>
      <c r="J480" s="40" t="n">
        <v>0.1</v>
      </c>
      <c r="K480" s="39" t="n">
        <v>2880</v>
      </c>
      <c r="L480" s="39" t="n">
        <v>1680</v>
      </c>
      <c r="M480" s="39" t="n">
        <v>1200</v>
      </c>
      <c r="N480" s="38" t="s">
        <v>66</v>
      </c>
      <c r="O480" s="38" t="n">
        <f aca="false">YEAR(B480)</f>
        <v>2024</v>
      </c>
      <c r="P480" s="41" t="n">
        <f aca="false">DATE(YEAR(B480),MONTH(B480),1)</f>
        <v>45566</v>
      </c>
      <c r="Q480" s="0" t="str">
        <f aca="false">INDEX(Products!$C$2:$C$16,MATCH(E480,Products!$A$2:$A$16,0))</f>
        <v>Technology</v>
      </c>
      <c r="R480" s="0" t="str">
        <f aca="false">INDEX(Customers!$F$2:$F$101,MATCH(D480,Customers!$A$2:$A$101,0))</f>
        <v>South</v>
      </c>
      <c r="S480" s="0" t="str">
        <f aca="false">INDEX(Customers!$C$2:$C$101,MATCH(D480,Customers!$A$2:$A$101,0))</f>
        <v>Consumer</v>
      </c>
      <c r="T480" s="0" t="str">
        <f aca="false">INDEX(Customers!$D$2:$D$101,MATCH(D480,Customers!$A$2:$A$101,0))</f>
        <v>Chennai</v>
      </c>
    </row>
    <row r="481" customFormat="false" ht="15" hidden="false" customHeight="false" outlineLevel="0" collapsed="false">
      <c r="A481" s="0" t="s">
        <v>751</v>
      </c>
      <c r="B481" s="37" t="n">
        <v>45827</v>
      </c>
      <c r="C481" s="37" t="n">
        <v>45829</v>
      </c>
      <c r="D481" s="38" t="s">
        <v>234</v>
      </c>
      <c r="E481" s="38" t="s">
        <v>126</v>
      </c>
      <c r="F481" s="38" t="s">
        <v>101</v>
      </c>
      <c r="G481" s="38" t="s">
        <v>173</v>
      </c>
      <c r="H481" s="0" t="n">
        <v>2</v>
      </c>
      <c r="I481" s="39" t="n">
        <v>1200</v>
      </c>
      <c r="J481" s="40" t="n">
        <v>0.1</v>
      </c>
      <c r="K481" s="39" t="n">
        <v>2160</v>
      </c>
      <c r="L481" s="39" t="n">
        <v>1400</v>
      </c>
      <c r="M481" s="39" t="n">
        <v>760</v>
      </c>
      <c r="N481" s="38" t="s">
        <v>66</v>
      </c>
      <c r="O481" s="38" t="n">
        <f aca="false">YEAR(B481)</f>
        <v>2025</v>
      </c>
      <c r="P481" s="41" t="n">
        <f aca="false">DATE(YEAR(B481),MONTH(B481),1)</f>
        <v>45809</v>
      </c>
      <c r="Q481" s="0" t="str">
        <f aca="false">INDEX(Products!$C$2:$C$16,MATCH(E481,Products!$A$2:$A$16,0))</f>
        <v>Furniture</v>
      </c>
      <c r="R481" s="0" t="str">
        <f aca="false">INDEX(Customers!$F$2:$F$101,MATCH(D481,Customers!$A$2:$A$101,0))</f>
        <v>South</v>
      </c>
      <c r="S481" s="0" t="str">
        <f aca="false">INDEX(Customers!$C$2:$C$101,MATCH(D481,Customers!$A$2:$A$101,0))</f>
        <v>Corporate</v>
      </c>
      <c r="T481" s="0" t="str">
        <f aca="false">INDEX(Customers!$D$2:$D$101,MATCH(D481,Customers!$A$2:$A$101,0))</f>
        <v>Bengaluru</v>
      </c>
    </row>
    <row r="482" customFormat="false" ht="15" hidden="false" customHeight="false" outlineLevel="0" collapsed="false">
      <c r="A482" s="0" t="s">
        <v>752</v>
      </c>
      <c r="B482" s="37" t="n">
        <v>45504</v>
      </c>
      <c r="C482" s="37" t="n">
        <v>45510</v>
      </c>
      <c r="D482" s="38" t="s">
        <v>467</v>
      </c>
      <c r="E482" s="38" t="s">
        <v>127</v>
      </c>
      <c r="F482" s="38" t="s">
        <v>100</v>
      </c>
      <c r="G482" s="38" t="s">
        <v>178</v>
      </c>
      <c r="H482" s="0" t="n">
        <v>6</v>
      </c>
      <c r="I482" s="39" t="n">
        <v>18000</v>
      </c>
      <c r="J482" s="40" t="n">
        <v>0.05</v>
      </c>
      <c r="K482" s="39" t="n">
        <v>102600</v>
      </c>
      <c r="L482" s="39" t="n">
        <v>84000</v>
      </c>
      <c r="M482" s="39" t="n">
        <v>18600</v>
      </c>
      <c r="N482" s="38" t="s">
        <v>66</v>
      </c>
      <c r="O482" s="38" t="n">
        <f aca="false">YEAR(B482)</f>
        <v>2024</v>
      </c>
      <c r="P482" s="41" t="n">
        <f aca="false">DATE(YEAR(B482),MONTH(B482),1)</f>
        <v>45474</v>
      </c>
      <c r="Q482" s="0" t="str">
        <f aca="false">INDEX(Products!$C$2:$C$16,MATCH(E482,Products!$A$2:$A$16,0))</f>
        <v>Technology</v>
      </c>
      <c r="R482" s="0" t="str">
        <f aca="false">INDEX(Customers!$F$2:$F$101,MATCH(D482,Customers!$A$2:$A$101,0))</f>
        <v>West</v>
      </c>
      <c r="S482" s="0" t="str">
        <f aca="false">INDEX(Customers!$C$2:$C$101,MATCH(D482,Customers!$A$2:$A$101,0))</f>
        <v>Corporate</v>
      </c>
      <c r="T482" s="0" t="str">
        <f aca="false">INDEX(Customers!$D$2:$D$101,MATCH(D482,Customers!$A$2:$A$101,0))</f>
        <v>Ahmedabad</v>
      </c>
    </row>
    <row r="483" customFormat="false" ht="15" hidden="false" customHeight="false" outlineLevel="0" collapsed="false">
      <c r="A483" s="0" t="s">
        <v>753</v>
      </c>
      <c r="B483" s="37" t="n">
        <v>45405</v>
      </c>
      <c r="C483" s="37" t="n">
        <v>45412</v>
      </c>
      <c r="D483" s="38" t="s">
        <v>283</v>
      </c>
      <c r="E483" s="38" t="s">
        <v>127</v>
      </c>
      <c r="F483" s="38" t="s">
        <v>100</v>
      </c>
      <c r="G483" s="38" t="s">
        <v>178</v>
      </c>
      <c r="H483" s="0" t="n">
        <v>3</v>
      </c>
      <c r="I483" s="39" t="n">
        <v>18000</v>
      </c>
      <c r="J483" s="40" t="n">
        <v>0.1</v>
      </c>
      <c r="K483" s="39" t="n">
        <v>48600</v>
      </c>
      <c r="L483" s="39" t="n">
        <v>42000</v>
      </c>
      <c r="M483" s="39" t="n">
        <v>6600</v>
      </c>
      <c r="N483" s="38" t="s">
        <v>66</v>
      </c>
      <c r="O483" s="38" t="n">
        <f aca="false">YEAR(B483)</f>
        <v>2024</v>
      </c>
      <c r="P483" s="41" t="n">
        <f aca="false">DATE(YEAR(B483),MONTH(B483),1)</f>
        <v>45383</v>
      </c>
      <c r="Q483" s="0" t="str">
        <f aca="false">INDEX(Products!$C$2:$C$16,MATCH(E483,Products!$A$2:$A$16,0))</f>
        <v>Technology</v>
      </c>
      <c r="R483" s="0" t="str">
        <f aca="false">INDEX(Customers!$F$2:$F$101,MATCH(D483,Customers!$A$2:$A$101,0))</f>
        <v>West</v>
      </c>
      <c r="S483" s="0" t="str">
        <f aca="false">INDEX(Customers!$C$2:$C$101,MATCH(D483,Customers!$A$2:$A$101,0))</f>
        <v>Small Business</v>
      </c>
      <c r="T483" s="0" t="str">
        <f aca="false">INDEX(Customers!$D$2:$D$101,MATCH(D483,Customers!$A$2:$A$101,0))</f>
        <v>Mumbai</v>
      </c>
    </row>
    <row r="484" customFormat="false" ht="15" hidden="false" customHeight="false" outlineLevel="0" collapsed="false">
      <c r="A484" s="0" t="s">
        <v>754</v>
      </c>
      <c r="B484" s="37" t="n">
        <v>46032</v>
      </c>
      <c r="C484" s="37" t="n">
        <v>46033</v>
      </c>
      <c r="D484" s="38" t="s">
        <v>381</v>
      </c>
      <c r="E484" s="38" t="s">
        <v>124</v>
      </c>
      <c r="F484" s="38" t="s">
        <v>100</v>
      </c>
      <c r="G484" s="38" t="s">
        <v>185</v>
      </c>
      <c r="H484" s="0" t="n">
        <v>6</v>
      </c>
      <c r="I484" s="39" t="n">
        <v>3000</v>
      </c>
      <c r="J484" s="40" t="n">
        <v>0.2</v>
      </c>
      <c r="K484" s="39" t="n">
        <v>14400</v>
      </c>
      <c r="L484" s="39" t="n">
        <v>11400</v>
      </c>
      <c r="M484" s="39" t="n">
        <v>3000</v>
      </c>
      <c r="N484" s="38" t="s">
        <v>147</v>
      </c>
      <c r="O484" s="38" t="n">
        <f aca="false">YEAR(B484)</f>
        <v>2026</v>
      </c>
      <c r="P484" s="41" t="n">
        <f aca="false">DATE(YEAR(B484),MONTH(B484),1)</f>
        <v>46023</v>
      </c>
      <c r="Q484" s="0" t="str">
        <f aca="false">INDEX(Products!$C$2:$C$16,MATCH(E484,Products!$A$2:$A$16,0))</f>
        <v>Technology</v>
      </c>
      <c r="R484" s="0" t="str">
        <f aca="false">INDEX(Customers!$F$2:$F$101,MATCH(D484,Customers!$A$2:$A$101,0))</f>
        <v>West</v>
      </c>
      <c r="S484" s="0" t="str">
        <f aca="false">INDEX(Customers!$C$2:$C$101,MATCH(D484,Customers!$A$2:$A$101,0))</f>
        <v>Consumer</v>
      </c>
      <c r="T484" s="0" t="str">
        <f aca="false">INDEX(Customers!$D$2:$D$101,MATCH(D484,Customers!$A$2:$A$101,0))</f>
        <v>Pune</v>
      </c>
    </row>
    <row r="485" customFormat="false" ht="15" hidden="false" customHeight="false" outlineLevel="0" collapsed="false">
      <c r="A485" s="0" t="s">
        <v>755</v>
      </c>
      <c r="B485" s="37" t="n">
        <v>45767</v>
      </c>
      <c r="C485" s="37" t="n">
        <v>45768</v>
      </c>
      <c r="D485" s="38" t="s">
        <v>310</v>
      </c>
      <c r="E485" s="38" t="s">
        <v>117</v>
      </c>
      <c r="F485" s="38" t="s">
        <v>100</v>
      </c>
      <c r="G485" s="38" t="s">
        <v>170</v>
      </c>
      <c r="H485" s="0" t="n">
        <v>1</v>
      </c>
      <c r="I485" s="39" t="n">
        <v>6500</v>
      </c>
      <c r="J485" s="40" t="n">
        <v>0</v>
      </c>
      <c r="K485" s="39" t="n">
        <v>6500</v>
      </c>
      <c r="L485" s="39" t="n">
        <v>4200</v>
      </c>
      <c r="M485" s="39" t="n">
        <v>2300</v>
      </c>
      <c r="N485" s="38" t="s">
        <v>66</v>
      </c>
      <c r="O485" s="38" t="n">
        <f aca="false">YEAR(B485)</f>
        <v>2025</v>
      </c>
      <c r="P485" s="41" t="n">
        <f aca="false">DATE(YEAR(B485),MONTH(B485),1)</f>
        <v>45748</v>
      </c>
      <c r="Q485" s="0" t="str">
        <f aca="false">INDEX(Products!$C$2:$C$16,MATCH(E485,Products!$A$2:$A$16,0))</f>
        <v>Furniture</v>
      </c>
      <c r="R485" s="0" t="str">
        <f aca="false">INDEX(Customers!$F$2:$F$101,MATCH(D485,Customers!$A$2:$A$101,0))</f>
        <v>South</v>
      </c>
      <c r="S485" s="0" t="str">
        <f aca="false">INDEX(Customers!$C$2:$C$101,MATCH(D485,Customers!$A$2:$A$101,0))</f>
        <v>Small Business</v>
      </c>
      <c r="T485" s="0" t="str">
        <f aca="false">INDEX(Customers!$D$2:$D$101,MATCH(D485,Customers!$A$2:$A$101,0))</f>
        <v>Hyderabad</v>
      </c>
    </row>
    <row r="486" customFormat="false" ht="15" hidden="false" customHeight="false" outlineLevel="0" collapsed="false">
      <c r="A486" s="0" t="s">
        <v>756</v>
      </c>
      <c r="B486" s="37" t="n">
        <v>45728</v>
      </c>
      <c r="C486" s="37" t="n">
        <v>45734</v>
      </c>
      <c r="D486" s="38" t="s">
        <v>268</v>
      </c>
      <c r="E486" s="38" t="s">
        <v>118</v>
      </c>
      <c r="F486" s="38" t="s">
        <v>100</v>
      </c>
      <c r="G486" s="38" t="s">
        <v>178</v>
      </c>
      <c r="H486" s="0" t="n">
        <v>1</v>
      </c>
      <c r="I486" s="39" t="n">
        <v>9000</v>
      </c>
      <c r="J486" s="40" t="n">
        <v>0.25</v>
      </c>
      <c r="K486" s="39" t="n">
        <v>6750</v>
      </c>
      <c r="L486" s="39" t="n">
        <v>6500</v>
      </c>
      <c r="M486" s="39" t="n">
        <v>250</v>
      </c>
      <c r="N486" s="38" t="s">
        <v>66</v>
      </c>
      <c r="O486" s="38" t="n">
        <f aca="false">YEAR(B486)</f>
        <v>2025</v>
      </c>
      <c r="P486" s="41" t="n">
        <f aca="false">DATE(YEAR(B486),MONTH(B486),1)</f>
        <v>45717</v>
      </c>
      <c r="Q486" s="0" t="str">
        <f aca="false">INDEX(Products!$C$2:$C$16,MATCH(E486,Products!$A$2:$A$16,0))</f>
        <v>Furniture</v>
      </c>
      <c r="R486" s="0" t="str">
        <f aca="false">INDEX(Customers!$F$2:$F$101,MATCH(D486,Customers!$A$2:$A$101,0))</f>
        <v>South</v>
      </c>
      <c r="S486" s="0" t="str">
        <f aca="false">INDEX(Customers!$C$2:$C$101,MATCH(D486,Customers!$A$2:$A$101,0))</f>
        <v>Consumer</v>
      </c>
      <c r="T486" s="0" t="str">
        <f aca="false">INDEX(Customers!$D$2:$D$101,MATCH(D486,Customers!$A$2:$A$101,0))</f>
        <v>Bengaluru</v>
      </c>
    </row>
    <row r="487" customFormat="false" ht="15" hidden="false" customHeight="false" outlineLevel="0" collapsed="false">
      <c r="A487" s="0" t="s">
        <v>757</v>
      </c>
      <c r="B487" s="37" t="n">
        <v>45466</v>
      </c>
      <c r="C487" s="37" t="n">
        <v>45469</v>
      </c>
      <c r="D487" s="38" t="s">
        <v>522</v>
      </c>
      <c r="E487" s="38" t="s">
        <v>123</v>
      </c>
      <c r="F487" s="38" t="s">
        <v>102</v>
      </c>
      <c r="G487" s="38" t="s">
        <v>170</v>
      </c>
      <c r="H487" s="0" t="n">
        <v>2</v>
      </c>
      <c r="I487" s="39" t="n">
        <v>2200</v>
      </c>
      <c r="J487" s="40" t="n">
        <v>0.1</v>
      </c>
      <c r="K487" s="39" t="n">
        <v>3960</v>
      </c>
      <c r="L487" s="39" t="n">
        <v>2600</v>
      </c>
      <c r="M487" s="39" t="n">
        <v>1360</v>
      </c>
      <c r="N487" s="38" t="s">
        <v>66</v>
      </c>
      <c r="O487" s="38" t="n">
        <f aca="false">YEAR(B487)</f>
        <v>2024</v>
      </c>
      <c r="P487" s="41" t="n">
        <f aca="false">DATE(YEAR(B487),MONTH(B487),1)</f>
        <v>45444</v>
      </c>
      <c r="Q487" s="0" t="str">
        <f aca="false">INDEX(Products!$C$2:$C$16,MATCH(E487,Products!$A$2:$A$16,0))</f>
        <v>Technology</v>
      </c>
      <c r="R487" s="0" t="str">
        <f aca="false">INDEX(Customers!$F$2:$F$101,MATCH(D487,Customers!$A$2:$A$101,0))</f>
        <v>West</v>
      </c>
      <c r="S487" s="0" t="str">
        <f aca="false">INDEX(Customers!$C$2:$C$101,MATCH(D487,Customers!$A$2:$A$101,0))</f>
        <v>Consumer</v>
      </c>
      <c r="T487" s="0" t="str">
        <f aca="false">INDEX(Customers!$D$2:$D$101,MATCH(D487,Customers!$A$2:$A$101,0))</f>
        <v>Ahmedabad</v>
      </c>
    </row>
    <row r="488" customFormat="false" ht="15" hidden="false" customHeight="false" outlineLevel="0" collapsed="false">
      <c r="A488" s="0" t="s">
        <v>758</v>
      </c>
      <c r="B488" s="37" t="n">
        <v>46126</v>
      </c>
      <c r="C488" s="37" t="n">
        <v>46129</v>
      </c>
      <c r="D488" s="38" t="s">
        <v>283</v>
      </c>
      <c r="E488" s="38" t="s">
        <v>118</v>
      </c>
      <c r="F488" s="38" t="s">
        <v>101</v>
      </c>
      <c r="G488" s="38" t="s">
        <v>185</v>
      </c>
      <c r="H488" s="0" t="n">
        <v>1</v>
      </c>
      <c r="I488" s="39" t="n">
        <v>9000</v>
      </c>
      <c r="J488" s="40" t="n">
        <v>0.1</v>
      </c>
      <c r="K488" s="39" t="n">
        <v>8100</v>
      </c>
      <c r="L488" s="39" t="n">
        <v>6500</v>
      </c>
      <c r="M488" s="39" t="n">
        <v>1600</v>
      </c>
      <c r="N488" s="38" t="s">
        <v>66</v>
      </c>
      <c r="O488" s="38" t="n">
        <f aca="false">YEAR(B488)</f>
        <v>2026</v>
      </c>
      <c r="P488" s="41" t="n">
        <f aca="false">DATE(YEAR(B488),MONTH(B488),1)</f>
        <v>46113</v>
      </c>
      <c r="Q488" s="0" t="str">
        <f aca="false">INDEX(Products!$C$2:$C$16,MATCH(E488,Products!$A$2:$A$16,0))</f>
        <v>Furniture</v>
      </c>
      <c r="R488" s="0" t="str">
        <f aca="false">INDEX(Customers!$F$2:$F$101,MATCH(D488,Customers!$A$2:$A$101,0))</f>
        <v>West</v>
      </c>
      <c r="S488" s="0" t="str">
        <f aca="false">INDEX(Customers!$C$2:$C$101,MATCH(D488,Customers!$A$2:$A$101,0))</f>
        <v>Small Business</v>
      </c>
      <c r="T488" s="0" t="str">
        <f aca="false">INDEX(Customers!$D$2:$D$101,MATCH(D488,Customers!$A$2:$A$101,0))</f>
        <v>Mumbai</v>
      </c>
    </row>
    <row r="489" customFormat="false" ht="15" hidden="false" customHeight="false" outlineLevel="0" collapsed="false">
      <c r="A489" s="0" t="s">
        <v>759</v>
      </c>
      <c r="B489" s="37" t="n">
        <v>46163</v>
      </c>
      <c r="C489" s="37" t="n">
        <v>46167</v>
      </c>
      <c r="D489" s="38" t="s">
        <v>473</v>
      </c>
      <c r="E489" s="38" t="s">
        <v>124</v>
      </c>
      <c r="F489" s="38" t="s">
        <v>100</v>
      </c>
      <c r="G489" s="38" t="s">
        <v>178</v>
      </c>
      <c r="H489" s="0" t="n">
        <v>4</v>
      </c>
      <c r="I489" s="39" t="n">
        <v>3000</v>
      </c>
      <c r="J489" s="40" t="n">
        <v>0.2</v>
      </c>
      <c r="K489" s="39" t="n">
        <v>9600</v>
      </c>
      <c r="L489" s="39" t="n">
        <v>7600</v>
      </c>
      <c r="M489" s="39" t="n">
        <v>2000</v>
      </c>
      <c r="N489" s="38" t="s">
        <v>66</v>
      </c>
      <c r="O489" s="38" t="n">
        <f aca="false">YEAR(B489)</f>
        <v>2026</v>
      </c>
      <c r="P489" s="41" t="n">
        <f aca="false">DATE(YEAR(B489),MONTH(B489),1)</f>
        <v>46143</v>
      </c>
      <c r="Q489" s="0" t="str">
        <f aca="false">INDEX(Products!$C$2:$C$16,MATCH(E489,Products!$A$2:$A$16,0))</f>
        <v>Technology</v>
      </c>
      <c r="R489" s="0" t="str">
        <f aca="false">INDEX(Customers!$F$2:$F$101,MATCH(D489,Customers!$A$2:$A$101,0))</f>
        <v>North</v>
      </c>
      <c r="S489" s="0" t="str">
        <f aca="false">INDEX(Customers!$C$2:$C$101,MATCH(D489,Customers!$A$2:$A$101,0))</f>
        <v>Consumer</v>
      </c>
      <c r="T489" s="0" t="str">
        <f aca="false">INDEX(Customers!$D$2:$D$101,MATCH(D489,Customers!$A$2:$A$101,0))</f>
        <v>Gurugram</v>
      </c>
    </row>
    <row r="490" customFormat="false" ht="15" hidden="false" customHeight="false" outlineLevel="0" collapsed="false">
      <c r="A490" s="0" t="s">
        <v>760</v>
      </c>
      <c r="B490" s="37" t="n">
        <v>46257</v>
      </c>
      <c r="C490" s="37" t="n">
        <v>46264</v>
      </c>
      <c r="D490" s="38" t="s">
        <v>316</v>
      </c>
      <c r="E490" s="38" t="s">
        <v>113</v>
      </c>
      <c r="F490" s="38" t="s">
        <v>102</v>
      </c>
      <c r="G490" s="38" t="s">
        <v>185</v>
      </c>
      <c r="H490" s="0" t="n">
        <v>1</v>
      </c>
      <c r="I490" s="39" t="n">
        <v>45000</v>
      </c>
      <c r="J490" s="40" t="n">
        <v>0.1</v>
      </c>
      <c r="K490" s="39" t="n">
        <v>40500</v>
      </c>
      <c r="L490" s="39" t="n">
        <v>36000</v>
      </c>
      <c r="M490" s="39" t="n">
        <v>4500</v>
      </c>
      <c r="N490" s="38" t="s">
        <v>66</v>
      </c>
      <c r="O490" s="38" t="n">
        <f aca="false">YEAR(B490)</f>
        <v>2026</v>
      </c>
      <c r="P490" s="41" t="n">
        <f aca="false">DATE(YEAR(B490),MONTH(B490),1)</f>
        <v>46235</v>
      </c>
      <c r="Q490" s="0" t="str">
        <f aca="false">INDEX(Products!$C$2:$C$16,MATCH(E490,Products!$A$2:$A$16,0))</f>
        <v>Technology</v>
      </c>
      <c r="R490" s="0" t="str">
        <f aca="false">INDEX(Customers!$F$2:$F$101,MATCH(D490,Customers!$A$2:$A$101,0))</f>
        <v>West</v>
      </c>
      <c r="S490" s="0" t="str">
        <f aca="false">INDEX(Customers!$C$2:$C$101,MATCH(D490,Customers!$A$2:$A$101,0))</f>
        <v>Corporate</v>
      </c>
      <c r="T490" s="0" t="str">
        <f aca="false">INDEX(Customers!$D$2:$D$101,MATCH(D490,Customers!$A$2:$A$101,0))</f>
        <v>Ahmedabad</v>
      </c>
    </row>
    <row r="491" customFormat="false" ht="15" hidden="false" customHeight="false" outlineLevel="0" collapsed="false">
      <c r="A491" s="0" t="s">
        <v>761</v>
      </c>
      <c r="B491" s="37" t="n">
        <v>45477</v>
      </c>
      <c r="C491" s="37" t="n">
        <v>45482</v>
      </c>
      <c r="D491" s="38" t="s">
        <v>268</v>
      </c>
      <c r="E491" s="38" t="s">
        <v>120</v>
      </c>
      <c r="F491" s="38" t="s">
        <v>102</v>
      </c>
      <c r="G491" s="38" t="s">
        <v>178</v>
      </c>
      <c r="H491" s="0" t="n">
        <v>2</v>
      </c>
      <c r="I491" s="39" t="n">
        <v>400</v>
      </c>
      <c r="J491" s="40" t="n">
        <v>0.05</v>
      </c>
      <c r="K491" s="39" t="n">
        <v>760</v>
      </c>
      <c r="L491" s="39" t="n">
        <v>520</v>
      </c>
      <c r="M491" s="39" t="n">
        <v>240</v>
      </c>
      <c r="N491" s="38" t="s">
        <v>66</v>
      </c>
      <c r="O491" s="38" t="n">
        <f aca="false">YEAR(B491)</f>
        <v>2024</v>
      </c>
      <c r="P491" s="41" t="n">
        <f aca="false">DATE(YEAR(B491),MONTH(B491),1)</f>
        <v>45474</v>
      </c>
      <c r="Q491" s="0" t="str">
        <f aca="false">INDEX(Products!$C$2:$C$16,MATCH(E491,Products!$A$2:$A$16,0))</f>
        <v>Office Supplies</v>
      </c>
      <c r="R491" s="0" t="str">
        <f aca="false">INDEX(Customers!$F$2:$F$101,MATCH(D491,Customers!$A$2:$A$101,0))</f>
        <v>South</v>
      </c>
      <c r="S491" s="0" t="str">
        <f aca="false">INDEX(Customers!$C$2:$C$101,MATCH(D491,Customers!$A$2:$A$101,0))</f>
        <v>Consumer</v>
      </c>
      <c r="T491" s="0" t="str">
        <f aca="false">INDEX(Customers!$D$2:$D$101,MATCH(D491,Customers!$A$2:$A$101,0))</f>
        <v>Bengaluru</v>
      </c>
    </row>
    <row r="492" customFormat="false" ht="15" hidden="false" customHeight="false" outlineLevel="0" collapsed="false">
      <c r="A492" s="0" t="s">
        <v>762</v>
      </c>
      <c r="B492" s="37" t="n">
        <v>45425</v>
      </c>
      <c r="C492" s="37" t="n">
        <v>45429</v>
      </c>
      <c r="D492" s="38" t="s">
        <v>425</v>
      </c>
      <c r="E492" s="38" t="s">
        <v>127</v>
      </c>
      <c r="F492" s="38" t="s">
        <v>101</v>
      </c>
      <c r="G492" s="38" t="s">
        <v>185</v>
      </c>
      <c r="H492" s="0" t="n">
        <v>6</v>
      </c>
      <c r="I492" s="39" t="n">
        <v>18000</v>
      </c>
      <c r="J492" s="40" t="n">
        <v>0</v>
      </c>
      <c r="K492" s="39" t="n">
        <v>108000</v>
      </c>
      <c r="L492" s="39" t="n">
        <v>84000</v>
      </c>
      <c r="M492" s="39" t="n">
        <v>24000</v>
      </c>
      <c r="N492" s="38" t="s">
        <v>66</v>
      </c>
      <c r="O492" s="38" t="n">
        <f aca="false">YEAR(B492)</f>
        <v>2024</v>
      </c>
      <c r="P492" s="41" t="n">
        <f aca="false">DATE(YEAR(B492),MONTH(B492),1)</f>
        <v>45413</v>
      </c>
      <c r="Q492" s="0" t="str">
        <f aca="false">INDEX(Products!$C$2:$C$16,MATCH(E492,Products!$A$2:$A$16,0))</f>
        <v>Technology</v>
      </c>
      <c r="R492" s="0" t="str">
        <f aca="false">INDEX(Customers!$F$2:$F$101,MATCH(D492,Customers!$A$2:$A$101,0))</f>
        <v>North</v>
      </c>
      <c r="S492" s="0" t="str">
        <f aca="false">INDEX(Customers!$C$2:$C$101,MATCH(D492,Customers!$A$2:$A$101,0))</f>
        <v>Small Business</v>
      </c>
      <c r="T492" s="0" t="str">
        <f aca="false">INDEX(Customers!$D$2:$D$101,MATCH(D492,Customers!$A$2:$A$101,0))</f>
        <v>Lucknow</v>
      </c>
    </row>
    <row r="493" customFormat="false" ht="15" hidden="false" customHeight="false" outlineLevel="0" collapsed="false">
      <c r="A493" s="0" t="s">
        <v>763</v>
      </c>
      <c r="B493" s="37" t="n">
        <v>45613</v>
      </c>
      <c r="C493" s="37" t="n">
        <v>45614</v>
      </c>
      <c r="D493" s="38" t="s">
        <v>234</v>
      </c>
      <c r="E493" s="38" t="s">
        <v>123</v>
      </c>
      <c r="F493" s="38" t="s">
        <v>102</v>
      </c>
      <c r="G493" s="38" t="s">
        <v>188</v>
      </c>
      <c r="H493" s="0" t="n">
        <v>3</v>
      </c>
      <c r="I493" s="39" t="n">
        <v>2200</v>
      </c>
      <c r="J493" s="40" t="n">
        <v>0.2</v>
      </c>
      <c r="K493" s="39" t="n">
        <v>5280</v>
      </c>
      <c r="L493" s="39" t="n">
        <v>3900</v>
      </c>
      <c r="M493" s="39" t="n">
        <v>1380</v>
      </c>
      <c r="N493" s="38" t="s">
        <v>66</v>
      </c>
      <c r="O493" s="38" t="n">
        <f aca="false">YEAR(B493)</f>
        <v>2024</v>
      </c>
      <c r="P493" s="41" t="n">
        <f aca="false">DATE(YEAR(B493),MONTH(B493),1)</f>
        <v>45597</v>
      </c>
      <c r="Q493" s="0" t="str">
        <f aca="false">INDEX(Products!$C$2:$C$16,MATCH(E493,Products!$A$2:$A$16,0))</f>
        <v>Technology</v>
      </c>
      <c r="R493" s="0" t="str">
        <f aca="false">INDEX(Customers!$F$2:$F$101,MATCH(D493,Customers!$A$2:$A$101,0))</f>
        <v>South</v>
      </c>
      <c r="S493" s="0" t="str">
        <f aca="false">INDEX(Customers!$C$2:$C$101,MATCH(D493,Customers!$A$2:$A$101,0))</f>
        <v>Corporate</v>
      </c>
      <c r="T493" s="0" t="str">
        <f aca="false">INDEX(Customers!$D$2:$D$101,MATCH(D493,Customers!$A$2:$A$101,0))</f>
        <v>Bengaluru</v>
      </c>
    </row>
    <row r="494" customFormat="false" ht="15" hidden="false" customHeight="false" outlineLevel="0" collapsed="false">
      <c r="A494" s="0" t="s">
        <v>764</v>
      </c>
      <c r="B494" s="37" t="n">
        <v>46186</v>
      </c>
      <c r="C494" s="37" t="n">
        <v>46189</v>
      </c>
      <c r="D494" s="38" t="s">
        <v>255</v>
      </c>
      <c r="E494" s="38" t="s">
        <v>123</v>
      </c>
      <c r="F494" s="38" t="s">
        <v>102</v>
      </c>
      <c r="G494" s="38" t="s">
        <v>188</v>
      </c>
      <c r="H494" s="0" t="n">
        <v>2</v>
      </c>
      <c r="I494" s="39" t="n">
        <v>2200</v>
      </c>
      <c r="J494" s="40" t="n">
        <v>0.2</v>
      </c>
      <c r="K494" s="39" t="n">
        <v>3520</v>
      </c>
      <c r="L494" s="39" t="n">
        <v>2600</v>
      </c>
      <c r="M494" s="39" t="n">
        <v>920</v>
      </c>
      <c r="N494" s="38" t="s">
        <v>66</v>
      </c>
      <c r="O494" s="38" t="n">
        <f aca="false">YEAR(B494)</f>
        <v>2026</v>
      </c>
      <c r="P494" s="41" t="n">
        <f aca="false">DATE(YEAR(B494),MONTH(B494),1)</f>
        <v>46174</v>
      </c>
      <c r="Q494" s="0" t="str">
        <f aca="false">INDEX(Products!$C$2:$C$16,MATCH(E494,Products!$A$2:$A$16,0))</f>
        <v>Technology</v>
      </c>
      <c r="R494" s="0" t="str">
        <f aca="false">INDEX(Customers!$F$2:$F$101,MATCH(D494,Customers!$A$2:$A$101,0))</f>
        <v>East</v>
      </c>
      <c r="S494" s="0" t="str">
        <f aca="false">INDEX(Customers!$C$2:$C$101,MATCH(D494,Customers!$A$2:$A$101,0))</f>
        <v>Small Business</v>
      </c>
      <c r="T494" s="0" t="str">
        <f aca="false">INDEX(Customers!$D$2:$D$101,MATCH(D494,Customers!$A$2:$A$101,0))</f>
        <v>Kolkata</v>
      </c>
    </row>
    <row r="495" customFormat="false" ht="15" hidden="false" customHeight="false" outlineLevel="0" collapsed="false">
      <c r="A495" s="0" t="s">
        <v>765</v>
      </c>
      <c r="B495" s="37" t="n">
        <v>45546</v>
      </c>
      <c r="C495" s="37" t="n">
        <v>45550</v>
      </c>
      <c r="D495" s="38" t="s">
        <v>522</v>
      </c>
      <c r="E495" s="38" t="s">
        <v>124</v>
      </c>
      <c r="F495" s="38" t="s">
        <v>102</v>
      </c>
      <c r="G495" s="38" t="s">
        <v>185</v>
      </c>
      <c r="H495" s="0" t="n">
        <v>2</v>
      </c>
      <c r="I495" s="39" t="n">
        <v>3000</v>
      </c>
      <c r="J495" s="40" t="n">
        <v>0.2</v>
      </c>
      <c r="K495" s="39" t="n">
        <v>4800</v>
      </c>
      <c r="L495" s="39" t="n">
        <v>3800</v>
      </c>
      <c r="M495" s="39" t="n">
        <v>1000</v>
      </c>
      <c r="N495" s="38" t="s">
        <v>66</v>
      </c>
      <c r="O495" s="38" t="n">
        <f aca="false">YEAR(B495)</f>
        <v>2024</v>
      </c>
      <c r="P495" s="41" t="n">
        <f aca="false">DATE(YEAR(B495),MONTH(B495),1)</f>
        <v>45536</v>
      </c>
      <c r="Q495" s="0" t="str">
        <f aca="false">INDEX(Products!$C$2:$C$16,MATCH(E495,Products!$A$2:$A$16,0))</f>
        <v>Technology</v>
      </c>
      <c r="R495" s="0" t="str">
        <f aca="false">INDEX(Customers!$F$2:$F$101,MATCH(D495,Customers!$A$2:$A$101,0))</f>
        <v>West</v>
      </c>
      <c r="S495" s="0" t="str">
        <f aca="false">INDEX(Customers!$C$2:$C$101,MATCH(D495,Customers!$A$2:$A$101,0))</f>
        <v>Consumer</v>
      </c>
      <c r="T495" s="0" t="str">
        <f aca="false">INDEX(Customers!$D$2:$D$101,MATCH(D495,Customers!$A$2:$A$101,0))</f>
        <v>Ahmedabad</v>
      </c>
    </row>
    <row r="496" customFormat="false" ht="15" hidden="false" customHeight="false" outlineLevel="0" collapsed="false">
      <c r="A496" s="0" t="s">
        <v>766</v>
      </c>
      <c r="B496" s="37" t="n">
        <v>45919</v>
      </c>
      <c r="C496" s="37" t="n">
        <v>45920</v>
      </c>
      <c r="D496" s="38" t="s">
        <v>322</v>
      </c>
      <c r="E496" s="38" t="s">
        <v>127</v>
      </c>
      <c r="F496" s="38" t="s">
        <v>102</v>
      </c>
      <c r="G496" s="38" t="s">
        <v>185</v>
      </c>
      <c r="H496" s="0" t="n">
        <v>1</v>
      </c>
      <c r="I496" s="39" t="n">
        <v>18000</v>
      </c>
      <c r="J496" s="40" t="n">
        <v>0</v>
      </c>
      <c r="K496" s="39" t="n">
        <v>18000</v>
      </c>
      <c r="L496" s="39" t="n">
        <v>14000</v>
      </c>
      <c r="M496" s="39" t="n">
        <v>4000</v>
      </c>
      <c r="N496" s="38" t="s">
        <v>66</v>
      </c>
      <c r="O496" s="38" t="n">
        <f aca="false">YEAR(B496)</f>
        <v>2025</v>
      </c>
      <c r="P496" s="41" t="n">
        <f aca="false">DATE(YEAR(B496),MONTH(B496),1)</f>
        <v>45901</v>
      </c>
      <c r="Q496" s="0" t="str">
        <f aca="false">INDEX(Products!$C$2:$C$16,MATCH(E496,Products!$A$2:$A$16,0))</f>
        <v>Technology</v>
      </c>
      <c r="R496" s="0" t="str">
        <f aca="false">INDEX(Customers!$F$2:$F$101,MATCH(D496,Customers!$A$2:$A$101,0))</f>
        <v>North</v>
      </c>
      <c r="S496" s="0" t="str">
        <f aca="false">INDEX(Customers!$C$2:$C$101,MATCH(D496,Customers!$A$2:$A$101,0))</f>
        <v>Consumer</v>
      </c>
      <c r="T496" s="0" t="str">
        <f aca="false">INDEX(Customers!$D$2:$D$101,MATCH(D496,Customers!$A$2:$A$101,0))</f>
        <v>Jaipur</v>
      </c>
    </row>
    <row r="497" customFormat="false" ht="15" hidden="false" customHeight="false" outlineLevel="0" collapsed="false">
      <c r="A497" s="0" t="s">
        <v>767</v>
      </c>
      <c r="B497" s="37" t="n">
        <v>46061</v>
      </c>
      <c r="C497" s="37" t="n">
        <v>46065</v>
      </c>
      <c r="D497" s="38" t="s">
        <v>219</v>
      </c>
      <c r="E497" s="38" t="s">
        <v>114</v>
      </c>
      <c r="F497" s="38" t="s">
        <v>101</v>
      </c>
      <c r="G497" s="38" t="s">
        <v>178</v>
      </c>
      <c r="H497" s="0" t="n">
        <v>2</v>
      </c>
      <c r="I497" s="39" t="n">
        <v>800</v>
      </c>
      <c r="J497" s="40" t="n">
        <v>0.05</v>
      </c>
      <c r="K497" s="39" t="n">
        <v>1520</v>
      </c>
      <c r="L497" s="39" t="n">
        <v>840</v>
      </c>
      <c r="M497" s="39" t="n">
        <v>680</v>
      </c>
      <c r="N497" s="38" t="s">
        <v>66</v>
      </c>
      <c r="O497" s="38" t="n">
        <f aca="false">YEAR(B497)</f>
        <v>2026</v>
      </c>
      <c r="P497" s="41" t="n">
        <f aca="false">DATE(YEAR(B497),MONTH(B497),1)</f>
        <v>46054</v>
      </c>
      <c r="Q497" s="0" t="str">
        <f aca="false">INDEX(Products!$C$2:$C$16,MATCH(E497,Products!$A$2:$A$16,0))</f>
        <v>Technology</v>
      </c>
      <c r="R497" s="0" t="str">
        <f aca="false">INDEX(Customers!$F$2:$F$101,MATCH(D497,Customers!$A$2:$A$101,0))</f>
        <v>North</v>
      </c>
      <c r="S497" s="0" t="str">
        <f aca="false">INDEX(Customers!$C$2:$C$101,MATCH(D497,Customers!$A$2:$A$101,0))</f>
        <v>Small Business</v>
      </c>
      <c r="T497" s="0" t="str">
        <f aca="false">INDEX(Customers!$D$2:$D$101,MATCH(D497,Customers!$A$2:$A$101,0))</f>
        <v>Lucknow</v>
      </c>
    </row>
    <row r="498" customFormat="false" ht="15" hidden="false" customHeight="false" outlineLevel="0" collapsed="false">
      <c r="A498" s="0" t="s">
        <v>768</v>
      </c>
      <c r="B498" s="37" t="n">
        <v>45679</v>
      </c>
      <c r="C498" s="37" t="n">
        <v>45683</v>
      </c>
      <c r="D498" s="38" t="s">
        <v>287</v>
      </c>
      <c r="E498" s="38" t="s">
        <v>123</v>
      </c>
      <c r="F498" s="38" t="s">
        <v>101</v>
      </c>
      <c r="G498" s="38" t="s">
        <v>185</v>
      </c>
      <c r="H498" s="0" t="n">
        <v>5</v>
      </c>
      <c r="I498" s="39" t="n">
        <v>2200</v>
      </c>
      <c r="J498" s="40" t="n">
        <v>0</v>
      </c>
      <c r="K498" s="39" t="n">
        <v>11000</v>
      </c>
      <c r="L498" s="39" t="n">
        <v>6500</v>
      </c>
      <c r="M498" s="39" t="n">
        <v>4500</v>
      </c>
      <c r="N498" s="38" t="s">
        <v>66</v>
      </c>
      <c r="O498" s="38" t="n">
        <f aca="false">YEAR(B498)</f>
        <v>2025</v>
      </c>
      <c r="P498" s="41" t="n">
        <f aca="false">DATE(YEAR(B498),MONTH(B498),1)</f>
        <v>45658</v>
      </c>
      <c r="Q498" s="0" t="str">
        <f aca="false">INDEX(Products!$C$2:$C$16,MATCH(E498,Products!$A$2:$A$16,0))</f>
        <v>Technology</v>
      </c>
      <c r="R498" s="0" t="str">
        <f aca="false">INDEX(Customers!$F$2:$F$101,MATCH(D498,Customers!$A$2:$A$101,0))</f>
        <v>South</v>
      </c>
      <c r="S498" s="0" t="str">
        <f aca="false">INDEX(Customers!$C$2:$C$101,MATCH(D498,Customers!$A$2:$A$101,0))</f>
        <v>Small Business</v>
      </c>
      <c r="T498" s="0" t="str">
        <f aca="false">INDEX(Customers!$D$2:$D$101,MATCH(D498,Customers!$A$2:$A$101,0))</f>
        <v>Chennai</v>
      </c>
    </row>
    <row r="499" customFormat="false" ht="15" hidden="false" customHeight="false" outlineLevel="0" collapsed="false">
      <c r="A499" s="0" t="s">
        <v>769</v>
      </c>
      <c r="B499" s="37" t="n">
        <v>46169</v>
      </c>
      <c r="C499" s="37" t="n">
        <v>46173</v>
      </c>
      <c r="D499" s="38" t="s">
        <v>260</v>
      </c>
      <c r="E499" s="38" t="s">
        <v>114</v>
      </c>
      <c r="F499" s="38" t="s">
        <v>101</v>
      </c>
      <c r="G499" s="38" t="s">
        <v>178</v>
      </c>
      <c r="H499" s="0" t="n">
        <v>2</v>
      </c>
      <c r="I499" s="39" t="n">
        <v>800</v>
      </c>
      <c r="J499" s="40" t="n">
        <v>0</v>
      </c>
      <c r="K499" s="39" t="n">
        <v>1600</v>
      </c>
      <c r="L499" s="39" t="n">
        <v>840</v>
      </c>
      <c r="M499" s="39" t="n">
        <v>760</v>
      </c>
      <c r="N499" s="38" t="s">
        <v>66</v>
      </c>
      <c r="O499" s="38" t="n">
        <f aca="false">YEAR(B499)</f>
        <v>2026</v>
      </c>
      <c r="P499" s="41" t="n">
        <f aca="false">DATE(YEAR(B499),MONTH(B499),1)</f>
        <v>46143</v>
      </c>
      <c r="Q499" s="0" t="str">
        <f aca="false">INDEX(Products!$C$2:$C$16,MATCH(E499,Products!$A$2:$A$16,0))</f>
        <v>Technology</v>
      </c>
      <c r="R499" s="0" t="str">
        <f aca="false">INDEX(Customers!$F$2:$F$101,MATCH(D499,Customers!$A$2:$A$101,0))</f>
        <v>West</v>
      </c>
      <c r="S499" s="0" t="str">
        <f aca="false">INDEX(Customers!$C$2:$C$101,MATCH(D499,Customers!$A$2:$A$101,0))</f>
        <v>Small Business</v>
      </c>
      <c r="T499" s="0" t="str">
        <f aca="false">INDEX(Customers!$D$2:$D$101,MATCH(D499,Customers!$A$2:$A$101,0))</f>
        <v>Mumbai</v>
      </c>
    </row>
    <row r="500" customFormat="false" ht="15" hidden="false" customHeight="false" outlineLevel="0" collapsed="false">
      <c r="A500" s="0" t="s">
        <v>770</v>
      </c>
      <c r="B500" s="37" t="n">
        <v>45862</v>
      </c>
      <c r="C500" s="37" t="n">
        <v>45867</v>
      </c>
      <c r="D500" s="38" t="s">
        <v>198</v>
      </c>
      <c r="E500" s="38" t="s">
        <v>113</v>
      </c>
      <c r="F500" s="38" t="s">
        <v>102</v>
      </c>
      <c r="G500" s="38" t="s">
        <v>188</v>
      </c>
      <c r="H500" s="0" t="n">
        <v>1</v>
      </c>
      <c r="I500" s="39" t="n">
        <v>45000</v>
      </c>
      <c r="J500" s="40" t="n">
        <v>0</v>
      </c>
      <c r="K500" s="39" t="n">
        <v>45000</v>
      </c>
      <c r="L500" s="39" t="n">
        <v>36000</v>
      </c>
      <c r="M500" s="39" t="n">
        <v>9000</v>
      </c>
      <c r="N500" s="38" t="s">
        <v>66</v>
      </c>
      <c r="O500" s="38" t="n">
        <f aca="false">YEAR(B500)</f>
        <v>2025</v>
      </c>
      <c r="P500" s="41" t="n">
        <f aca="false">DATE(YEAR(B500),MONTH(B500),1)</f>
        <v>45839</v>
      </c>
      <c r="Q500" s="0" t="str">
        <f aca="false">INDEX(Products!$C$2:$C$16,MATCH(E500,Products!$A$2:$A$16,0))</f>
        <v>Technology</v>
      </c>
      <c r="R500" s="0" t="str">
        <f aca="false">INDEX(Customers!$F$2:$F$101,MATCH(D500,Customers!$A$2:$A$101,0))</f>
        <v>North</v>
      </c>
      <c r="S500" s="0" t="str">
        <f aca="false">INDEX(Customers!$C$2:$C$101,MATCH(D500,Customers!$A$2:$A$101,0))</f>
        <v>Consumer</v>
      </c>
      <c r="T500" s="0" t="str">
        <f aca="false">INDEX(Customers!$D$2:$D$101,MATCH(D500,Customers!$A$2:$A$101,0))</f>
        <v>Gurugram</v>
      </c>
    </row>
    <row r="501" customFormat="false" ht="15" hidden="false" customHeight="false" outlineLevel="0" collapsed="false">
      <c r="A501" s="0" t="s">
        <v>771</v>
      </c>
      <c r="B501" s="37" t="n">
        <v>45503</v>
      </c>
      <c r="C501" s="37" t="n">
        <v>45509</v>
      </c>
      <c r="D501" s="38" t="s">
        <v>447</v>
      </c>
      <c r="E501" s="38" t="s">
        <v>121</v>
      </c>
      <c r="F501" s="38" t="s">
        <v>101</v>
      </c>
      <c r="G501" s="38" t="s">
        <v>178</v>
      </c>
      <c r="H501" s="0" t="n">
        <v>3</v>
      </c>
      <c r="I501" s="39" t="n">
        <v>180</v>
      </c>
      <c r="J501" s="40" t="n">
        <v>0.05</v>
      </c>
      <c r="K501" s="39" t="n">
        <v>513</v>
      </c>
      <c r="L501" s="39" t="n">
        <v>210</v>
      </c>
      <c r="M501" s="39" t="n">
        <v>303</v>
      </c>
      <c r="N501" s="38" t="s">
        <v>66</v>
      </c>
      <c r="O501" s="38" t="n">
        <f aca="false">YEAR(B501)</f>
        <v>2024</v>
      </c>
      <c r="P501" s="41" t="n">
        <f aca="false">DATE(YEAR(B501),MONTH(B501),1)</f>
        <v>45474</v>
      </c>
      <c r="Q501" s="0" t="str">
        <f aca="false">INDEX(Products!$C$2:$C$16,MATCH(E501,Products!$A$2:$A$16,0))</f>
        <v>Office Supplies</v>
      </c>
      <c r="R501" s="0" t="str">
        <f aca="false">INDEX(Customers!$F$2:$F$101,MATCH(D501,Customers!$A$2:$A$101,0))</f>
        <v>North</v>
      </c>
      <c r="S501" s="0" t="str">
        <f aca="false">INDEX(Customers!$C$2:$C$101,MATCH(D501,Customers!$A$2:$A$101,0))</f>
        <v>Corporate</v>
      </c>
      <c r="T501" s="0" t="str">
        <f aca="false">INDEX(Customers!$D$2:$D$101,MATCH(D501,Customers!$A$2:$A$101,0))</f>
        <v>Jaipur</v>
      </c>
    </row>
    <row r="502" customFormat="false" ht="15" hidden="false" customHeight="false" outlineLevel="0" collapsed="false">
      <c r="A502" s="0" t="s">
        <v>772</v>
      </c>
      <c r="B502" s="37" t="n">
        <v>45865</v>
      </c>
      <c r="C502" s="37" t="n">
        <v>45872</v>
      </c>
      <c r="D502" s="38" t="s">
        <v>227</v>
      </c>
      <c r="E502" s="38" t="s">
        <v>118</v>
      </c>
      <c r="F502" s="38" t="s">
        <v>102</v>
      </c>
      <c r="G502" s="38" t="s">
        <v>170</v>
      </c>
      <c r="H502" s="0" t="n">
        <v>3</v>
      </c>
      <c r="I502" s="39" t="n">
        <v>9000</v>
      </c>
      <c r="J502" s="40" t="n">
        <v>0.1</v>
      </c>
      <c r="K502" s="39" t="n">
        <v>24300</v>
      </c>
      <c r="L502" s="39" t="n">
        <v>19500</v>
      </c>
      <c r="M502" s="39" t="n">
        <v>4800</v>
      </c>
      <c r="N502" s="38" t="s">
        <v>66</v>
      </c>
      <c r="O502" s="38" t="n">
        <f aca="false">YEAR(B502)</f>
        <v>2025</v>
      </c>
      <c r="P502" s="41" t="n">
        <f aca="false">DATE(YEAR(B502),MONTH(B502),1)</f>
        <v>45839</v>
      </c>
      <c r="Q502" s="0" t="str">
        <f aca="false">INDEX(Products!$C$2:$C$16,MATCH(E502,Products!$A$2:$A$16,0))</f>
        <v>Furniture</v>
      </c>
      <c r="R502" s="0" t="str">
        <f aca="false">INDEX(Customers!$F$2:$F$101,MATCH(D502,Customers!$A$2:$A$101,0))</f>
        <v>North</v>
      </c>
      <c r="S502" s="0" t="str">
        <f aca="false">INDEX(Customers!$C$2:$C$101,MATCH(D502,Customers!$A$2:$A$101,0))</f>
        <v>Consumer</v>
      </c>
      <c r="T502" s="0" t="str">
        <f aca="false">INDEX(Customers!$D$2:$D$101,MATCH(D502,Customers!$A$2:$A$101,0))</f>
        <v>Delhi</v>
      </c>
    </row>
    <row r="503" customFormat="false" ht="15" hidden="false" customHeight="false" outlineLevel="0" collapsed="false">
      <c r="A503" s="0" t="s">
        <v>773</v>
      </c>
      <c r="B503" s="37" t="n">
        <v>46069</v>
      </c>
      <c r="C503" s="37" t="n">
        <v>46075</v>
      </c>
      <c r="D503" s="38" t="s">
        <v>369</v>
      </c>
      <c r="E503" s="38" t="s">
        <v>114</v>
      </c>
      <c r="F503" s="38" t="s">
        <v>101</v>
      </c>
      <c r="G503" s="38" t="s">
        <v>170</v>
      </c>
      <c r="H503" s="0" t="n">
        <v>1</v>
      </c>
      <c r="I503" s="39" t="n">
        <v>800</v>
      </c>
      <c r="J503" s="40" t="n">
        <v>0.05</v>
      </c>
      <c r="K503" s="39" t="n">
        <v>760</v>
      </c>
      <c r="L503" s="39" t="n">
        <v>420</v>
      </c>
      <c r="M503" s="39" t="n">
        <v>340</v>
      </c>
      <c r="N503" s="38" t="s">
        <v>66</v>
      </c>
      <c r="O503" s="38" t="n">
        <f aca="false">YEAR(B503)</f>
        <v>2026</v>
      </c>
      <c r="P503" s="41" t="n">
        <f aca="false">DATE(YEAR(B503),MONTH(B503),1)</f>
        <v>46054</v>
      </c>
      <c r="Q503" s="0" t="str">
        <f aca="false">INDEX(Products!$C$2:$C$16,MATCH(E503,Products!$A$2:$A$16,0))</f>
        <v>Technology</v>
      </c>
      <c r="R503" s="0" t="str">
        <f aca="false">INDEX(Customers!$F$2:$F$101,MATCH(D503,Customers!$A$2:$A$101,0))</f>
        <v>West</v>
      </c>
      <c r="S503" s="0" t="str">
        <f aca="false">INDEX(Customers!$C$2:$C$101,MATCH(D503,Customers!$A$2:$A$101,0))</f>
        <v>Consumer</v>
      </c>
      <c r="T503" s="0" t="str">
        <f aca="false">INDEX(Customers!$D$2:$D$101,MATCH(D503,Customers!$A$2:$A$101,0))</f>
        <v>Mumbai</v>
      </c>
    </row>
    <row r="504" customFormat="false" ht="15" hidden="false" customHeight="false" outlineLevel="0" collapsed="false">
      <c r="A504" s="0" t="s">
        <v>774</v>
      </c>
      <c r="B504" s="37" t="n">
        <v>45400</v>
      </c>
      <c r="C504" s="37" t="n">
        <v>45401</v>
      </c>
      <c r="D504" s="38" t="s">
        <v>329</v>
      </c>
      <c r="E504" s="38" t="s">
        <v>124</v>
      </c>
      <c r="F504" s="38" t="s">
        <v>100</v>
      </c>
      <c r="G504" s="38" t="s">
        <v>185</v>
      </c>
      <c r="H504" s="0" t="n">
        <v>6</v>
      </c>
      <c r="I504" s="39" t="n">
        <v>3000</v>
      </c>
      <c r="J504" s="40" t="n">
        <v>0.1</v>
      </c>
      <c r="K504" s="39" t="n">
        <v>16200</v>
      </c>
      <c r="L504" s="39" t="n">
        <v>11400</v>
      </c>
      <c r="M504" s="39" t="n">
        <v>4800</v>
      </c>
      <c r="N504" s="38" t="s">
        <v>66</v>
      </c>
      <c r="O504" s="38" t="n">
        <f aca="false">YEAR(B504)</f>
        <v>2024</v>
      </c>
      <c r="P504" s="41" t="n">
        <f aca="false">DATE(YEAR(B504),MONTH(B504),1)</f>
        <v>45383</v>
      </c>
      <c r="Q504" s="0" t="str">
        <f aca="false">INDEX(Products!$C$2:$C$16,MATCH(E504,Products!$A$2:$A$16,0))</f>
        <v>Technology</v>
      </c>
      <c r="R504" s="0" t="str">
        <f aca="false">INDEX(Customers!$F$2:$F$101,MATCH(D504,Customers!$A$2:$A$101,0))</f>
        <v>West</v>
      </c>
      <c r="S504" s="0" t="str">
        <f aca="false">INDEX(Customers!$C$2:$C$101,MATCH(D504,Customers!$A$2:$A$101,0))</f>
        <v>Corporate</v>
      </c>
      <c r="T504" s="0" t="str">
        <f aca="false">INDEX(Customers!$D$2:$D$101,MATCH(D504,Customers!$A$2:$A$101,0))</f>
        <v>Pune</v>
      </c>
    </row>
    <row r="505" customFormat="false" ht="15" hidden="false" customHeight="false" outlineLevel="0" collapsed="false">
      <c r="A505" s="0" t="s">
        <v>775</v>
      </c>
      <c r="B505" s="37" t="n">
        <v>45484</v>
      </c>
      <c r="C505" s="37" t="n">
        <v>45485</v>
      </c>
      <c r="D505" s="38" t="s">
        <v>621</v>
      </c>
      <c r="E505" s="38" t="s">
        <v>116</v>
      </c>
      <c r="F505" s="38" t="s">
        <v>100</v>
      </c>
      <c r="G505" s="38" t="s">
        <v>185</v>
      </c>
      <c r="H505" s="0" t="n">
        <v>6</v>
      </c>
      <c r="I505" s="39" t="n">
        <v>12000</v>
      </c>
      <c r="J505" s="40" t="n">
        <v>0.1</v>
      </c>
      <c r="K505" s="39" t="n">
        <v>64800</v>
      </c>
      <c r="L505" s="39" t="n">
        <v>54000</v>
      </c>
      <c r="M505" s="39" t="n">
        <v>10800</v>
      </c>
      <c r="N505" s="38" t="s">
        <v>66</v>
      </c>
      <c r="O505" s="38" t="n">
        <f aca="false">YEAR(B505)</f>
        <v>2024</v>
      </c>
      <c r="P505" s="41" t="n">
        <f aca="false">DATE(YEAR(B505),MONTH(B505),1)</f>
        <v>45474</v>
      </c>
      <c r="Q505" s="0" t="str">
        <f aca="false">INDEX(Products!$C$2:$C$16,MATCH(E505,Products!$A$2:$A$16,0))</f>
        <v>Technology</v>
      </c>
      <c r="R505" s="0" t="str">
        <f aca="false">INDEX(Customers!$F$2:$F$101,MATCH(D505,Customers!$A$2:$A$101,0))</f>
        <v>East</v>
      </c>
      <c r="S505" s="0" t="str">
        <f aca="false">INDEX(Customers!$C$2:$C$101,MATCH(D505,Customers!$A$2:$A$101,0))</f>
        <v>Corporate</v>
      </c>
      <c r="T505" s="0" t="str">
        <f aca="false">INDEX(Customers!$D$2:$D$101,MATCH(D505,Customers!$A$2:$A$101,0))</f>
        <v>Bhubaneswar</v>
      </c>
    </row>
    <row r="506" customFormat="false" ht="15" hidden="false" customHeight="false" outlineLevel="0" collapsed="false">
      <c r="A506" s="0" t="s">
        <v>776</v>
      </c>
      <c r="B506" s="37" t="n">
        <v>45638</v>
      </c>
      <c r="C506" s="37" t="n">
        <v>45639</v>
      </c>
      <c r="D506" s="38" t="s">
        <v>236</v>
      </c>
      <c r="E506" s="38" t="s">
        <v>124</v>
      </c>
      <c r="F506" s="38" t="s">
        <v>102</v>
      </c>
      <c r="G506" s="38" t="s">
        <v>188</v>
      </c>
      <c r="H506" s="0" t="n">
        <v>4</v>
      </c>
      <c r="I506" s="39" t="n">
        <v>3000</v>
      </c>
      <c r="J506" s="40" t="n">
        <v>0</v>
      </c>
      <c r="K506" s="39" t="n">
        <v>12000</v>
      </c>
      <c r="L506" s="39" t="n">
        <v>7600</v>
      </c>
      <c r="M506" s="39" t="n">
        <v>4400</v>
      </c>
      <c r="N506" s="38" t="s">
        <v>66</v>
      </c>
      <c r="O506" s="38" t="n">
        <f aca="false">YEAR(B506)</f>
        <v>2024</v>
      </c>
      <c r="P506" s="41" t="n">
        <f aca="false">DATE(YEAR(B506),MONTH(B506),1)</f>
        <v>45627</v>
      </c>
      <c r="Q506" s="0" t="str">
        <f aca="false">INDEX(Products!$C$2:$C$16,MATCH(E506,Products!$A$2:$A$16,0))</f>
        <v>Technology</v>
      </c>
      <c r="R506" s="0" t="str">
        <f aca="false">INDEX(Customers!$F$2:$F$101,MATCH(D506,Customers!$A$2:$A$101,0))</f>
        <v>West</v>
      </c>
      <c r="S506" s="0" t="str">
        <f aca="false">INDEX(Customers!$C$2:$C$101,MATCH(D506,Customers!$A$2:$A$101,0))</f>
        <v>Small Business</v>
      </c>
      <c r="T506" s="0" t="str">
        <f aca="false">INDEX(Customers!$D$2:$D$101,MATCH(D506,Customers!$A$2:$A$101,0))</f>
        <v>Pune</v>
      </c>
    </row>
    <row r="507" customFormat="false" ht="15" hidden="false" customHeight="false" outlineLevel="0" collapsed="false">
      <c r="A507" s="0" t="s">
        <v>777</v>
      </c>
      <c r="B507" s="37" t="n">
        <v>45966</v>
      </c>
      <c r="C507" s="37" t="n">
        <v>45971</v>
      </c>
      <c r="D507" s="38" t="s">
        <v>260</v>
      </c>
      <c r="E507" s="38" t="s">
        <v>120</v>
      </c>
      <c r="F507" s="38" t="s">
        <v>101</v>
      </c>
      <c r="G507" s="38" t="s">
        <v>178</v>
      </c>
      <c r="H507" s="0" t="n">
        <v>8</v>
      </c>
      <c r="I507" s="39" t="n">
        <v>400</v>
      </c>
      <c r="J507" s="40" t="n">
        <v>0</v>
      </c>
      <c r="K507" s="39" t="n">
        <v>3200</v>
      </c>
      <c r="L507" s="39" t="n">
        <v>2080</v>
      </c>
      <c r="M507" s="39" t="n">
        <v>1120</v>
      </c>
      <c r="N507" s="38" t="s">
        <v>66</v>
      </c>
      <c r="O507" s="38" t="n">
        <f aca="false">YEAR(B507)</f>
        <v>2025</v>
      </c>
      <c r="P507" s="41" t="n">
        <f aca="false">DATE(YEAR(B507),MONTH(B507),1)</f>
        <v>45962</v>
      </c>
      <c r="Q507" s="0" t="str">
        <f aca="false">INDEX(Products!$C$2:$C$16,MATCH(E507,Products!$A$2:$A$16,0))</f>
        <v>Office Supplies</v>
      </c>
      <c r="R507" s="0" t="str">
        <f aca="false">INDEX(Customers!$F$2:$F$101,MATCH(D507,Customers!$A$2:$A$101,0))</f>
        <v>West</v>
      </c>
      <c r="S507" s="0" t="str">
        <f aca="false">INDEX(Customers!$C$2:$C$101,MATCH(D507,Customers!$A$2:$A$101,0))</f>
        <v>Small Business</v>
      </c>
      <c r="T507" s="0" t="str">
        <f aca="false">INDEX(Customers!$D$2:$D$101,MATCH(D507,Customers!$A$2:$A$101,0))</f>
        <v>Mumbai</v>
      </c>
    </row>
    <row r="508" customFormat="false" ht="15" hidden="false" customHeight="false" outlineLevel="0" collapsed="false">
      <c r="A508" s="0" t="s">
        <v>778</v>
      </c>
      <c r="B508" s="37" t="n">
        <v>46249</v>
      </c>
      <c r="C508" s="37" t="n">
        <v>46253</v>
      </c>
      <c r="D508" s="38" t="s">
        <v>278</v>
      </c>
      <c r="E508" s="38" t="s">
        <v>121</v>
      </c>
      <c r="F508" s="38" t="s">
        <v>102</v>
      </c>
      <c r="G508" s="38" t="s">
        <v>173</v>
      </c>
      <c r="H508" s="0" t="n">
        <v>5</v>
      </c>
      <c r="I508" s="39" t="n">
        <v>180</v>
      </c>
      <c r="J508" s="40" t="n">
        <v>0.1</v>
      </c>
      <c r="K508" s="39" t="n">
        <v>810</v>
      </c>
      <c r="L508" s="39" t="n">
        <v>350</v>
      </c>
      <c r="M508" s="39" t="n">
        <v>460</v>
      </c>
      <c r="N508" s="38" t="s">
        <v>66</v>
      </c>
      <c r="O508" s="38" t="n">
        <f aca="false">YEAR(B508)</f>
        <v>2026</v>
      </c>
      <c r="P508" s="41" t="n">
        <f aca="false">DATE(YEAR(B508),MONTH(B508),1)</f>
        <v>46235</v>
      </c>
      <c r="Q508" s="0" t="str">
        <f aca="false">INDEX(Products!$C$2:$C$16,MATCH(E508,Products!$A$2:$A$16,0))</f>
        <v>Office Supplies</v>
      </c>
      <c r="R508" s="0" t="str">
        <f aca="false">INDEX(Customers!$F$2:$F$101,MATCH(D508,Customers!$A$2:$A$101,0))</f>
        <v>South</v>
      </c>
      <c r="S508" s="0" t="str">
        <f aca="false">INDEX(Customers!$C$2:$C$101,MATCH(D508,Customers!$A$2:$A$101,0))</f>
        <v>Consumer</v>
      </c>
      <c r="T508" s="0" t="str">
        <f aca="false">INDEX(Customers!$D$2:$D$101,MATCH(D508,Customers!$A$2:$A$101,0))</f>
        <v>Hyderabad</v>
      </c>
    </row>
    <row r="509" customFormat="false" ht="15" hidden="false" customHeight="false" outlineLevel="0" collapsed="false">
      <c r="A509" s="0" t="s">
        <v>779</v>
      </c>
      <c r="B509" s="37" t="n">
        <v>46126</v>
      </c>
      <c r="C509" s="37" t="n">
        <v>46128</v>
      </c>
      <c r="D509" s="38" t="s">
        <v>246</v>
      </c>
      <c r="E509" s="38" t="s">
        <v>124</v>
      </c>
      <c r="F509" s="38" t="s">
        <v>102</v>
      </c>
      <c r="G509" s="38" t="s">
        <v>188</v>
      </c>
      <c r="H509" s="0" t="n">
        <v>1</v>
      </c>
      <c r="I509" s="39" t="n">
        <v>3000</v>
      </c>
      <c r="J509" s="40" t="n">
        <v>0.2</v>
      </c>
      <c r="K509" s="39" t="n">
        <v>2400</v>
      </c>
      <c r="L509" s="39" t="n">
        <v>1900</v>
      </c>
      <c r="M509" s="39" t="n">
        <v>500</v>
      </c>
      <c r="N509" s="38" t="s">
        <v>66</v>
      </c>
      <c r="O509" s="38" t="n">
        <f aca="false">YEAR(B509)</f>
        <v>2026</v>
      </c>
      <c r="P509" s="41" t="n">
        <f aca="false">DATE(YEAR(B509),MONTH(B509),1)</f>
        <v>46113</v>
      </c>
      <c r="Q509" s="0" t="str">
        <f aca="false">INDEX(Products!$C$2:$C$16,MATCH(E509,Products!$A$2:$A$16,0))</f>
        <v>Technology</v>
      </c>
      <c r="R509" s="0" t="str">
        <f aca="false">INDEX(Customers!$F$2:$F$101,MATCH(D509,Customers!$A$2:$A$101,0))</f>
        <v>North</v>
      </c>
      <c r="S509" s="0" t="str">
        <f aca="false">INDEX(Customers!$C$2:$C$101,MATCH(D509,Customers!$A$2:$A$101,0))</f>
        <v>Consumer</v>
      </c>
      <c r="T509" s="0" t="str">
        <f aca="false">INDEX(Customers!$D$2:$D$101,MATCH(D509,Customers!$A$2:$A$101,0))</f>
        <v>Jaipur</v>
      </c>
    </row>
    <row r="510" customFormat="false" ht="15" hidden="false" customHeight="false" outlineLevel="0" collapsed="false">
      <c r="A510" s="0" t="s">
        <v>780</v>
      </c>
      <c r="B510" s="37" t="n">
        <v>45685</v>
      </c>
      <c r="C510" s="37" t="n">
        <v>45689</v>
      </c>
      <c r="D510" s="38" t="s">
        <v>190</v>
      </c>
      <c r="E510" s="38" t="s">
        <v>127</v>
      </c>
      <c r="F510" s="38" t="s">
        <v>100</v>
      </c>
      <c r="G510" s="38" t="s">
        <v>170</v>
      </c>
      <c r="H510" s="0" t="n">
        <v>8</v>
      </c>
      <c r="I510" s="39" t="n">
        <v>18000</v>
      </c>
      <c r="J510" s="40" t="n">
        <v>0.2</v>
      </c>
      <c r="K510" s="39" t="n">
        <v>115200</v>
      </c>
      <c r="L510" s="39" t="n">
        <v>112000</v>
      </c>
      <c r="M510" s="39" t="n">
        <v>3200</v>
      </c>
      <c r="N510" s="38" t="s">
        <v>66</v>
      </c>
      <c r="O510" s="38" t="n">
        <f aca="false">YEAR(B510)</f>
        <v>2025</v>
      </c>
      <c r="P510" s="41" t="n">
        <f aca="false">DATE(YEAR(B510),MONTH(B510),1)</f>
        <v>45658</v>
      </c>
      <c r="Q510" s="0" t="str">
        <f aca="false">INDEX(Products!$C$2:$C$16,MATCH(E510,Products!$A$2:$A$16,0))</f>
        <v>Technology</v>
      </c>
      <c r="R510" s="0" t="str">
        <f aca="false">INDEX(Customers!$F$2:$F$101,MATCH(D510,Customers!$A$2:$A$101,0))</f>
        <v>East</v>
      </c>
      <c r="S510" s="0" t="str">
        <f aca="false">INDEX(Customers!$C$2:$C$101,MATCH(D510,Customers!$A$2:$A$101,0))</f>
        <v>Corporate</v>
      </c>
      <c r="T510" s="0" t="str">
        <f aca="false">INDEX(Customers!$D$2:$D$101,MATCH(D510,Customers!$A$2:$A$101,0))</f>
        <v>Kolkata</v>
      </c>
    </row>
    <row r="511" customFormat="false" ht="15" hidden="false" customHeight="false" outlineLevel="0" collapsed="false">
      <c r="A511" s="0" t="s">
        <v>781</v>
      </c>
      <c r="B511" s="37" t="n">
        <v>45755</v>
      </c>
      <c r="C511" s="37" t="n">
        <v>45762</v>
      </c>
      <c r="D511" s="38" t="s">
        <v>206</v>
      </c>
      <c r="E511" s="38" t="s">
        <v>117</v>
      </c>
      <c r="F511" s="38" t="s">
        <v>102</v>
      </c>
      <c r="G511" s="38" t="s">
        <v>188</v>
      </c>
      <c r="H511" s="0" t="n">
        <v>1</v>
      </c>
      <c r="I511" s="39" t="n">
        <v>6500</v>
      </c>
      <c r="J511" s="40" t="n">
        <v>0.1</v>
      </c>
      <c r="K511" s="39" t="n">
        <v>5850</v>
      </c>
      <c r="L511" s="39" t="n">
        <v>4200</v>
      </c>
      <c r="M511" s="39" t="n">
        <v>1650</v>
      </c>
      <c r="N511" s="38" t="s">
        <v>66</v>
      </c>
      <c r="O511" s="38" t="n">
        <f aca="false">YEAR(B511)</f>
        <v>2025</v>
      </c>
      <c r="P511" s="41" t="n">
        <f aca="false">DATE(YEAR(B511),MONTH(B511),1)</f>
        <v>45748</v>
      </c>
      <c r="Q511" s="0" t="str">
        <f aca="false">INDEX(Products!$C$2:$C$16,MATCH(E511,Products!$A$2:$A$16,0))</f>
        <v>Furniture</v>
      </c>
      <c r="R511" s="0" t="str">
        <f aca="false">INDEX(Customers!$F$2:$F$101,MATCH(D511,Customers!$A$2:$A$101,0))</f>
        <v>West</v>
      </c>
      <c r="S511" s="0" t="str">
        <f aca="false">INDEX(Customers!$C$2:$C$101,MATCH(D511,Customers!$A$2:$A$101,0))</f>
        <v>Corporate</v>
      </c>
      <c r="T511" s="0" t="str">
        <f aca="false">INDEX(Customers!$D$2:$D$101,MATCH(D511,Customers!$A$2:$A$101,0))</f>
        <v>Pune</v>
      </c>
    </row>
    <row r="512" customFormat="false" ht="15" hidden="false" customHeight="false" outlineLevel="0" collapsed="false">
      <c r="A512" s="0" t="s">
        <v>782</v>
      </c>
      <c r="B512" s="37" t="n">
        <v>46173</v>
      </c>
      <c r="C512" s="37" t="n">
        <v>46176</v>
      </c>
      <c r="D512" s="38" t="s">
        <v>184</v>
      </c>
      <c r="E512" s="38" t="s">
        <v>121</v>
      </c>
      <c r="F512" s="38" t="s">
        <v>102</v>
      </c>
      <c r="G512" s="38" t="s">
        <v>173</v>
      </c>
      <c r="H512" s="0" t="n">
        <v>4</v>
      </c>
      <c r="I512" s="39" t="n">
        <v>180</v>
      </c>
      <c r="J512" s="40" t="n">
        <v>0.15</v>
      </c>
      <c r="K512" s="39" t="n">
        <v>612</v>
      </c>
      <c r="L512" s="39" t="n">
        <v>280</v>
      </c>
      <c r="M512" s="39" t="n">
        <v>332</v>
      </c>
      <c r="N512" s="38" t="s">
        <v>66</v>
      </c>
      <c r="O512" s="38" t="n">
        <f aca="false">YEAR(B512)</f>
        <v>2026</v>
      </c>
      <c r="P512" s="41" t="n">
        <f aca="false">DATE(YEAR(B512),MONTH(B512),1)</f>
        <v>46143</v>
      </c>
      <c r="Q512" s="0" t="str">
        <f aca="false">INDEX(Products!$C$2:$C$16,MATCH(E512,Products!$A$2:$A$16,0))</f>
        <v>Office Supplies</v>
      </c>
      <c r="R512" s="0" t="str">
        <f aca="false">INDEX(Customers!$F$2:$F$101,MATCH(D512,Customers!$A$2:$A$101,0))</f>
        <v>West</v>
      </c>
      <c r="S512" s="0" t="str">
        <f aca="false">INDEX(Customers!$C$2:$C$101,MATCH(D512,Customers!$A$2:$A$101,0))</f>
        <v>Consumer</v>
      </c>
      <c r="T512" s="0" t="str">
        <f aca="false">INDEX(Customers!$D$2:$D$101,MATCH(D512,Customers!$A$2:$A$101,0))</f>
        <v>Ahmedabad</v>
      </c>
    </row>
    <row r="513" customFormat="false" ht="15" hidden="false" customHeight="false" outlineLevel="0" collapsed="false">
      <c r="A513" s="0" t="s">
        <v>783</v>
      </c>
      <c r="B513" s="37" t="n">
        <v>45589</v>
      </c>
      <c r="C513" s="37" t="n">
        <v>45595</v>
      </c>
      <c r="D513" s="38" t="s">
        <v>305</v>
      </c>
      <c r="E513" s="38" t="s">
        <v>124</v>
      </c>
      <c r="F513" s="38" t="s">
        <v>100</v>
      </c>
      <c r="G513" s="38" t="s">
        <v>173</v>
      </c>
      <c r="H513" s="0" t="n">
        <v>2</v>
      </c>
      <c r="I513" s="39" t="n">
        <v>3000</v>
      </c>
      <c r="J513" s="40" t="n">
        <v>0.2</v>
      </c>
      <c r="K513" s="39" t="n">
        <v>4800</v>
      </c>
      <c r="L513" s="39" t="n">
        <v>3800</v>
      </c>
      <c r="M513" s="39" t="n">
        <v>1000</v>
      </c>
      <c r="N513" s="38" t="s">
        <v>66</v>
      </c>
      <c r="O513" s="38" t="n">
        <f aca="false">YEAR(B513)</f>
        <v>2024</v>
      </c>
      <c r="P513" s="41" t="n">
        <f aca="false">DATE(YEAR(B513),MONTH(B513),1)</f>
        <v>45566</v>
      </c>
      <c r="Q513" s="0" t="str">
        <f aca="false">INDEX(Products!$C$2:$C$16,MATCH(E513,Products!$A$2:$A$16,0))</f>
        <v>Technology</v>
      </c>
      <c r="R513" s="0" t="str">
        <f aca="false">INDEX(Customers!$F$2:$F$101,MATCH(D513,Customers!$A$2:$A$101,0))</f>
        <v>South</v>
      </c>
      <c r="S513" s="0" t="str">
        <f aca="false">INDEX(Customers!$C$2:$C$101,MATCH(D513,Customers!$A$2:$A$101,0))</f>
        <v>Consumer</v>
      </c>
      <c r="T513" s="0" t="str">
        <f aca="false">INDEX(Customers!$D$2:$D$101,MATCH(D513,Customers!$A$2:$A$101,0))</f>
        <v>Chennai</v>
      </c>
    </row>
    <row r="514" customFormat="false" ht="15" hidden="false" customHeight="false" outlineLevel="0" collapsed="false">
      <c r="A514" s="0" t="s">
        <v>784</v>
      </c>
      <c r="B514" s="37" t="n">
        <v>45622</v>
      </c>
      <c r="C514" s="37" t="n">
        <v>45628</v>
      </c>
      <c r="D514" s="38" t="s">
        <v>182</v>
      </c>
      <c r="E514" s="38" t="s">
        <v>123</v>
      </c>
      <c r="F514" s="38" t="s">
        <v>102</v>
      </c>
      <c r="G514" s="38" t="s">
        <v>185</v>
      </c>
      <c r="H514" s="0" t="n">
        <v>1</v>
      </c>
      <c r="I514" s="39" t="n">
        <v>2200</v>
      </c>
      <c r="J514" s="40" t="n">
        <v>0.05</v>
      </c>
      <c r="K514" s="39" t="n">
        <v>2090</v>
      </c>
      <c r="L514" s="39" t="n">
        <v>1300</v>
      </c>
      <c r="M514" s="39" t="n">
        <v>790</v>
      </c>
      <c r="N514" s="38" t="s">
        <v>66</v>
      </c>
      <c r="O514" s="38" t="n">
        <f aca="false">YEAR(B514)</f>
        <v>2024</v>
      </c>
      <c r="P514" s="41" t="n">
        <f aca="false">DATE(YEAR(B514),MONTH(B514),1)</f>
        <v>45597</v>
      </c>
      <c r="Q514" s="0" t="str">
        <f aca="false">INDEX(Products!$C$2:$C$16,MATCH(E514,Products!$A$2:$A$16,0))</f>
        <v>Technology</v>
      </c>
      <c r="R514" s="0" t="str">
        <f aca="false">INDEX(Customers!$F$2:$F$101,MATCH(D514,Customers!$A$2:$A$101,0))</f>
        <v>North</v>
      </c>
      <c r="S514" s="0" t="str">
        <f aca="false">INDEX(Customers!$C$2:$C$101,MATCH(D514,Customers!$A$2:$A$101,0))</f>
        <v>Small Business</v>
      </c>
      <c r="T514" s="0" t="str">
        <f aca="false">INDEX(Customers!$D$2:$D$101,MATCH(D514,Customers!$A$2:$A$101,0))</f>
        <v>Gurugram</v>
      </c>
    </row>
    <row r="515" customFormat="false" ht="15" hidden="false" customHeight="false" outlineLevel="0" collapsed="false">
      <c r="A515" s="0" t="s">
        <v>785</v>
      </c>
      <c r="B515" s="37" t="n">
        <v>45719</v>
      </c>
      <c r="C515" s="37" t="n">
        <v>45725</v>
      </c>
      <c r="D515" s="38" t="s">
        <v>232</v>
      </c>
      <c r="E515" s="38" t="s">
        <v>124</v>
      </c>
      <c r="F515" s="38" t="s">
        <v>102</v>
      </c>
      <c r="G515" s="38" t="s">
        <v>170</v>
      </c>
      <c r="H515" s="0" t="n">
        <v>4</v>
      </c>
      <c r="I515" s="39" t="n">
        <v>3000</v>
      </c>
      <c r="J515" s="40" t="n">
        <v>0.25</v>
      </c>
      <c r="K515" s="39" t="n">
        <v>9000</v>
      </c>
      <c r="L515" s="39" t="n">
        <v>7600</v>
      </c>
      <c r="M515" s="39" t="n">
        <v>1400</v>
      </c>
      <c r="N515" s="38" t="s">
        <v>66</v>
      </c>
      <c r="O515" s="38" t="n">
        <f aca="false">YEAR(B515)</f>
        <v>2025</v>
      </c>
      <c r="P515" s="41" t="n">
        <f aca="false">DATE(YEAR(B515),MONTH(B515),1)</f>
        <v>45717</v>
      </c>
      <c r="Q515" s="0" t="str">
        <f aca="false">INDEX(Products!$C$2:$C$16,MATCH(E515,Products!$A$2:$A$16,0))</f>
        <v>Technology</v>
      </c>
      <c r="R515" s="0" t="str">
        <f aca="false">INDEX(Customers!$F$2:$F$101,MATCH(D515,Customers!$A$2:$A$101,0))</f>
        <v>West</v>
      </c>
      <c r="S515" s="0" t="str">
        <f aca="false">INDEX(Customers!$C$2:$C$101,MATCH(D515,Customers!$A$2:$A$101,0))</f>
        <v>Consumer</v>
      </c>
      <c r="T515" s="0" t="str">
        <f aca="false">INDEX(Customers!$D$2:$D$101,MATCH(D515,Customers!$A$2:$A$101,0))</f>
        <v>Ahmedabad</v>
      </c>
    </row>
    <row r="516" customFormat="false" ht="15" hidden="false" customHeight="false" outlineLevel="0" collapsed="false">
      <c r="A516" s="0" t="s">
        <v>786</v>
      </c>
      <c r="B516" s="37" t="n">
        <v>45305</v>
      </c>
      <c r="C516" s="37" t="n">
        <v>45310</v>
      </c>
      <c r="D516" s="38" t="s">
        <v>367</v>
      </c>
      <c r="E516" s="38" t="s">
        <v>125</v>
      </c>
      <c r="F516" s="38" t="s">
        <v>100</v>
      </c>
      <c r="G516" s="38" t="s">
        <v>178</v>
      </c>
      <c r="H516" s="0" t="n">
        <v>1</v>
      </c>
      <c r="I516" s="39" t="n">
        <v>600</v>
      </c>
      <c r="J516" s="40" t="n">
        <v>0.1</v>
      </c>
      <c r="K516" s="39" t="n">
        <v>540</v>
      </c>
      <c r="L516" s="39" t="n">
        <v>350</v>
      </c>
      <c r="M516" s="39" t="n">
        <v>190</v>
      </c>
      <c r="N516" s="38" t="s">
        <v>66</v>
      </c>
      <c r="O516" s="38" t="n">
        <f aca="false">YEAR(B516)</f>
        <v>2024</v>
      </c>
      <c r="P516" s="41" t="n">
        <f aca="false">DATE(YEAR(B516),MONTH(B516),1)</f>
        <v>45292</v>
      </c>
      <c r="Q516" s="0" t="str">
        <f aca="false">INDEX(Products!$C$2:$C$16,MATCH(E516,Products!$A$2:$A$16,0))</f>
        <v>Office Supplies</v>
      </c>
      <c r="R516" s="0" t="str">
        <f aca="false">INDEX(Customers!$F$2:$F$101,MATCH(D516,Customers!$A$2:$A$101,0))</f>
        <v>West</v>
      </c>
      <c r="S516" s="0" t="str">
        <f aca="false">INDEX(Customers!$C$2:$C$101,MATCH(D516,Customers!$A$2:$A$101,0))</f>
        <v>Corporate</v>
      </c>
      <c r="T516" s="0" t="str">
        <f aca="false">INDEX(Customers!$D$2:$D$101,MATCH(D516,Customers!$A$2:$A$101,0))</f>
        <v>Ahmedabad</v>
      </c>
    </row>
    <row r="517" customFormat="false" ht="15" hidden="false" customHeight="false" outlineLevel="0" collapsed="false">
      <c r="A517" s="0" t="s">
        <v>787</v>
      </c>
      <c r="B517" s="37" t="n">
        <v>46060</v>
      </c>
      <c r="C517" s="37" t="n">
        <v>46067</v>
      </c>
      <c r="D517" s="38" t="s">
        <v>177</v>
      </c>
      <c r="E517" s="38" t="s">
        <v>117</v>
      </c>
      <c r="F517" s="38" t="s">
        <v>102</v>
      </c>
      <c r="G517" s="38" t="s">
        <v>170</v>
      </c>
      <c r="H517" s="0" t="n">
        <v>1</v>
      </c>
      <c r="I517" s="39" t="n">
        <v>6500</v>
      </c>
      <c r="J517" s="40" t="n">
        <v>0.05</v>
      </c>
      <c r="K517" s="39" t="n">
        <v>6175</v>
      </c>
      <c r="L517" s="39" t="n">
        <v>4200</v>
      </c>
      <c r="M517" s="39" t="n">
        <v>1975</v>
      </c>
      <c r="N517" s="38" t="s">
        <v>66</v>
      </c>
      <c r="O517" s="38" t="n">
        <f aca="false">YEAR(B517)</f>
        <v>2026</v>
      </c>
      <c r="P517" s="41" t="n">
        <f aca="false">DATE(YEAR(B517),MONTH(B517),1)</f>
        <v>46054</v>
      </c>
      <c r="Q517" s="0" t="str">
        <f aca="false">INDEX(Products!$C$2:$C$16,MATCH(E517,Products!$A$2:$A$16,0))</f>
        <v>Furniture</v>
      </c>
      <c r="R517" s="0" t="str">
        <f aca="false">INDEX(Customers!$F$2:$F$101,MATCH(D517,Customers!$A$2:$A$101,0))</f>
        <v>North</v>
      </c>
      <c r="S517" s="0" t="str">
        <f aca="false">INDEX(Customers!$C$2:$C$101,MATCH(D517,Customers!$A$2:$A$101,0))</f>
        <v>Consumer</v>
      </c>
      <c r="T517" s="0" t="str">
        <f aca="false">INDEX(Customers!$D$2:$D$101,MATCH(D517,Customers!$A$2:$A$101,0))</f>
        <v>Gurugram</v>
      </c>
    </row>
    <row r="518" customFormat="false" ht="15" hidden="false" customHeight="false" outlineLevel="0" collapsed="false">
      <c r="A518" s="0" t="s">
        <v>788</v>
      </c>
      <c r="B518" s="37" t="n">
        <v>46095</v>
      </c>
      <c r="C518" s="37" t="n">
        <v>46098</v>
      </c>
      <c r="D518" s="38" t="s">
        <v>454</v>
      </c>
      <c r="E518" s="38" t="s">
        <v>124</v>
      </c>
      <c r="F518" s="38" t="s">
        <v>100</v>
      </c>
      <c r="G518" s="38" t="s">
        <v>170</v>
      </c>
      <c r="H518" s="0" t="n">
        <v>1</v>
      </c>
      <c r="I518" s="39" t="n">
        <v>3000</v>
      </c>
      <c r="J518" s="40" t="n">
        <v>0.15</v>
      </c>
      <c r="K518" s="39" t="n">
        <v>2550</v>
      </c>
      <c r="L518" s="39" t="n">
        <v>1900</v>
      </c>
      <c r="M518" s="39" t="n">
        <v>650</v>
      </c>
      <c r="N518" s="38" t="s">
        <v>66</v>
      </c>
      <c r="O518" s="38" t="n">
        <f aca="false">YEAR(B518)</f>
        <v>2026</v>
      </c>
      <c r="P518" s="41" t="n">
        <f aca="false">DATE(YEAR(B518),MONTH(B518),1)</f>
        <v>46082</v>
      </c>
      <c r="Q518" s="0" t="str">
        <f aca="false">INDEX(Products!$C$2:$C$16,MATCH(E518,Products!$A$2:$A$16,0))</f>
        <v>Technology</v>
      </c>
      <c r="R518" s="0" t="str">
        <f aca="false">INDEX(Customers!$F$2:$F$101,MATCH(D518,Customers!$A$2:$A$101,0))</f>
        <v>West</v>
      </c>
      <c r="S518" s="0" t="str">
        <f aca="false">INDEX(Customers!$C$2:$C$101,MATCH(D518,Customers!$A$2:$A$101,0))</f>
        <v>Consumer</v>
      </c>
      <c r="T518" s="0" t="str">
        <f aca="false">INDEX(Customers!$D$2:$D$101,MATCH(D518,Customers!$A$2:$A$101,0))</f>
        <v>Pune</v>
      </c>
    </row>
    <row r="519" customFormat="false" ht="15" hidden="false" customHeight="false" outlineLevel="0" collapsed="false">
      <c r="A519" s="0" t="s">
        <v>789</v>
      </c>
      <c r="B519" s="37" t="n">
        <v>46180</v>
      </c>
      <c r="C519" s="37" t="n">
        <v>46186</v>
      </c>
      <c r="D519" s="38" t="s">
        <v>343</v>
      </c>
      <c r="E519" s="38" t="s">
        <v>122</v>
      </c>
      <c r="F519" s="38" t="s">
        <v>100</v>
      </c>
      <c r="G519" s="38" t="s">
        <v>188</v>
      </c>
      <c r="H519" s="0" t="n">
        <v>4</v>
      </c>
      <c r="I519" s="39" t="n">
        <v>5500</v>
      </c>
      <c r="J519" s="40" t="n">
        <v>0.25</v>
      </c>
      <c r="K519" s="39" t="n">
        <v>16500</v>
      </c>
      <c r="L519" s="39" t="n">
        <v>14800</v>
      </c>
      <c r="M519" s="39" t="n">
        <v>1700</v>
      </c>
      <c r="N519" s="38" t="s">
        <v>66</v>
      </c>
      <c r="O519" s="38" t="n">
        <f aca="false">YEAR(B519)</f>
        <v>2026</v>
      </c>
      <c r="P519" s="41" t="n">
        <f aca="false">DATE(YEAR(B519),MONTH(B519),1)</f>
        <v>46174</v>
      </c>
      <c r="Q519" s="0" t="str">
        <f aca="false">INDEX(Products!$C$2:$C$16,MATCH(E519,Products!$A$2:$A$16,0))</f>
        <v>Furniture</v>
      </c>
      <c r="R519" s="0" t="str">
        <f aca="false">INDEX(Customers!$F$2:$F$101,MATCH(D519,Customers!$A$2:$A$101,0))</f>
        <v>West</v>
      </c>
      <c r="S519" s="0" t="str">
        <f aca="false">INDEX(Customers!$C$2:$C$101,MATCH(D519,Customers!$A$2:$A$101,0))</f>
        <v>Consumer</v>
      </c>
      <c r="T519" s="0" t="str">
        <f aca="false">INDEX(Customers!$D$2:$D$101,MATCH(D519,Customers!$A$2:$A$101,0))</f>
        <v>Mumbai</v>
      </c>
    </row>
    <row r="520" customFormat="false" ht="15" hidden="false" customHeight="false" outlineLevel="0" collapsed="false">
      <c r="A520" s="0" t="s">
        <v>790</v>
      </c>
      <c r="B520" s="37" t="n">
        <v>46107</v>
      </c>
      <c r="C520" s="37" t="n">
        <v>46114</v>
      </c>
      <c r="D520" s="38" t="s">
        <v>447</v>
      </c>
      <c r="E520" s="38" t="s">
        <v>125</v>
      </c>
      <c r="F520" s="38" t="s">
        <v>102</v>
      </c>
      <c r="G520" s="38" t="s">
        <v>178</v>
      </c>
      <c r="H520" s="0" t="n">
        <v>3</v>
      </c>
      <c r="I520" s="39" t="n">
        <v>600</v>
      </c>
      <c r="J520" s="40" t="n">
        <v>0.2</v>
      </c>
      <c r="K520" s="39" t="n">
        <v>1440</v>
      </c>
      <c r="L520" s="39" t="n">
        <v>1050</v>
      </c>
      <c r="M520" s="39" t="n">
        <v>390</v>
      </c>
      <c r="N520" s="38" t="s">
        <v>146</v>
      </c>
      <c r="O520" s="38" t="n">
        <f aca="false">YEAR(B520)</f>
        <v>2026</v>
      </c>
      <c r="P520" s="41" t="n">
        <f aca="false">DATE(YEAR(B520),MONTH(B520),1)</f>
        <v>46082</v>
      </c>
      <c r="Q520" s="0" t="str">
        <f aca="false">INDEX(Products!$C$2:$C$16,MATCH(E520,Products!$A$2:$A$16,0))</f>
        <v>Office Supplies</v>
      </c>
      <c r="R520" s="0" t="str">
        <f aca="false">INDEX(Customers!$F$2:$F$101,MATCH(D520,Customers!$A$2:$A$101,0))</f>
        <v>North</v>
      </c>
      <c r="S520" s="0" t="str">
        <f aca="false">INDEX(Customers!$C$2:$C$101,MATCH(D520,Customers!$A$2:$A$101,0))</f>
        <v>Corporate</v>
      </c>
      <c r="T520" s="0" t="str">
        <f aca="false">INDEX(Customers!$D$2:$D$101,MATCH(D520,Customers!$A$2:$A$101,0))</f>
        <v>Jaipur</v>
      </c>
    </row>
    <row r="521" customFormat="false" ht="15" hidden="false" customHeight="false" outlineLevel="0" collapsed="false">
      <c r="A521" s="0" t="s">
        <v>791</v>
      </c>
      <c r="B521" s="37" t="n">
        <v>46271</v>
      </c>
      <c r="C521" s="37" t="n">
        <v>46278</v>
      </c>
      <c r="D521" s="38" t="s">
        <v>473</v>
      </c>
      <c r="E521" s="38" t="s">
        <v>119</v>
      </c>
      <c r="F521" s="38" t="s">
        <v>102</v>
      </c>
      <c r="G521" s="38" t="s">
        <v>178</v>
      </c>
      <c r="H521" s="0" t="n">
        <v>8</v>
      </c>
      <c r="I521" s="39" t="n">
        <v>250</v>
      </c>
      <c r="J521" s="40" t="n">
        <v>0.05</v>
      </c>
      <c r="K521" s="39" t="n">
        <v>1900</v>
      </c>
      <c r="L521" s="39" t="n">
        <v>960</v>
      </c>
      <c r="M521" s="39" t="n">
        <v>940</v>
      </c>
      <c r="N521" s="38" t="s">
        <v>66</v>
      </c>
      <c r="O521" s="38" t="n">
        <f aca="false">YEAR(B521)</f>
        <v>2026</v>
      </c>
      <c r="P521" s="41" t="n">
        <f aca="false">DATE(YEAR(B521),MONTH(B521),1)</f>
        <v>46266</v>
      </c>
      <c r="Q521" s="0" t="str">
        <f aca="false">INDEX(Products!$C$2:$C$16,MATCH(E521,Products!$A$2:$A$16,0))</f>
        <v>Office Supplies</v>
      </c>
      <c r="R521" s="0" t="str">
        <f aca="false">INDEX(Customers!$F$2:$F$101,MATCH(D521,Customers!$A$2:$A$101,0))</f>
        <v>North</v>
      </c>
      <c r="S521" s="0" t="str">
        <f aca="false">INDEX(Customers!$C$2:$C$101,MATCH(D521,Customers!$A$2:$A$101,0))</f>
        <v>Consumer</v>
      </c>
      <c r="T521" s="0" t="str">
        <f aca="false">INDEX(Customers!$D$2:$D$101,MATCH(D521,Customers!$A$2:$A$101,0))</f>
        <v>Gurugram</v>
      </c>
    </row>
    <row r="522" customFormat="false" ht="15" hidden="false" customHeight="false" outlineLevel="0" collapsed="false">
      <c r="A522" s="0" t="s">
        <v>792</v>
      </c>
      <c r="B522" s="37" t="n">
        <v>45927</v>
      </c>
      <c r="C522" s="37" t="n">
        <v>45934</v>
      </c>
      <c r="D522" s="38" t="s">
        <v>793</v>
      </c>
      <c r="E522" s="38" t="s">
        <v>116</v>
      </c>
      <c r="F522" s="38" t="s">
        <v>101</v>
      </c>
      <c r="G522" s="38" t="s">
        <v>173</v>
      </c>
      <c r="H522" s="0" t="n">
        <v>4</v>
      </c>
      <c r="I522" s="39" t="n">
        <v>12000</v>
      </c>
      <c r="J522" s="40" t="n">
        <v>0.25</v>
      </c>
      <c r="K522" s="39" t="n">
        <v>36000</v>
      </c>
      <c r="L522" s="39" t="n">
        <v>36000</v>
      </c>
      <c r="M522" s="39" t="n">
        <v>0</v>
      </c>
      <c r="N522" s="38" t="s">
        <v>146</v>
      </c>
      <c r="O522" s="38" t="n">
        <f aca="false">YEAR(B522)</f>
        <v>2025</v>
      </c>
      <c r="P522" s="41" t="n">
        <f aca="false">DATE(YEAR(B522),MONTH(B522),1)</f>
        <v>45901</v>
      </c>
      <c r="Q522" s="0" t="str">
        <f aca="false">INDEX(Products!$C$2:$C$16,MATCH(E522,Products!$A$2:$A$16,0))</f>
        <v>Technology</v>
      </c>
      <c r="R522" s="0" t="str">
        <f aca="false">INDEX(Customers!$F$2:$F$101,MATCH(D522,Customers!$A$2:$A$101,0))</f>
        <v>North</v>
      </c>
      <c r="S522" s="0" t="str">
        <f aca="false">INDEX(Customers!$C$2:$C$101,MATCH(D522,Customers!$A$2:$A$101,0))</f>
        <v>Small Business</v>
      </c>
      <c r="T522" s="0" t="str">
        <f aca="false">INDEX(Customers!$D$2:$D$101,MATCH(D522,Customers!$A$2:$A$101,0))</f>
        <v>Jaipur</v>
      </c>
    </row>
    <row r="523" customFormat="false" ht="15" hidden="false" customHeight="false" outlineLevel="0" collapsed="false">
      <c r="A523" s="0" t="s">
        <v>794</v>
      </c>
      <c r="B523" s="37" t="n">
        <v>45955</v>
      </c>
      <c r="C523" s="37" t="n">
        <v>45958</v>
      </c>
      <c r="D523" s="38" t="s">
        <v>397</v>
      </c>
      <c r="E523" s="38" t="s">
        <v>124</v>
      </c>
      <c r="F523" s="38" t="s">
        <v>102</v>
      </c>
      <c r="G523" s="38" t="s">
        <v>188</v>
      </c>
      <c r="H523" s="0" t="n">
        <v>4</v>
      </c>
      <c r="I523" s="39" t="n">
        <v>3000</v>
      </c>
      <c r="J523" s="40" t="n">
        <v>0.15</v>
      </c>
      <c r="K523" s="39" t="n">
        <v>10200</v>
      </c>
      <c r="L523" s="39" t="n">
        <v>7600</v>
      </c>
      <c r="M523" s="39" t="n">
        <v>2600</v>
      </c>
      <c r="N523" s="38" t="s">
        <v>66</v>
      </c>
      <c r="O523" s="38" t="n">
        <f aca="false">YEAR(B523)</f>
        <v>2025</v>
      </c>
      <c r="P523" s="41" t="n">
        <f aca="false">DATE(YEAR(B523),MONTH(B523),1)</f>
        <v>45931</v>
      </c>
      <c r="Q523" s="0" t="str">
        <f aca="false">INDEX(Products!$C$2:$C$16,MATCH(E523,Products!$A$2:$A$16,0))</f>
        <v>Technology</v>
      </c>
      <c r="R523" s="0" t="str">
        <f aca="false">INDEX(Customers!$F$2:$F$101,MATCH(D523,Customers!$A$2:$A$101,0))</f>
        <v>West</v>
      </c>
      <c r="S523" s="0" t="str">
        <f aca="false">INDEX(Customers!$C$2:$C$101,MATCH(D523,Customers!$A$2:$A$101,0))</f>
        <v>Consumer</v>
      </c>
      <c r="T523" s="0" t="str">
        <f aca="false">INDEX(Customers!$D$2:$D$101,MATCH(D523,Customers!$A$2:$A$101,0))</f>
        <v>Mumbai</v>
      </c>
    </row>
    <row r="524" customFormat="false" ht="15" hidden="false" customHeight="false" outlineLevel="0" collapsed="false">
      <c r="A524" s="0" t="s">
        <v>795</v>
      </c>
      <c r="B524" s="37" t="n">
        <v>45593</v>
      </c>
      <c r="C524" s="37" t="n">
        <v>45597</v>
      </c>
      <c r="D524" s="38" t="s">
        <v>316</v>
      </c>
      <c r="E524" s="38" t="s">
        <v>116</v>
      </c>
      <c r="F524" s="38" t="s">
        <v>100</v>
      </c>
      <c r="G524" s="38" t="s">
        <v>173</v>
      </c>
      <c r="H524" s="0" t="n">
        <v>1</v>
      </c>
      <c r="I524" s="39" t="n">
        <v>12000</v>
      </c>
      <c r="J524" s="40" t="n">
        <v>0.2</v>
      </c>
      <c r="K524" s="39" t="n">
        <v>9600</v>
      </c>
      <c r="L524" s="39" t="n">
        <v>9000</v>
      </c>
      <c r="M524" s="39" t="n">
        <v>600</v>
      </c>
      <c r="N524" s="38" t="s">
        <v>146</v>
      </c>
      <c r="O524" s="38" t="n">
        <f aca="false">YEAR(B524)</f>
        <v>2024</v>
      </c>
      <c r="P524" s="41" t="n">
        <f aca="false">DATE(YEAR(B524),MONTH(B524),1)</f>
        <v>45566</v>
      </c>
      <c r="Q524" s="0" t="str">
        <f aca="false">INDEX(Products!$C$2:$C$16,MATCH(E524,Products!$A$2:$A$16,0))</f>
        <v>Technology</v>
      </c>
      <c r="R524" s="0" t="str">
        <f aca="false">INDEX(Customers!$F$2:$F$101,MATCH(D524,Customers!$A$2:$A$101,0))</f>
        <v>West</v>
      </c>
      <c r="S524" s="0" t="str">
        <f aca="false">INDEX(Customers!$C$2:$C$101,MATCH(D524,Customers!$A$2:$A$101,0))</f>
        <v>Corporate</v>
      </c>
      <c r="T524" s="0" t="str">
        <f aca="false">INDEX(Customers!$D$2:$D$101,MATCH(D524,Customers!$A$2:$A$101,0))</f>
        <v>Ahmedabad</v>
      </c>
    </row>
    <row r="525" customFormat="false" ht="15" hidden="false" customHeight="false" outlineLevel="0" collapsed="false">
      <c r="A525" s="0" t="s">
        <v>796</v>
      </c>
      <c r="B525" s="37" t="n">
        <v>45414</v>
      </c>
      <c r="C525" s="37" t="n">
        <v>45418</v>
      </c>
      <c r="D525" s="38" t="s">
        <v>341</v>
      </c>
      <c r="E525" s="38" t="s">
        <v>121</v>
      </c>
      <c r="F525" s="38" t="s">
        <v>102</v>
      </c>
      <c r="G525" s="38" t="s">
        <v>170</v>
      </c>
      <c r="H525" s="0" t="n">
        <v>1</v>
      </c>
      <c r="I525" s="39" t="n">
        <v>180</v>
      </c>
      <c r="J525" s="40" t="n">
        <v>0.05</v>
      </c>
      <c r="K525" s="39" t="n">
        <v>171</v>
      </c>
      <c r="L525" s="39" t="n">
        <v>70</v>
      </c>
      <c r="M525" s="39" t="n">
        <v>101</v>
      </c>
      <c r="N525" s="38" t="s">
        <v>66</v>
      </c>
      <c r="O525" s="38" t="n">
        <f aca="false">YEAR(B525)</f>
        <v>2024</v>
      </c>
      <c r="P525" s="41" t="n">
        <f aca="false">DATE(YEAR(B525),MONTH(B525),1)</f>
        <v>45413</v>
      </c>
      <c r="Q525" s="0" t="str">
        <f aca="false">INDEX(Products!$C$2:$C$16,MATCH(E525,Products!$A$2:$A$16,0))</f>
        <v>Office Supplies</v>
      </c>
      <c r="R525" s="0" t="str">
        <f aca="false">INDEX(Customers!$F$2:$F$101,MATCH(D525,Customers!$A$2:$A$101,0))</f>
        <v>North</v>
      </c>
      <c r="S525" s="0" t="str">
        <f aca="false">INDEX(Customers!$C$2:$C$101,MATCH(D525,Customers!$A$2:$A$101,0))</f>
        <v>Corporate</v>
      </c>
      <c r="T525" s="0" t="str">
        <f aca="false">INDEX(Customers!$D$2:$D$101,MATCH(D525,Customers!$A$2:$A$101,0))</f>
        <v>Delhi</v>
      </c>
    </row>
    <row r="526" customFormat="false" ht="15" hidden="false" customHeight="false" outlineLevel="0" collapsed="false">
      <c r="A526" s="0" t="s">
        <v>797</v>
      </c>
      <c r="B526" s="37" t="n">
        <v>45553</v>
      </c>
      <c r="C526" s="37" t="n">
        <v>45554</v>
      </c>
      <c r="D526" s="38" t="s">
        <v>200</v>
      </c>
      <c r="E526" s="38" t="s">
        <v>126</v>
      </c>
      <c r="F526" s="38" t="s">
        <v>100</v>
      </c>
      <c r="G526" s="38" t="s">
        <v>178</v>
      </c>
      <c r="H526" s="0" t="n">
        <v>2</v>
      </c>
      <c r="I526" s="39" t="n">
        <v>1200</v>
      </c>
      <c r="J526" s="40" t="n">
        <v>0.2</v>
      </c>
      <c r="K526" s="39" t="n">
        <v>1920</v>
      </c>
      <c r="L526" s="39" t="n">
        <v>1400</v>
      </c>
      <c r="M526" s="39" t="n">
        <v>520</v>
      </c>
      <c r="N526" s="38" t="s">
        <v>66</v>
      </c>
      <c r="O526" s="38" t="n">
        <f aca="false">YEAR(B526)</f>
        <v>2024</v>
      </c>
      <c r="P526" s="41" t="n">
        <f aca="false">DATE(YEAR(B526),MONTH(B526),1)</f>
        <v>45536</v>
      </c>
      <c r="Q526" s="0" t="str">
        <f aca="false">INDEX(Products!$C$2:$C$16,MATCH(E526,Products!$A$2:$A$16,0))</f>
        <v>Furniture</v>
      </c>
      <c r="R526" s="0" t="str">
        <f aca="false">INDEX(Customers!$F$2:$F$101,MATCH(D526,Customers!$A$2:$A$101,0))</f>
        <v>West</v>
      </c>
      <c r="S526" s="0" t="str">
        <f aca="false">INDEX(Customers!$C$2:$C$101,MATCH(D526,Customers!$A$2:$A$101,0))</f>
        <v>Corporate</v>
      </c>
      <c r="T526" s="0" t="str">
        <f aca="false">INDEX(Customers!$D$2:$D$101,MATCH(D526,Customers!$A$2:$A$101,0))</f>
        <v>Mumbai</v>
      </c>
    </row>
    <row r="527" customFormat="false" ht="15" hidden="false" customHeight="false" outlineLevel="0" collapsed="false">
      <c r="A527" s="0" t="s">
        <v>798</v>
      </c>
      <c r="B527" s="37" t="n">
        <v>45344</v>
      </c>
      <c r="C527" s="37" t="n">
        <v>45351</v>
      </c>
      <c r="D527" s="38" t="s">
        <v>390</v>
      </c>
      <c r="E527" s="38" t="s">
        <v>122</v>
      </c>
      <c r="F527" s="38" t="s">
        <v>102</v>
      </c>
      <c r="G527" s="38" t="s">
        <v>170</v>
      </c>
      <c r="H527" s="0" t="n">
        <v>6</v>
      </c>
      <c r="I527" s="39" t="n">
        <v>5500</v>
      </c>
      <c r="J527" s="40" t="n">
        <v>0.15</v>
      </c>
      <c r="K527" s="39" t="n">
        <v>28050</v>
      </c>
      <c r="L527" s="39" t="n">
        <v>22200</v>
      </c>
      <c r="M527" s="39" t="n">
        <v>5850</v>
      </c>
      <c r="N527" s="38" t="s">
        <v>66</v>
      </c>
      <c r="O527" s="38" t="n">
        <f aca="false">YEAR(B527)</f>
        <v>2024</v>
      </c>
      <c r="P527" s="41" t="n">
        <f aca="false">DATE(YEAR(B527),MONTH(B527),1)</f>
        <v>45323</v>
      </c>
      <c r="Q527" s="0" t="str">
        <f aca="false">INDEX(Products!$C$2:$C$16,MATCH(E527,Products!$A$2:$A$16,0))</f>
        <v>Furniture</v>
      </c>
      <c r="R527" s="0" t="str">
        <f aca="false">INDEX(Customers!$F$2:$F$101,MATCH(D527,Customers!$A$2:$A$101,0))</f>
        <v>South</v>
      </c>
      <c r="S527" s="0" t="str">
        <f aca="false">INDEX(Customers!$C$2:$C$101,MATCH(D527,Customers!$A$2:$A$101,0))</f>
        <v>Consumer</v>
      </c>
      <c r="T527" s="0" t="str">
        <f aca="false">INDEX(Customers!$D$2:$D$101,MATCH(D527,Customers!$A$2:$A$101,0))</f>
        <v>Chennai</v>
      </c>
    </row>
    <row r="528" customFormat="false" ht="15" hidden="false" customHeight="false" outlineLevel="0" collapsed="false">
      <c r="A528" s="0" t="s">
        <v>799</v>
      </c>
      <c r="B528" s="37" t="n">
        <v>45658</v>
      </c>
      <c r="C528" s="37" t="n">
        <v>45659</v>
      </c>
      <c r="D528" s="38" t="s">
        <v>409</v>
      </c>
      <c r="E528" s="38" t="s">
        <v>121</v>
      </c>
      <c r="F528" s="38" t="s">
        <v>102</v>
      </c>
      <c r="G528" s="38" t="s">
        <v>173</v>
      </c>
      <c r="H528" s="0" t="n">
        <v>4</v>
      </c>
      <c r="I528" s="39" t="n">
        <v>180</v>
      </c>
      <c r="J528" s="40" t="n">
        <v>0.05</v>
      </c>
      <c r="K528" s="39" t="n">
        <v>684</v>
      </c>
      <c r="L528" s="39" t="n">
        <v>280</v>
      </c>
      <c r="M528" s="39" t="n">
        <v>404</v>
      </c>
      <c r="N528" s="38" t="s">
        <v>146</v>
      </c>
      <c r="O528" s="38" t="n">
        <f aca="false">YEAR(B528)</f>
        <v>2025</v>
      </c>
      <c r="P528" s="41" t="n">
        <f aca="false">DATE(YEAR(B528),MONTH(B528),1)</f>
        <v>45658</v>
      </c>
      <c r="Q528" s="0" t="str">
        <f aca="false">INDEX(Products!$C$2:$C$16,MATCH(E528,Products!$A$2:$A$16,0))</f>
        <v>Office Supplies</v>
      </c>
      <c r="R528" s="0" t="str">
        <f aca="false">INDEX(Customers!$F$2:$F$101,MATCH(D528,Customers!$A$2:$A$101,0))</f>
        <v>East</v>
      </c>
      <c r="S528" s="0" t="str">
        <f aca="false">INDEX(Customers!$C$2:$C$101,MATCH(D528,Customers!$A$2:$A$101,0))</f>
        <v>Small Business</v>
      </c>
      <c r="T528" s="0" t="str">
        <f aca="false">INDEX(Customers!$D$2:$D$101,MATCH(D528,Customers!$A$2:$A$101,0))</f>
        <v>Bhubaneswar</v>
      </c>
    </row>
    <row r="529" customFormat="false" ht="15" hidden="false" customHeight="false" outlineLevel="0" collapsed="false">
      <c r="A529" s="0" t="s">
        <v>800</v>
      </c>
      <c r="B529" s="37" t="n">
        <v>46097</v>
      </c>
      <c r="C529" s="37" t="n">
        <v>46102</v>
      </c>
      <c r="D529" s="38" t="s">
        <v>433</v>
      </c>
      <c r="E529" s="38" t="s">
        <v>114</v>
      </c>
      <c r="F529" s="38" t="s">
        <v>102</v>
      </c>
      <c r="G529" s="38" t="s">
        <v>185</v>
      </c>
      <c r="H529" s="0" t="n">
        <v>1</v>
      </c>
      <c r="I529" s="39" t="n">
        <v>800</v>
      </c>
      <c r="J529" s="40" t="n">
        <v>0.15</v>
      </c>
      <c r="K529" s="39" t="n">
        <v>680</v>
      </c>
      <c r="L529" s="39" t="n">
        <v>420</v>
      </c>
      <c r="M529" s="39" t="n">
        <v>260</v>
      </c>
      <c r="N529" s="38" t="s">
        <v>66</v>
      </c>
      <c r="O529" s="38" t="n">
        <f aca="false">YEAR(B529)</f>
        <v>2026</v>
      </c>
      <c r="P529" s="41" t="n">
        <f aca="false">DATE(YEAR(B529),MONTH(B529),1)</f>
        <v>46082</v>
      </c>
      <c r="Q529" s="0" t="str">
        <f aca="false">INDEX(Products!$C$2:$C$16,MATCH(E529,Products!$A$2:$A$16,0))</f>
        <v>Technology</v>
      </c>
      <c r="R529" s="0" t="str">
        <f aca="false">INDEX(Customers!$F$2:$F$101,MATCH(D529,Customers!$A$2:$A$101,0))</f>
        <v>North</v>
      </c>
      <c r="S529" s="0" t="str">
        <f aca="false">INDEX(Customers!$C$2:$C$101,MATCH(D529,Customers!$A$2:$A$101,0))</f>
        <v>Consumer</v>
      </c>
      <c r="T529" s="0" t="str">
        <f aca="false">INDEX(Customers!$D$2:$D$101,MATCH(D529,Customers!$A$2:$A$101,0))</f>
        <v>Delhi</v>
      </c>
    </row>
    <row r="530" customFormat="false" ht="15" hidden="false" customHeight="false" outlineLevel="0" collapsed="false">
      <c r="A530" s="0" t="s">
        <v>801</v>
      </c>
      <c r="B530" s="37" t="n">
        <v>45510</v>
      </c>
      <c r="C530" s="37" t="n">
        <v>45516</v>
      </c>
      <c r="D530" s="38" t="s">
        <v>255</v>
      </c>
      <c r="E530" s="38" t="s">
        <v>127</v>
      </c>
      <c r="F530" s="38" t="s">
        <v>101</v>
      </c>
      <c r="G530" s="38" t="s">
        <v>173</v>
      </c>
      <c r="H530" s="0" t="n">
        <v>2</v>
      </c>
      <c r="I530" s="39" t="n">
        <v>18000</v>
      </c>
      <c r="J530" s="40" t="n">
        <v>0.05</v>
      </c>
      <c r="K530" s="39" t="n">
        <v>34200</v>
      </c>
      <c r="L530" s="39" t="n">
        <v>28000</v>
      </c>
      <c r="M530" s="39" t="n">
        <v>6200</v>
      </c>
      <c r="N530" s="38" t="s">
        <v>146</v>
      </c>
      <c r="O530" s="38" t="n">
        <f aca="false">YEAR(B530)</f>
        <v>2024</v>
      </c>
      <c r="P530" s="41" t="n">
        <f aca="false">DATE(YEAR(B530),MONTH(B530),1)</f>
        <v>45505</v>
      </c>
      <c r="Q530" s="0" t="str">
        <f aca="false">INDEX(Products!$C$2:$C$16,MATCH(E530,Products!$A$2:$A$16,0))</f>
        <v>Technology</v>
      </c>
      <c r="R530" s="0" t="str">
        <f aca="false">INDEX(Customers!$F$2:$F$101,MATCH(D530,Customers!$A$2:$A$101,0))</f>
        <v>East</v>
      </c>
      <c r="S530" s="0" t="str">
        <f aca="false">INDEX(Customers!$C$2:$C$101,MATCH(D530,Customers!$A$2:$A$101,0))</f>
        <v>Small Business</v>
      </c>
      <c r="T530" s="0" t="str">
        <f aca="false">INDEX(Customers!$D$2:$D$101,MATCH(D530,Customers!$A$2:$A$101,0))</f>
        <v>Kolkata</v>
      </c>
    </row>
    <row r="531" customFormat="false" ht="15" hidden="false" customHeight="false" outlineLevel="0" collapsed="false">
      <c r="A531" s="0" t="s">
        <v>802</v>
      </c>
      <c r="B531" s="37" t="n">
        <v>45778</v>
      </c>
      <c r="C531" s="37" t="n">
        <v>45783</v>
      </c>
      <c r="D531" s="38" t="s">
        <v>305</v>
      </c>
      <c r="E531" s="38" t="s">
        <v>121</v>
      </c>
      <c r="F531" s="38" t="s">
        <v>100</v>
      </c>
      <c r="G531" s="38" t="s">
        <v>178</v>
      </c>
      <c r="H531" s="0" t="n">
        <v>5</v>
      </c>
      <c r="I531" s="39" t="n">
        <v>180</v>
      </c>
      <c r="J531" s="40" t="n">
        <v>0.2</v>
      </c>
      <c r="K531" s="39" t="n">
        <v>720</v>
      </c>
      <c r="L531" s="39" t="n">
        <v>350</v>
      </c>
      <c r="M531" s="39" t="n">
        <v>370</v>
      </c>
      <c r="N531" s="38" t="s">
        <v>66</v>
      </c>
      <c r="O531" s="38" t="n">
        <f aca="false">YEAR(B531)</f>
        <v>2025</v>
      </c>
      <c r="P531" s="41" t="n">
        <f aca="false">DATE(YEAR(B531),MONTH(B531),1)</f>
        <v>45778</v>
      </c>
      <c r="Q531" s="0" t="str">
        <f aca="false">INDEX(Products!$C$2:$C$16,MATCH(E531,Products!$A$2:$A$16,0))</f>
        <v>Office Supplies</v>
      </c>
      <c r="R531" s="0" t="str">
        <f aca="false">INDEX(Customers!$F$2:$F$101,MATCH(D531,Customers!$A$2:$A$101,0))</f>
        <v>South</v>
      </c>
      <c r="S531" s="0" t="str">
        <f aca="false">INDEX(Customers!$C$2:$C$101,MATCH(D531,Customers!$A$2:$A$101,0))</f>
        <v>Consumer</v>
      </c>
      <c r="T531" s="0" t="str">
        <f aca="false">INDEX(Customers!$D$2:$D$101,MATCH(D531,Customers!$A$2:$A$101,0))</f>
        <v>Chennai</v>
      </c>
    </row>
    <row r="532" customFormat="false" ht="15" hidden="false" customHeight="false" outlineLevel="0" collapsed="false">
      <c r="A532" s="0" t="s">
        <v>803</v>
      </c>
      <c r="B532" s="37" t="n">
        <v>46218</v>
      </c>
      <c r="C532" s="37" t="n">
        <v>46224</v>
      </c>
      <c r="D532" s="38" t="s">
        <v>260</v>
      </c>
      <c r="E532" s="38" t="s">
        <v>116</v>
      </c>
      <c r="F532" s="38" t="s">
        <v>100</v>
      </c>
      <c r="G532" s="38" t="s">
        <v>178</v>
      </c>
      <c r="H532" s="0" t="n">
        <v>3</v>
      </c>
      <c r="I532" s="39" t="n">
        <v>12000</v>
      </c>
      <c r="J532" s="40" t="n">
        <v>0.15</v>
      </c>
      <c r="K532" s="39" t="n">
        <v>30600</v>
      </c>
      <c r="L532" s="39" t="n">
        <v>27000</v>
      </c>
      <c r="M532" s="39" t="n">
        <v>3600</v>
      </c>
      <c r="N532" s="38" t="s">
        <v>66</v>
      </c>
      <c r="O532" s="38" t="n">
        <f aca="false">YEAR(B532)</f>
        <v>2026</v>
      </c>
      <c r="P532" s="41" t="n">
        <f aca="false">DATE(YEAR(B532),MONTH(B532),1)</f>
        <v>46204</v>
      </c>
      <c r="Q532" s="0" t="str">
        <f aca="false">INDEX(Products!$C$2:$C$16,MATCH(E532,Products!$A$2:$A$16,0))</f>
        <v>Technology</v>
      </c>
      <c r="R532" s="0" t="str">
        <f aca="false">INDEX(Customers!$F$2:$F$101,MATCH(D532,Customers!$A$2:$A$101,0))</f>
        <v>West</v>
      </c>
      <c r="S532" s="0" t="str">
        <f aca="false">INDEX(Customers!$C$2:$C$101,MATCH(D532,Customers!$A$2:$A$101,0))</f>
        <v>Small Business</v>
      </c>
      <c r="T532" s="0" t="str">
        <f aca="false">INDEX(Customers!$D$2:$D$101,MATCH(D532,Customers!$A$2:$A$101,0))</f>
        <v>Mumbai</v>
      </c>
    </row>
    <row r="533" customFormat="false" ht="15" hidden="false" customHeight="false" outlineLevel="0" collapsed="false">
      <c r="A533" s="0" t="s">
        <v>804</v>
      </c>
      <c r="B533" s="37" t="n">
        <v>46229</v>
      </c>
      <c r="C533" s="37" t="n">
        <v>46236</v>
      </c>
      <c r="D533" s="38" t="s">
        <v>390</v>
      </c>
      <c r="E533" s="38" t="s">
        <v>119</v>
      </c>
      <c r="F533" s="38" t="s">
        <v>101</v>
      </c>
      <c r="G533" s="38" t="s">
        <v>188</v>
      </c>
      <c r="H533" s="0" t="n">
        <v>8</v>
      </c>
      <c r="I533" s="39" t="n">
        <v>250</v>
      </c>
      <c r="J533" s="40" t="n">
        <v>0.1</v>
      </c>
      <c r="K533" s="39" t="n">
        <v>1800</v>
      </c>
      <c r="L533" s="39" t="n">
        <v>960</v>
      </c>
      <c r="M533" s="39" t="n">
        <v>840</v>
      </c>
      <c r="N533" s="38" t="s">
        <v>66</v>
      </c>
      <c r="O533" s="38" t="n">
        <f aca="false">YEAR(B533)</f>
        <v>2026</v>
      </c>
      <c r="P533" s="41" t="n">
        <f aca="false">DATE(YEAR(B533),MONTH(B533),1)</f>
        <v>46204</v>
      </c>
      <c r="Q533" s="0" t="str">
        <f aca="false">INDEX(Products!$C$2:$C$16,MATCH(E533,Products!$A$2:$A$16,0))</f>
        <v>Office Supplies</v>
      </c>
      <c r="R533" s="0" t="str">
        <f aca="false">INDEX(Customers!$F$2:$F$101,MATCH(D533,Customers!$A$2:$A$101,0))</f>
        <v>South</v>
      </c>
      <c r="S533" s="0" t="str">
        <f aca="false">INDEX(Customers!$C$2:$C$101,MATCH(D533,Customers!$A$2:$A$101,0))</f>
        <v>Consumer</v>
      </c>
      <c r="T533" s="0" t="str">
        <f aca="false">INDEX(Customers!$D$2:$D$101,MATCH(D533,Customers!$A$2:$A$101,0))</f>
        <v>Chennai</v>
      </c>
    </row>
    <row r="534" customFormat="false" ht="15" hidden="false" customHeight="false" outlineLevel="0" collapsed="false">
      <c r="A534" s="0" t="s">
        <v>805</v>
      </c>
      <c r="B534" s="37" t="n">
        <v>45821</v>
      </c>
      <c r="C534" s="37" t="n">
        <v>45828</v>
      </c>
      <c r="D534" s="38" t="s">
        <v>221</v>
      </c>
      <c r="E534" s="38" t="s">
        <v>127</v>
      </c>
      <c r="F534" s="38" t="s">
        <v>102</v>
      </c>
      <c r="G534" s="38" t="s">
        <v>185</v>
      </c>
      <c r="H534" s="0" t="n">
        <v>4</v>
      </c>
      <c r="I534" s="39" t="n">
        <v>18000</v>
      </c>
      <c r="J534" s="40" t="n">
        <v>0.15</v>
      </c>
      <c r="K534" s="39" t="n">
        <v>61200</v>
      </c>
      <c r="L534" s="39" t="n">
        <v>56000</v>
      </c>
      <c r="M534" s="39" t="n">
        <v>5200</v>
      </c>
      <c r="N534" s="38" t="s">
        <v>66</v>
      </c>
      <c r="O534" s="38" t="n">
        <f aca="false">YEAR(B534)</f>
        <v>2025</v>
      </c>
      <c r="P534" s="41" t="n">
        <f aca="false">DATE(YEAR(B534),MONTH(B534),1)</f>
        <v>45809</v>
      </c>
      <c r="Q534" s="0" t="str">
        <f aca="false">INDEX(Products!$C$2:$C$16,MATCH(E534,Products!$A$2:$A$16,0))</f>
        <v>Technology</v>
      </c>
      <c r="R534" s="0" t="str">
        <f aca="false">INDEX(Customers!$F$2:$F$101,MATCH(D534,Customers!$A$2:$A$101,0))</f>
        <v>North</v>
      </c>
      <c r="S534" s="0" t="str">
        <f aca="false">INDEX(Customers!$C$2:$C$101,MATCH(D534,Customers!$A$2:$A$101,0))</f>
        <v>Consumer</v>
      </c>
      <c r="T534" s="0" t="str">
        <f aca="false">INDEX(Customers!$D$2:$D$101,MATCH(D534,Customers!$A$2:$A$101,0))</f>
        <v>Delhi</v>
      </c>
    </row>
    <row r="535" customFormat="false" ht="15" hidden="false" customHeight="false" outlineLevel="0" collapsed="false">
      <c r="A535" s="0" t="s">
        <v>806</v>
      </c>
      <c r="B535" s="37" t="n">
        <v>45959</v>
      </c>
      <c r="C535" s="37" t="n">
        <v>45961</v>
      </c>
      <c r="D535" s="38" t="s">
        <v>310</v>
      </c>
      <c r="E535" s="38" t="s">
        <v>127</v>
      </c>
      <c r="F535" s="38" t="s">
        <v>100</v>
      </c>
      <c r="G535" s="38" t="s">
        <v>173</v>
      </c>
      <c r="H535" s="0" t="n">
        <v>2</v>
      </c>
      <c r="I535" s="39" t="n">
        <v>18000</v>
      </c>
      <c r="J535" s="40" t="n">
        <v>0</v>
      </c>
      <c r="K535" s="39" t="n">
        <v>36000</v>
      </c>
      <c r="L535" s="39" t="n">
        <v>28000</v>
      </c>
      <c r="M535" s="39" t="n">
        <v>8000</v>
      </c>
      <c r="N535" s="38" t="s">
        <v>147</v>
      </c>
      <c r="O535" s="38" t="n">
        <f aca="false">YEAR(B535)</f>
        <v>2025</v>
      </c>
      <c r="P535" s="41" t="n">
        <f aca="false">DATE(YEAR(B535),MONTH(B535),1)</f>
        <v>45931</v>
      </c>
      <c r="Q535" s="0" t="str">
        <f aca="false">INDEX(Products!$C$2:$C$16,MATCH(E535,Products!$A$2:$A$16,0))</f>
        <v>Technology</v>
      </c>
      <c r="R535" s="0" t="str">
        <f aca="false">INDEX(Customers!$F$2:$F$101,MATCH(D535,Customers!$A$2:$A$101,0))</f>
        <v>South</v>
      </c>
      <c r="S535" s="0" t="str">
        <f aca="false">INDEX(Customers!$C$2:$C$101,MATCH(D535,Customers!$A$2:$A$101,0))</f>
        <v>Small Business</v>
      </c>
      <c r="T535" s="0" t="str">
        <f aca="false">INDEX(Customers!$D$2:$D$101,MATCH(D535,Customers!$A$2:$A$101,0))</f>
        <v>Hyderabad</v>
      </c>
    </row>
    <row r="536" customFormat="false" ht="15" hidden="false" customHeight="false" outlineLevel="0" collapsed="false">
      <c r="A536" s="0" t="s">
        <v>807</v>
      </c>
      <c r="B536" s="37" t="n">
        <v>45838</v>
      </c>
      <c r="C536" s="37" t="n">
        <v>45839</v>
      </c>
      <c r="D536" s="38" t="s">
        <v>276</v>
      </c>
      <c r="E536" s="38" t="s">
        <v>121</v>
      </c>
      <c r="F536" s="38" t="s">
        <v>102</v>
      </c>
      <c r="G536" s="38" t="s">
        <v>173</v>
      </c>
      <c r="H536" s="0" t="n">
        <v>3</v>
      </c>
      <c r="I536" s="39" t="n">
        <v>180</v>
      </c>
      <c r="J536" s="40" t="n">
        <v>0</v>
      </c>
      <c r="K536" s="39" t="n">
        <v>540</v>
      </c>
      <c r="L536" s="39" t="n">
        <v>210</v>
      </c>
      <c r="M536" s="39" t="n">
        <v>330</v>
      </c>
      <c r="N536" s="38" t="s">
        <v>66</v>
      </c>
      <c r="O536" s="38" t="n">
        <f aca="false">YEAR(B536)</f>
        <v>2025</v>
      </c>
      <c r="P536" s="41" t="n">
        <f aca="false">DATE(YEAR(B536),MONTH(B536),1)</f>
        <v>45809</v>
      </c>
      <c r="Q536" s="0" t="str">
        <f aca="false">INDEX(Products!$C$2:$C$16,MATCH(E536,Products!$A$2:$A$16,0))</f>
        <v>Office Supplies</v>
      </c>
      <c r="R536" s="0" t="str">
        <f aca="false">INDEX(Customers!$F$2:$F$101,MATCH(D536,Customers!$A$2:$A$101,0))</f>
        <v>North</v>
      </c>
      <c r="S536" s="0" t="str">
        <f aca="false">INDEX(Customers!$C$2:$C$101,MATCH(D536,Customers!$A$2:$A$101,0))</f>
        <v>Small Business</v>
      </c>
      <c r="T536" s="0" t="str">
        <f aca="false">INDEX(Customers!$D$2:$D$101,MATCH(D536,Customers!$A$2:$A$101,0))</f>
        <v>Lucknow</v>
      </c>
    </row>
    <row r="537" customFormat="false" ht="15" hidden="false" customHeight="false" outlineLevel="0" collapsed="false">
      <c r="A537" s="0" t="s">
        <v>808</v>
      </c>
      <c r="B537" s="37" t="n">
        <v>45398</v>
      </c>
      <c r="C537" s="37" t="n">
        <v>45400</v>
      </c>
      <c r="D537" s="38" t="s">
        <v>367</v>
      </c>
      <c r="E537" s="38" t="s">
        <v>126</v>
      </c>
      <c r="F537" s="38" t="s">
        <v>102</v>
      </c>
      <c r="G537" s="38" t="s">
        <v>185</v>
      </c>
      <c r="H537" s="0" t="n">
        <v>2</v>
      </c>
      <c r="I537" s="39" t="n">
        <v>1200</v>
      </c>
      <c r="J537" s="40" t="n">
        <v>0.2</v>
      </c>
      <c r="K537" s="39" t="n">
        <v>1920</v>
      </c>
      <c r="L537" s="39" t="n">
        <v>1400</v>
      </c>
      <c r="M537" s="39" t="n">
        <v>520</v>
      </c>
      <c r="N537" s="38" t="s">
        <v>66</v>
      </c>
      <c r="O537" s="38" t="n">
        <f aca="false">YEAR(B537)</f>
        <v>2024</v>
      </c>
      <c r="P537" s="41" t="n">
        <f aca="false">DATE(YEAR(B537),MONTH(B537),1)</f>
        <v>45383</v>
      </c>
      <c r="Q537" s="0" t="str">
        <f aca="false">INDEX(Products!$C$2:$C$16,MATCH(E537,Products!$A$2:$A$16,0))</f>
        <v>Furniture</v>
      </c>
      <c r="R537" s="0" t="str">
        <f aca="false">INDEX(Customers!$F$2:$F$101,MATCH(D537,Customers!$A$2:$A$101,0))</f>
        <v>West</v>
      </c>
      <c r="S537" s="0" t="str">
        <f aca="false">INDEX(Customers!$C$2:$C$101,MATCH(D537,Customers!$A$2:$A$101,0))</f>
        <v>Corporate</v>
      </c>
      <c r="T537" s="0" t="str">
        <f aca="false">INDEX(Customers!$D$2:$D$101,MATCH(D537,Customers!$A$2:$A$101,0))</f>
        <v>Ahmedabad</v>
      </c>
    </row>
    <row r="538" customFormat="false" ht="15" hidden="false" customHeight="false" outlineLevel="0" collapsed="false">
      <c r="A538" s="0" t="s">
        <v>809</v>
      </c>
      <c r="B538" s="37" t="n">
        <v>45994</v>
      </c>
      <c r="C538" s="37" t="n">
        <v>45996</v>
      </c>
      <c r="D538" s="38" t="s">
        <v>381</v>
      </c>
      <c r="E538" s="38" t="s">
        <v>124</v>
      </c>
      <c r="F538" s="38" t="s">
        <v>101</v>
      </c>
      <c r="G538" s="38" t="s">
        <v>178</v>
      </c>
      <c r="H538" s="0" t="n">
        <v>1</v>
      </c>
      <c r="I538" s="39" t="n">
        <v>3000</v>
      </c>
      <c r="J538" s="40" t="n">
        <v>0.2</v>
      </c>
      <c r="K538" s="39" t="n">
        <v>2400</v>
      </c>
      <c r="L538" s="39" t="n">
        <v>1900</v>
      </c>
      <c r="M538" s="39" t="n">
        <v>500</v>
      </c>
      <c r="N538" s="38" t="s">
        <v>66</v>
      </c>
      <c r="O538" s="38" t="n">
        <f aca="false">YEAR(B538)</f>
        <v>2025</v>
      </c>
      <c r="P538" s="41" t="n">
        <f aca="false">DATE(YEAR(B538),MONTH(B538),1)</f>
        <v>45992</v>
      </c>
      <c r="Q538" s="0" t="str">
        <f aca="false">INDEX(Products!$C$2:$C$16,MATCH(E538,Products!$A$2:$A$16,0))</f>
        <v>Technology</v>
      </c>
      <c r="R538" s="0" t="str">
        <f aca="false">INDEX(Customers!$F$2:$F$101,MATCH(D538,Customers!$A$2:$A$101,0))</f>
        <v>West</v>
      </c>
      <c r="S538" s="0" t="str">
        <f aca="false">INDEX(Customers!$C$2:$C$101,MATCH(D538,Customers!$A$2:$A$101,0))</f>
        <v>Consumer</v>
      </c>
      <c r="T538" s="0" t="str">
        <f aca="false">INDEX(Customers!$D$2:$D$101,MATCH(D538,Customers!$A$2:$A$101,0))</f>
        <v>Pune</v>
      </c>
    </row>
    <row r="539" customFormat="false" ht="15" hidden="false" customHeight="false" outlineLevel="0" collapsed="false">
      <c r="A539" s="0" t="s">
        <v>810</v>
      </c>
      <c r="B539" s="37" t="n">
        <v>46105</v>
      </c>
      <c r="C539" s="37" t="n">
        <v>46108</v>
      </c>
      <c r="D539" s="38" t="s">
        <v>278</v>
      </c>
      <c r="E539" s="38" t="s">
        <v>115</v>
      </c>
      <c r="F539" s="38" t="s">
        <v>100</v>
      </c>
      <c r="G539" s="38" t="s">
        <v>170</v>
      </c>
      <c r="H539" s="0" t="n">
        <v>3</v>
      </c>
      <c r="I539" s="39" t="n">
        <v>1500</v>
      </c>
      <c r="J539" s="40" t="n">
        <v>0.15</v>
      </c>
      <c r="K539" s="39" t="n">
        <v>3825</v>
      </c>
      <c r="L539" s="39" t="n">
        <v>2550</v>
      </c>
      <c r="M539" s="39" t="n">
        <v>1275</v>
      </c>
      <c r="N539" s="38" t="s">
        <v>66</v>
      </c>
      <c r="O539" s="38" t="n">
        <f aca="false">YEAR(B539)</f>
        <v>2026</v>
      </c>
      <c r="P539" s="41" t="n">
        <f aca="false">DATE(YEAR(B539),MONTH(B539),1)</f>
        <v>46082</v>
      </c>
      <c r="Q539" s="0" t="str">
        <f aca="false">INDEX(Products!$C$2:$C$16,MATCH(E539,Products!$A$2:$A$16,0))</f>
        <v>Technology</v>
      </c>
      <c r="R539" s="0" t="str">
        <f aca="false">INDEX(Customers!$F$2:$F$101,MATCH(D539,Customers!$A$2:$A$101,0))</f>
        <v>South</v>
      </c>
      <c r="S539" s="0" t="str">
        <f aca="false">INDEX(Customers!$C$2:$C$101,MATCH(D539,Customers!$A$2:$A$101,0))</f>
        <v>Consumer</v>
      </c>
      <c r="T539" s="0" t="str">
        <f aca="false">INDEX(Customers!$D$2:$D$101,MATCH(D539,Customers!$A$2:$A$101,0))</f>
        <v>Hyderabad</v>
      </c>
    </row>
    <row r="540" customFormat="false" ht="15" hidden="false" customHeight="false" outlineLevel="0" collapsed="false">
      <c r="A540" s="0" t="s">
        <v>811</v>
      </c>
      <c r="B540" s="37" t="n">
        <v>45706</v>
      </c>
      <c r="C540" s="37" t="n">
        <v>45710</v>
      </c>
      <c r="D540" s="38" t="s">
        <v>260</v>
      </c>
      <c r="E540" s="38" t="s">
        <v>123</v>
      </c>
      <c r="F540" s="38" t="s">
        <v>102</v>
      </c>
      <c r="G540" s="38" t="s">
        <v>178</v>
      </c>
      <c r="H540" s="0" t="n">
        <v>2</v>
      </c>
      <c r="I540" s="39" t="n">
        <v>2200</v>
      </c>
      <c r="J540" s="40" t="n">
        <v>0.1</v>
      </c>
      <c r="K540" s="39" t="n">
        <v>3960</v>
      </c>
      <c r="L540" s="39" t="n">
        <v>2600</v>
      </c>
      <c r="M540" s="39" t="n">
        <v>1360</v>
      </c>
      <c r="N540" s="38" t="s">
        <v>66</v>
      </c>
      <c r="O540" s="38" t="n">
        <f aca="false">YEAR(B540)</f>
        <v>2025</v>
      </c>
      <c r="P540" s="41" t="n">
        <f aca="false">DATE(YEAR(B540),MONTH(B540),1)</f>
        <v>45689</v>
      </c>
      <c r="Q540" s="0" t="str">
        <f aca="false">INDEX(Products!$C$2:$C$16,MATCH(E540,Products!$A$2:$A$16,0))</f>
        <v>Technology</v>
      </c>
      <c r="R540" s="0" t="str">
        <f aca="false">INDEX(Customers!$F$2:$F$101,MATCH(D540,Customers!$A$2:$A$101,0))</f>
        <v>West</v>
      </c>
      <c r="S540" s="0" t="str">
        <f aca="false">INDEX(Customers!$C$2:$C$101,MATCH(D540,Customers!$A$2:$A$101,0))</f>
        <v>Small Business</v>
      </c>
      <c r="T540" s="0" t="str">
        <f aca="false">INDEX(Customers!$D$2:$D$101,MATCH(D540,Customers!$A$2:$A$101,0))</f>
        <v>Mumbai</v>
      </c>
    </row>
    <row r="541" customFormat="false" ht="15" hidden="false" customHeight="false" outlineLevel="0" collapsed="false">
      <c r="A541" s="0" t="s">
        <v>812</v>
      </c>
      <c r="B541" s="37" t="n">
        <v>45925</v>
      </c>
      <c r="C541" s="37" t="n">
        <v>45926</v>
      </c>
      <c r="D541" s="38" t="s">
        <v>345</v>
      </c>
      <c r="E541" s="38" t="s">
        <v>124</v>
      </c>
      <c r="F541" s="38" t="s">
        <v>100</v>
      </c>
      <c r="G541" s="38" t="s">
        <v>178</v>
      </c>
      <c r="H541" s="0" t="n">
        <v>4</v>
      </c>
      <c r="I541" s="39" t="n">
        <v>3000</v>
      </c>
      <c r="J541" s="40" t="n">
        <v>0.15</v>
      </c>
      <c r="K541" s="39" t="n">
        <v>10200</v>
      </c>
      <c r="L541" s="39" t="n">
        <v>7600</v>
      </c>
      <c r="M541" s="39" t="n">
        <v>2600</v>
      </c>
      <c r="N541" s="38" t="s">
        <v>66</v>
      </c>
      <c r="O541" s="38" t="n">
        <f aca="false">YEAR(B541)</f>
        <v>2025</v>
      </c>
      <c r="P541" s="41" t="n">
        <f aca="false">DATE(YEAR(B541),MONTH(B541),1)</f>
        <v>45901</v>
      </c>
      <c r="Q541" s="0" t="str">
        <f aca="false">INDEX(Products!$C$2:$C$16,MATCH(E541,Products!$A$2:$A$16,0))</f>
        <v>Technology</v>
      </c>
      <c r="R541" s="0" t="str">
        <f aca="false">INDEX(Customers!$F$2:$F$101,MATCH(D541,Customers!$A$2:$A$101,0))</f>
        <v>West</v>
      </c>
      <c r="S541" s="0" t="str">
        <f aca="false">INDEX(Customers!$C$2:$C$101,MATCH(D541,Customers!$A$2:$A$101,0))</f>
        <v>Consumer</v>
      </c>
      <c r="T541" s="0" t="str">
        <f aca="false">INDEX(Customers!$D$2:$D$101,MATCH(D541,Customers!$A$2:$A$101,0))</f>
        <v>Ahmedabad</v>
      </c>
    </row>
    <row r="542" customFormat="false" ht="15" hidden="false" customHeight="false" outlineLevel="0" collapsed="false">
      <c r="A542" s="0" t="s">
        <v>813</v>
      </c>
      <c r="B542" s="37" t="n">
        <v>45588</v>
      </c>
      <c r="C542" s="37" t="n">
        <v>45595</v>
      </c>
      <c r="D542" s="38" t="s">
        <v>190</v>
      </c>
      <c r="E542" s="38" t="s">
        <v>114</v>
      </c>
      <c r="F542" s="38" t="s">
        <v>100</v>
      </c>
      <c r="G542" s="38" t="s">
        <v>170</v>
      </c>
      <c r="H542" s="0" t="n">
        <v>3</v>
      </c>
      <c r="I542" s="39" t="n">
        <v>800</v>
      </c>
      <c r="J542" s="40" t="n">
        <v>0.15</v>
      </c>
      <c r="K542" s="39" t="n">
        <v>2040</v>
      </c>
      <c r="L542" s="39" t="n">
        <v>1260</v>
      </c>
      <c r="M542" s="39" t="n">
        <v>780</v>
      </c>
      <c r="N542" s="38" t="s">
        <v>66</v>
      </c>
      <c r="O542" s="38" t="n">
        <f aca="false">YEAR(B542)</f>
        <v>2024</v>
      </c>
      <c r="P542" s="41" t="n">
        <f aca="false">DATE(YEAR(B542),MONTH(B542),1)</f>
        <v>45566</v>
      </c>
      <c r="Q542" s="0" t="str">
        <f aca="false">INDEX(Products!$C$2:$C$16,MATCH(E542,Products!$A$2:$A$16,0))</f>
        <v>Technology</v>
      </c>
      <c r="R542" s="0" t="str">
        <f aca="false">INDEX(Customers!$F$2:$F$101,MATCH(D542,Customers!$A$2:$A$101,0))</f>
        <v>East</v>
      </c>
      <c r="S542" s="0" t="str">
        <f aca="false">INDEX(Customers!$C$2:$C$101,MATCH(D542,Customers!$A$2:$A$101,0))</f>
        <v>Corporate</v>
      </c>
      <c r="T542" s="0" t="str">
        <f aca="false">INDEX(Customers!$D$2:$D$101,MATCH(D542,Customers!$A$2:$A$101,0))</f>
        <v>Kolkata</v>
      </c>
    </row>
    <row r="543" customFormat="false" ht="15" hidden="false" customHeight="false" outlineLevel="0" collapsed="false">
      <c r="A543" s="0" t="s">
        <v>814</v>
      </c>
      <c r="B543" s="37" t="n">
        <v>45696</v>
      </c>
      <c r="C543" s="37" t="n">
        <v>45703</v>
      </c>
      <c r="D543" s="38" t="s">
        <v>172</v>
      </c>
      <c r="E543" s="38" t="s">
        <v>119</v>
      </c>
      <c r="F543" s="38" t="s">
        <v>100</v>
      </c>
      <c r="G543" s="38" t="s">
        <v>188</v>
      </c>
      <c r="H543" s="0" t="n">
        <v>3</v>
      </c>
      <c r="I543" s="39" t="n">
        <v>250</v>
      </c>
      <c r="J543" s="40" t="n">
        <v>0.1</v>
      </c>
      <c r="K543" s="39" t="n">
        <v>675</v>
      </c>
      <c r="L543" s="39" t="n">
        <v>360</v>
      </c>
      <c r="M543" s="39" t="n">
        <v>315</v>
      </c>
      <c r="N543" s="38" t="s">
        <v>66</v>
      </c>
      <c r="O543" s="38" t="n">
        <f aca="false">YEAR(B543)</f>
        <v>2025</v>
      </c>
      <c r="P543" s="41" t="n">
        <f aca="false">DATE(YEAR(B543),MONTH(B543),1)</f>
        <v>45689</v>
      </c>
      <c r="Q543" s="0" t="str">
        <f aca="false">INDEX(Products!$C$2:$C$16,MATCH(E543,Products!$A$2:$A$16,0))</f>
        <v>Office Supplies</v>
      </c>
      <c r="R543" s="0" t="str">
        <f aca="false">INDEX(Customers!$F$2:$F$101,MATCH(D543,Customers!$A$2:$A$101,0))</f>
        <v>East</v>
      </c>
      <c r="S543" s="0" t="str">
        <f aca="false">INDEX(Customers!$C$2:$C$101,MATCH(D543,Customers!$A$2:$A$101,0))</f>
        <v>Consumer</v>
      </c>
      <c r="T543" s="0" t="str">
        <f aca="false">INDEX(Customers!$D$2:$D$101,MATCH(D543,Customers!$A$2:$A$101,0))</f>
        <v>Bhubaneswar</v>
      </c>
    </row>
    <row r="544" customFormat="false" ht="15" hidden="false" customHeight="false" outlineLevel="0" collapsed="false">
      <c r="A544" s="0" t="s">
        <v>815</v>
      </c>
      <c r="B544" s="37" t="n">
        <v>46107</v>
      </c>
      <c r="C544" s="37" t="n">
        <v>46114</v>
      </c>
      <c r="D544" s="38" t="s">
        <v>242</v>
      </c>
      <c r="E544" s="38" t="s">
        <v>119</v>
      </c>
      <c r="F544" s="38" t="s">
        <v>102</v>
      </c>
      <c r="G544" s="38" t="s">
        <v>173</v>
      </c>
      <c r="H544" s="0" t="n">
        <v>5</v>
      </c>
      <c r="I544" s="39" t="n">
        <v>250</v>
      </c>
      <c r="J544" s="40" t="n">
        <v>0.05</v>
      </c>
      <c r="K544" s="39" t="n">
        <v>1187.5</v>
      </c>
      <c r="L544" s="39" t="n">
        <v>600</v>
      </c>
      <c r="M544" s="39" t="n">
        <v>587.5</v>
      </c>
      <c r="N544" s="38" t="s">
        <v>66</v>
      </c>
      <c r="O544" s="38" t="n">
        <f aca="false">YEAR(B544)</f>
        <v>2026</v>
      </c>
      <c r="P544" s="41" t="n">
        <f aca="false">DATE(YEAR(B544),MONTH(B544),1)</f>
        <v>46082</v>
      </c>
      <c r="Q544" s="0" t="str">
        <f aca="false">INDEX(Products!$C$2:$C$16,MATCH(E544,Products!$A$2:$A$16,0))</f>
        <v>Office Supplies</v>
      </c>
      <c r="R544" s="0" t="str">
        <f aca="false">INDEX(Customers!$F$2:$F$101,MATCH(D544,Customers!$A$2:$A$101,0))</f>
        <v>North</v>
      </c>
      <c r="S544" s="0" t="str">
        <f aca="false">INDEX(Customers!$C$2:$C$101,MATCH(D544,Customers!$A$2:$A$101,0))</f>
        <v>Small Business</v>
      </c>
      <c r="T544" s="0" t="str">
        <f aca="false">INDEX(Customers!$D$2:$D$101,MATCH(D544,Customers!$A$2:$A$101,0))</f>
        <v>Gurugram</v>
      </c>
    </row>
    <row r="545" customFormat="false" ht="15" hidden="false" customHeight="false" outlineLevel="0" collapsed="false">
      <c r="A545" s="0" t="s">
        <v>816</v>
      </c>
      <c r="B545" s="37" t="n">
        <v>45674</v>
      </c>
      <c r="C545" s="37" t="n">
        <v>45675</v>
      </c>
      <c r="D545" s="38" t="s">
        <v>425</v>
      </c>
      <c r="E545" s="38" t="s">
        <v>123</v>
      </c>
      <c r="F545" s="38" t="s">
        <v>100</v>
      </c>
      <c r="G545" s="38" t="s">
        <v>178</v>
      </c>
      <c r="H545" s="0" t="n">
        <v>3</v>
      </c>
      <c r="I545" s="39" t="n">
        <v>2200</v>
      </c>
      <c r="J545" s="40" t="n">
        <v>0.15</v>
      </c>
      <c r="K545" s="39" t="n">
        <v>5610</v>
      </c>
      <c r="L545" s="39" t="n">
        <v>3900</v>
      </c>
      <c r="M545" s="39" t="n">
        <v>1710</v>
      </c>
      <c r="N545" s="38" t="s">
        <v>66</v>
      </c>
      <c r="O545" s="38" t="n">
        <f aca="false">YEAR(B545)</f>
        <v>2025</v>
      </c>
      <c r="P545" s="41" t="n">
        <f aca="false">DATE(YEAR(B545),MONTH(B545),1)</f>
        <v>45658</v>
      </c>
      <c r="Q545" s="0" t="str">
        <f aca="false">INDEX(Products!$C$2:$C$16,MATCH(E545,Products!$A$2:$A$16,0))</f>
        <v>Technology</v>
      </c>
      <c r="R545" s="0" t="str">
        <f aca="false">INDEX(Customers!$F$2:$F$101,MATCH(D545,Customers!$A$2:$A$101,0))</f>
        <v>North</v>
      </c>
      <c r="S545" s="0" t="str">
        <f aca="false">INDEX(Customers!$C$2:$C$101,MATCH(D545,Customers!$A$2:$A$101,0))</f>
        <v>Small Business</v>
      </c>
      <c r="T545" s="0" t="str">
        <f aca="false">INDEX(Customers!$D$2:$D$101,MATCH(D545,Customers!$A$2:$A$101,0))</f>
        <v>Lucknow</v>
      </c>
    </row>
    <row r="546" customFormat="false" ht="15" hidden="false" customHeight="false" outlineLevel="0" collapsed="false">
      <c r="A546" s="0" t="s">
        <v>817</v>
      </c>
      <c r="B546" s="37" t="n">
        <v>45695</v>
      </c>
      <c r="C546" s="37" t="n">
        <v>45700</v>
      </c>
      <c r="D546" s="38" t="s">
        <v>409</v>
      </c>
      <c r="E546" s="38" t="s">
        <v>122</v>
      </c>
      <c r="F546" s="38" t="s">
        <v>101</v>
      </c>
      <c r="G546" s="38" t="s">
        <v>173</v>
      </c>
      <c r="H546" s="0" t="n">
        <v>2</v>
      </c>
      <c r="I546" s="39" t="n">
        <v>5500</v>
      </c>
      <c r="J546" s="40" t="n">
        <v>0</v>
      </c>
      <c r="K546" s="39" t="n">
        <v>11000</v>
      </c>
      <c r="L546" s="39" t="n">
        <v>7400</v>
      </c>
      <c r="M546" s="39" t="n">
        <v>3600</v>
      </c>
      <c r="N546" s="38" t="s">
        <v>66</v>
      </c>
      <c r="O546" s="38" t="n">
        <f aca="false">YEAR(B546)</f>
        <v>2025</v>
      </c>
      <c r="P546" s="41" t="n">
        <f aca="false">DATE(YEAR(B546),MONTH(B546),1)</f>
        <v>45689</v>
      </c>
      <c r="Q546" s="0" t="str">
        <f aca="false">INDEX(Products!$C$2:$C$16,MATCH(E546,Products!$A$2:$A$16,0))</f>
        <v>Furniture</v>
      </c>
      <c r="R546" s="0" t="str">
        <f aca="false">INDEX(Customers!$F$2:$F$101,MATCH(D546,Customers!$A$2:$A$101,0))</f>
        <v>East</v>
      </c>
      <c r="S546" s="0" t="str">
        <f aca="false">INDEX(Customers!$C$2:$C$101,MATCH(D546,Customers!$A$2:$A$101,0))</f>
        <v>Small Business</v>
      </c>
      <c r="T546" s="0" t="str">
        <f aca="false">INDEX(Customers!$D$2:$D$101,MATCH(D546,Customers!$A$2:$A$101,0))</f>
        <v>Bhubaneswar</v>
      </c>
    </row>
    <row r="547" customFormat="false" ht="15" hidden="false" customHeight="false" outlineLevel="0" collapsed="false">
      <c r="A547" s="0" t="s">
        <v>818</v>
      </c>
      <c r="B547" s="37" t="n">
        <v>45508</v>
      </c>
      <c r="C547" s="37" t="n">
        <v>45512</v>
      </c>
      <c r="D547" s="38" t="s">
        <v>316</v>
      </c>
      <c r="E547" s="38" t="s">
        <v>118</v>
      </c>
      <c r="F547" s="38" t="s">
        <v>102</v>
      </c>
      <c r="G547" s="38" t="s">
        <v>173</v>
      </c>
      <c r="H547" s="0" t="n">
        <v>6</v>
      </c>
      <c r="I547" s="39" t="n">
        <v>9000</v>
      </c>
      <c r="J547" s="40" t="n">
        <v>0.25</v>
      </c>
      <c r="K547" s="39" t="n">
        <v>40500</v>
      </c>
      <c r="L547" s="39" t="n">
        <v>39000</v>
      </c>
      <c r="M547" s="39" t="n">
        <v>1500</v>
      </c>
      <c r="N547" s="38" t="s">
        <v>66</v>
      </c>
      <c r="O547" s="38" t="n">
        <f aca="false">YEAR(B547)</f>
        <v>2024</v>
      </c>
      <c r="P547" s="41" t="n">
        <f aca="false">DATE(YEAR(B547),MONTH(B547),1)</f>
        <v>45505</v>
      </c>
      <c r="Q547" s="0" t="str">
        <f aca="false">INDEX(Products!$C$2:$C$16,MATCH(E547,Products!$A$2:$A$16,0))</f>
        <v>Furniture</v>
      </c>
      <c r="R547" s="0" t="str">
        <f aca="false">INDEX(Customers!$F$2:$F$101,MATCH(D547,Customers!$A$2:$A$101,0))</f>
        <v>West</v>
      </c>
      <c r="S547" s="0" t="str">
        <f aca="false">INDEX(Customers!$C$2:$C$101,MATCH(D547,Customers!$A$2:$A$101,0))</f>
        <v>Corporate</v>
      </c>
      <c r="T547" s="0" t="str">
        <f aca="false">INDEX(Customers!$D$2:$D$101,MATCH(D547,Customers!$A$2:$A$101,0))</f>
        <v>Ahmedabad</v>
      </c>
    </row>
    <row r="548" customFormat="false" ht="15" hidden="false" customHeight="false" outlineLevel="0" collapsed="false">
      <c r="A548" s="0" t="s">
        <v>819</v>
      </c>
      <c r="B548" s="37" t="n">
        <v>46146</v>
      </c>
      <c r="C548" s="37" t="n">
        <v>46149</v>
      </c>
      <c r="D548" s="38" t="s">
        <v>255</v>
      </c>
      <c r="E548" s="38" t="s">
        <v>122</v>
      </c>
      <c r="F548" s="38" t="s">
        <v>102</v>
      </c>
      <c r="G548" s="38" t="s">
        <v>188</v>
      </c>
      <c r="H548" s="0" t="n">
        <v>1</v>
      </c>
      <c r="I548" s="39" t="n">
        <v>5500</v>
      </c>
      <c r="J548" s="40" t="n">
        <v>0</v>
      </c>
      <c r="K548" s="39" t="n">
        <v>5500</v>
      </c>
      <c r="L548" s="39" t="n">
        <v>3700</v>
      </c>
      <c r="M548" s="39" t="n">
        <v>1800</v>
      </c>
      <c r="N548" s="38" t="s">
        <v>66</v>
      </c>
      <c r="O548" s="38" t="n">
        <f aca="false">YEAR(B548)</f>
        <v>2026</v>
      </c>
      <c r="P548" s="41" t="n">
        <f aca="false">DATE(YEAR(B548),MONTH(B548),1)</f>
        <v>46143</v>
      </c>
      <c r="Q548" s="0" t="str">
        <f aca="false">INDEX(Products!$C$2:$C$16,MATCH(E548,Products!$A$2:$A$16,0))</f>
        <v>Furniture</v>
      </c>
      <c r="R548" s="0" t="str">
        <f aca="false">INDEX(Customers!$F$2:$F$101,MATCH(D548,Customers!$A$2:$A$101,0))</f>
        <v>East</v>
      </c>
      <c r="S548" s="0" t="str">
        <f aca="false">INDEX(Customers!$C$2:$C$101,MATCH(D548,Customers!$A$2:$A$101,0))</f>
        <v>Small Business</v>
      </c>
      <c r="T548" s="0" t="str">
        <f aca="false">INDEX(Customers!$D$2:$D$101,MATCH(D548,Customers!$A$2:$A$101,0))</f>
        <v>Kolkata</v>
      </c>
    </row>
    <row r="549" customFormat="false" ht="15" hidden="false" customHeight="false" outlineLevel="0" collapsed="false">
      <c r="A549" s="0" t="s">
        <v>820</v>
      </c>
      <c r="B549" s="37" t="n">
        <v>45854</v>
      </c>
      <c r="C549" s="37" t="n">
        <v>45858</v>
      </c>
      <c r="D549" s="38" t="s">
        <v>192</v>
      </c>
      <c r="E549" s="38" t="s">
        <v>127</v>
      </c>
      <c r="F549" s="38" t="s">
        <v>101</v>
      </c>
      <c r="G549" s="38" t="s">
        <v>178</v>
      </c>
      <c r="H549" s="0" t="n">
        <v>3</v>
      </c>
      <c r="I549" s="39" t="n">
        <v>18000</v>
      </c>
      <c r="J549" s="40" t="n">
        <v>0</v>
      </c>
      <c r="K549" s="39" t="n">
        <v>54000</v>
      </c>
      <c r="L549" s="39" t="n">
        <v>42000</v>
      </c>
      <c r="M549" s="39" t="n">
        <v>12000</v>
      </c>
      <c r="N549" s="38" t="s">
        <v>66</v>
      </c>
      <c r="O549" s="38" t="n">
        <f aca="false">YEAR(B549)</f>
        <v>2025</v>
      </c>
      <c r="P549" s="41" t="n">
        <f aca="false">DATE(YEAR(B549),MONTH(B549),1)</f>
        <v>45839</v>
      </c>
      <c r="Q549" s="0" t="str">
        <f aca="false">INDEX(Products!$C$2:$C$16,MATCH(E549,Products!$A$2:$A$16,0))</f>
        <v>Technology</v>
      </c>
      <c r="R549" s="0" t="str">
        <f aca="false">INDEX(Customers!$F$2:$F$101,MATCH(D549,Customers!$A$2:$A$101,0))</f>
        <v>East</v>
      </c>
      <c r="S549" s="0" t="str">
        <f aca="false">INDEX(Customers!$C$2:$C$101,MATCH(D549,Customers!$A$2:$A$101,0))</f>
        <v>Small Business</v>
      </c>
      <c r="T549" s="0" t="str">
        <f aca="false">INDEX(Customers!$D$2:$D$101,MATCH(D549,Customers!$A$2:$A$101,0))</f>
        <v>Bhubaneswar</v>
      </c>
    </row>
    <row r="550" customFormat="false" ht="15" hidden="false" customHeight="false" outlineLevel="0" collapsed="false">
      <c r="A550" s="0" t="s">
        <v>821</v>
      </c>
      <c r="B550" s="37" t="n">
        <v>45886</v>
      </c>
      <c r="C550" s="37" t="n">
        <v>45890</v>
      </c>
      <c r="D550" s="38" t="s">
        <v>177</v>
      </c>
      <c r="E550" s="38" t="s">
        <v>124</v>
      </c>
      <c r="F550" s="38" t="s">
        <v>100</v>
      </c>
      <c r="G550" s="38" t="s">
        <v>173</v>
      </c>
      <c r="H550" s="0" t="n">
        <v>8</v>
      </c>
      <c r="I550" s="39" t="n">
        <v>3000</v>
      </c>
      <c r="J550" s="40" t="n">
        <v>0.05</v>
      </c>
      <c r="K550" s="39" t="n">
        <v>22800</v>
      </c>
      <c r="L550" s="39" t="n">
        <v>15200</v>
      </c>
      <c r="M550" s="39" t="n">
        <v>7600</v>
      </c>
      <c r="N550" s="38" t="s">
        <v>66</v>
      </c>
      <c r="O550" s="38" t="n">
        <f aca="false">YEAR(B550)</f>
        <v>2025</v>
      </c>
      <c r="P550" s="41" t="n">
        <f aca="false">DATE(YEAR(B550),MONTH(B550),1)</f>
        <v>45870</v>
      </c>
      <c r="Q550" s="0" t="str">
        <f aca="false">INDEX(Products!$C$2:$C$16,MATCH(E550,Products!$A$2:$A$16,0))</f>
        <v>Technology</v>
      </c>
      <c r="R550" s="0" t="str">
        <f aca="false">INDEX(Customers!$F$2:$F$101,MATCH(D550,Customers!$A$2:$A$101,0))</f>
        <v>North</v>
      </c>
      <c r="S550" s="0" t="str">
        <f aca="false">INDEX(Customers!$C$2:$C$101,MATCH(D550,Customers!$A$2:$A$101,0))</f>
        <v>Consumer</v>
      </c>
      <c r="T550" s="0" t="str">
        <f aca="false">INDEX(Customers!$D$2:$D$101,MATCH(D550,Customers!$A$2:$A$101,0))</f>
        <v>Gurugram</v>
      </c>
    </row>
    <row r="551" customFormat="false" ht="15" hidden="false" customHeight="false" outlineLevel="0" collapsed="false">
      <c r="A551" s="0" t="s">
        <v>822</v>
      </c>
      <c r="B551" s="37" t="n">
        <v>46213</v>
      </c>
      <c r="C551" s="37" t="n">
        <v>46215</v>
      </c>
      <c r="D551" s="38" t="s">
        <v>305</v>
      </c>
      <c r="E551" s="38" t="s">
        <v>114</v>
      </c>
      <c r="F551" s="38" t="s">
        <v>101</v>
      </c>
      <c r="G551" s="38" t="s">
        <v>188</v>
      </c>
      <c r="H551" s="0" t="n">
        <v>2</v>
      </c>
      <c r="I551" s="39" t="n">
        <v>800</v>
      </c>
      <c r="J551" s="40" t="n">
        <v>0.1</v>
      </c>
      <c r="K551" s="39" t="n">
        <v>1440</v>
      </c>
      <c r="L551" s="39" t="n">
        <v>840</v>
      </c>
      <c r="M551" s="39" t="n">
        <v>600</v>
      </c>
      <c r="N551" s="38" t="s">
        <v>66</v>
      </c>
      <c r="O551" s="38" t="n">
        <f aca="false">YEAR(B551)</f>
        <v>2026</v>
      </c>
      <c r="P551" s="41" t="n">
        <f aca="false">DATE(YEAR(B551),MONTH(B551),1)</f>
        <v>46204</v>
      </c>
      <c r="Q551" s="0" t="str">
        <f aca="false">INDEX(Products!$C$2:$C$16,MATCH(E551,Products!$A$2:$A$16,0))</f>
        <v>Technology</v>
      </c>
      <c r="R551" s="0" t="str">
        <f aca="false">INDEX(Customers!$F$2:$F$101,MATCH(D551,Customers!$A$2:$A$101,0))</f>
        <v>South</v>
      </c>
      <c r="S551" s="0" t="str">
        <f aca="false">INDEX(Customers!$C$2:$C$101,MATCH(D551,Customers!$A$2:$A$101,0))</f>
        <v>Consumer</v>
      </c>
      <c r="T551" s="0" t="str">
        <f aca="false">INDEX(Customers!$D$2:$D$101,MATCH(D551,Customers!$A$2:$A$101,0))</f>
        <v>Chennai</v>
      </c>
    </row>
    <row r="552" customFormat="false" ht="15" hidden="false" customHeight="false" outlineLevel="0" collapsed="false">
      <c r="A552" s="0" t="s">
        <v>823</v>
      </c>
      <c r="B552" s="37" t="n">
        <v>45448</v>
      </c>
      <c r="C552" s="37" t="n">
        <v>45453</v>
      </c>
      <c r="D552" s="38" t="s">
        <v>182</v>
      </c>
      <c r="E552" s="38" t="s">
        <v>122</v>
      </c>
      <c r="F552" s="38" t="s">
        <v>101</v>
      </c>
      <c r="G552" s="38" t="s">
        <v>185</v>
      </c>
      <c r="H552" s="0" t="n">
        <v>3</v>
      </c>
      <c r="I552" s="39" t="n">
        <v>5500</v>
      </c>
      <c r="J552" s="40" t="n">
        <v>0.25</v>
      </c>
      <c r="K552" s="39" t="n">
        <v>12375</v>
      </c>
      <c r="L552" s="39" t="n">
        <v>11100</v>
      </c>
      <c r="M552" s="39" t="n">
        <v>1275</v>
      </c>
      <c r="N552" s="38" t="s">
        <v>66</v>
      </c>
      <c r="O552" s="38" t="n">
        <f aca="false">YEAR(B552)</f>
        <v>2024</v>
      </c>
      <c r="P552" s="41" t="n">
        <f aca="false">DATE(YEAR(B552),MONTH(B552),1)</f>
        <v>45444</v>
      </c>
      <c r="Q552" s="0" t="str">
        <f aca="false">INDEX(Products!$C$2:$C$16,MATCH(E552,Products!$A$2:$A$16,0))</f>
        <v>Furniture</v>
      </c>
      <c r="R552" s="0" t="str">
        <f aca="false">INDEX(Customers!$F$2:$F$101,MATCH(D552,Customers!$A$2:$A$101,0))</f>
        <v>North</v>
      </c>
      <c r="S552" s="0" t="str">
        <f aca="false">INDEX(Customers!$C$2:$C$101,MATCH(D552,Customers!$A$2:$A$101,0))</f>
        <v>Small Business</v>
      </c>
      <c r="T552" s="0" t="str">
        <f aca="false">INDEX(Customers!$D$2:$D$101,MATCH(D552,Customers!$A$2:$A$101,0))</f>
        <v>Gurugram</v>
      </c>
    </row>
    <row r="553" customFormat="false" ht="15" hidden="false" customHeight="false" outlineLevel="0" collapsed="false">
      <c r="A553" s="0" t="s">
        <v>824</v>
      </c>
      <c r="B553" s="37" t="n">
        <v>46096</v>
      </c>
      <c r="C553" s="37" t="n">
        <v>46098</v>
      </c>
      <c r="D553" s="38" t="s">
        <v>298</v>
      </c>
      <c r="E553" s="38" t="s">
        <v>116</v>
      </c>
      <c r="F553" s="38" t="s">
        <v>101</v>
      </c>
      <c r="G553" s="38" t="s">
        <v>170</v>
      </c>
      <c r="H553" s="0" t="n">
        <v>4</v>
      </c>
      <c r="I553" s="39" t="n">
        <v>12000</v>
      </c>
      <c r="J553" s="40" t="n">
        <v>0.2</v>
      </c>
      <c r="K553" s="39" t="n">
        <v>38400</v>
      </c>
      <c r="L553" s="39" t="n">
        <v>36000</v>
      </c>
      <c r="M553" s="39" t="n">
        <v>2400</v>
      </c>
      <c r="N553" s="38" t="s">
        <v>66</v>
      </c>
      <c r="O553" s="38" t="n">
        <f aca="false">YEAR(B553)</f>
        <v>2026</v>
      </c>
      <c r="P553" s="41" t="n">
        <f aca="false">DATE(YEAR(B553),MONTH(B553),1)</f>
        <v>46082</v>
      </c>
      <c r="Q553" s="0" t="str">
        <f aca="false">INDEX(Products!$C$2:$C$16,MATCH(E553,Products!$A$2:$A$16,0))</f>
        <v>Technology</v>
      </c>
      <c r="R553" s="0" t="str">
        <f aca="false">INDEX(Customers!$F$2:$F$101,MATCH(D553,Customers!$A$2:$A$101,0))</f>
        <v>North</v>
      </c>
      <c r="S553" s="0" t="str">
        <f aca="false">INDEX(Customers!$C$2:$C$101,MATCH(D553,Customers!$A$2:$A$101,0))</f>
        <v>Consumer</v>
      </c>
      <c r="T553" s="0" t="str">
        <f aca="false">INDEX(Customers!$D$2:$D$101,MATCH(D553,Customers!$A$2:$A$101,0))</f>
        <v>Lucknow</v>
      </c>
    </row>
    <row r="554" customFormat="false" ht="15" hidden="false" customHeight="false" outlineLevel="0" collapsed="false">
      <c r="A554" s="0" t="s">
        <v>825</v>
      </c>
      <c r="B554" s="37" t="n">
        <v>46042</v>
      </c>
      <c r="C554" s="37" t="n">
        <v>46045</v>
      </c>
      <c r="D554" s="38" t="s">
        <v>210</v>
      </c>
      <c r="E554" s="38" t="s">
        <v>123</v>
      </c>
      <c r="F554" s="38" t="s">
        <v>101</v>
      </c>
      <c r="G554" s="38" t="s">
        <v>170</v>
      </c>
      <c r="H554" s="0" t="n">
        <v>5</v>
      </c>
      <c r="I554" s="39" t="n">
        <v>2200</v>
      </c>
      <c r="J554" s="40" t="n">
        <v>0.1</v>
      </c>
      <c r="K554" s="39" t="n">
        <v>9900</v>
      </c>
      <c r="L554" s="39" t="n">
        <v>6500</v>
      </c>
      <c r="M554" s="39" t="n">
        <v>3400</v>
      </c>
      <c r="N554" s="38" t="s">
        <v>66</v>
      </c>
      <c r="O554" s="38" t="n">
        <f aca="false">YEAR(B554)</f>
        <v>2026</v>
      </c>
      <c r="P554" s="41" t="n">
        <f aca="false">DATE(YEAR(B554),MONTH(B554),1)</f>
        <v>46023</v>
      </c>
      <c r="Q554" s="0" t="str">
        <f aca="false">INDEX(Products!$C$2:$C$16,MATCH(E554,Products!$A$2:$A$16,0))</f>
        <v>Technology</v>
      </c>
      <c r="R554" s="0" t="str">
        <f aca="false">INDEX(Customers!$F$2:$F$101,MATCH(D554,Customers!$A$2:$A$101,0))</f>
        <v>North</v>
      </c>
      <c r="S554" s="0" t="str">
        <f aca="false">INDEX(Customers!$C$2:$C$101,MATCH(D554,Customers!$A$2:$A$101,0))</f>
        <v>Corporate</v>
      </c>
      <c r="T554" s="0" t="str">
        <f aca="false">INDEX(Customers!$D$2:$D$101,MATCH(D554,Customers!$A$2:$A$101,0))</f>
        <v>Jaipur</v>
      </c>
    </row>
    <row r="555" customFormat="false" ht="15" hidden="false" customHeight="false" outlineLevel="0" collapsed="false">
      <c r="A555" s="0" t="s">
        <v>826</v>
      </c>
      <c r="B555" s="37" t="n">
        <v>45403</v>
      </c>
      <c r="C555" s="37" t="n">
        <v>45405</v>
      </c>
      <c r="D555" s="38" t="s">
        <v>238</v>
      </c>
      <c r="E555" s="38" t="s">
        <v>121</v>
      </c>
      <c r="F555" s="38" t="s">
        <v>101</v>
      </c>
      <c r="G555" s="38" t="s">
        <v>173</v>
      </c>
      <c r="H555" s="0" t="n">
        <v>3</v>
      </c>
      <c r="I555" s="39" t="n">
        <v>180</v>
      </c>
      <c r="J555" s="40" t="n">
        <v>0</v>
      </c>
      <c r="K555" s="39" t="n">
        <v>540</v>
      </c>
      <c r="L555" s="39" t="n">
        <v>210</v>
      </c>
      <c r="M555" s="39" t="n">
        <v>330</v>
      </c>
      <c r="N555" s="38" t="s">
        <v>66</v>
      </c>
      <c r="O555" s="38" t="n">
        <f aca="false">YEAR(B555)</f>
        <v>2024</v>
      </c>
      <c r="P555" s="41" t="n">
        <f aca="false">DATE(YEAR(B555),MONTH(B555),1)</f>
        <v>45383</v>
      </c>
      <c r="Q555" s="0" t="str">
        <f aca="false">INDEX(Products!$C$2:$C$16,MATCH(E555,Products!$A$2:$A$16,0))</f>
        <v>Office Supplies</v>
      </c>
      <c r="R555" s="0" t="str">
        <f aca="false">INDEX(Customers!$F$2:$F$101,MATCH(D555,Customers!$A$2:$A$101,0))</f>
        <v>North</v>
      </c>
      <c r="S555" s="0" t="str">
        <f aca="false">INDEX(Customers!$C$2:$C$101,MATCH(D555,Customers!$A$2:$A$101,0))</f>
        <v>Small Business</v>
      </c>
      <c r="T555" s="0" t="str">
        <f aca="false">INDEX(Customers!$D$2:$D$101,MATCH(D555,Customers!$A$2:$A$101,0))</f>
        <v>Lucknow</v>
      </c>
    </row>
    <row r="556" customFormat="false" ht="15" hidden="false" customHeight="false" outlineLevel="0" collapsed="false">
      <c r="A556" s="0" t="s">
        <v>827</v>
      </c>
      <c r="B556" s="37" t="n">
        <v>46043</v>
      </c>
      <c r="C556" s="37" t="n">
        <v>46049</v>
      </c>
      <c r="D556" s="38" t="s">
        <v>177</v>
      </c>
      <c r="E556" s="38" t="s">
        <v>117</v>
      </c>
      <c r="F556" s="38" t="s">
        <v>100</v>
      </c>
      <c r="G556" s="38" t="s">
        <v>188</v>
      </c>
      <c r="H556" s="0" t="n">
        <v>1</v>
      </c>
      <c r="I556" s="39" t="n">
        <v>6500</v>
      </c>
      <c r="J556" s="40" t="n">
        <v>0</v>
      </c>
      <c r="K556" s="39" t="n">
        <v>6500</v>
      </c>
      <c r="L556" s="39" t="n">
        <v>4200</v>
      </c>
      <c r="M556" s="39" t="n">
        <v>2300</v>
      </c>
      <c r="N556" s="38" t="s">
        <v>66</v>
      </c>
      <c r="O556" s="38" t="n">
        <f aca="false">YEAR(B556)</f>
        <v>2026</v>
      </c>
      <c r="P556" s="41" t="n">
        <f aca="false">DATE(YEAR(B556),MONTH(B556),1)</f>
        <v>46023</v>
      </c>
      <c r="Q556" s="0" t="str">
        <f aca="false">INDEX(Products!$C$2:$C$16,MATCH(E556,Products!$A$2:$A$16,0))</f>
        <v>Furniture</v>
      </c>
      <c r="R556" s="0" t="str">
        <f aca="false">INDEX(Customers!$F$2:$F$101,MATCH(D556,Customers!$A$2:$A$101,0))</f>
        <v>North</v>
      </c>
      <c r="S556" s="0" t="str">
        <f aca="false">INDEX(Customers!$C$2:$C$101,MATCH(D556,Customers!$A$2:$A$101,0))</f>
        <v>Consumer</v>
      </c>
      <c r="T556" s="0" t="str">
        <f aca="false">INDEX(Customers!$D$2:$D$101,MATCH(D556,Customers!$A$2:$A$101,0))</f>
        <v>Gurugram</v>
      </c>
    </row>
    <row r="557" customFormat="false" ht="15" hidden="false" customHeight="false" outlineLevel="0" collapsed="false">
      <c r="A557" s="0" t="s">
        <v>828</v>
      </c>
      <c r="B557" s="37" t="n">
        <v>45706</v>
      </c>
      <c r="C557" s="37" t="n">
        <v>45713</v>
      </c>
      <c r="D557" s="38" t="s">
        <v>200</v>
      </c>
      <c r="E557" s="38" t="s">
        <v>122</v>
      </c>
      <c r="F557" s="38" t="s">
        <v>102</v>
      </c>
      <c r="G557" s="38" t="s">
        <v>170</v>
      </c>
      <c r="H557" s="0" t="n">
        <v>3</v>
      </c>
      <c r="I557" s="39" t="n">
        <v>5500</v>
      </c>
      <c r="J557" s="40" t="n">
        <v>0</v>
      </c>
      <c r="K557" s="39" t="n">
        <v>16500</v>
      </c>
      <c r="L557" s="39" t="n">
        <v>11100</v>
      </c>
      <c r="M557" s="39" t="n">
        <v>5400</v>
      </c>
      <c r="N557" s="38" t="s">
        <v>66</v>
      </c>
      <c r="O557" s="38" t="n">
        <f aca="false">YEAR(B557)</f>
        <v>2025</v>
      </c>
      <c r="P557" s="41" t="n">
        <f aca="false">DATE(YEAR(B557),MONTH(B557),1)</f>
        <v>45689</v>
      </c>
      <c r="Q557" s="0" t="str">
        <f aca="false">INDEX(Products!$C$2:$C$16,MATCH(E557,Products!$A$2:$A$16,0))</f>
        <v>Furniture</v>
      </c>
      <c r="R557" s="0" t="str">
        <f aca="false">INDEX(Customers!$F$2:$F$101,MATCH(D557,Customers!$A$2:$A$101,0))</f>
        <v>West</v>
      </c>
      <c r="S557" s="0" t="str">
        <f aca="false">INDEX(Customers!$C$2:$C$101,MATCH(D557,Customers!$A$2:$A$101,0))</f>
        <v>Corporate</v>
      </c>
      <c r="T557" s="0" t="str">
        <f aca="false">INDEX(Customers!$D$2:$D$101,MATCH(D557,Customers!$A$2:$A$101,0))</f>
        <v>Mumbai</v>
      </c>
    </row>
    <row r="558" customFormat="false" ht="15" hidden="false" customHeight="false" outlineLevel="0" collapsed="false">
      <c r="A558" s="0" t="s">
        <v>829</v>
      </c>
      <c r="B558" s="37" t="n">
        <v>45961</v>
      </c>
      <c r="C558" s="37" t="n">
        <v>45968</v>
      </c>
      <c r="D558" s="38" t="s">
        <v>204</v>
      </c>
      <c r="E558" s="38" t="s">
        <v>120</v>
      </c>
      <c r="F558" s="38" t="s">
        <v>100</v>
      </c>
      <c r="G558" s="38" t="s">
        <v>188</v>
      </c>
      <c r="H558" s="0" t="n">
        <v>1</v>
      </c>
      <c r="I558" s="39" t="n">
        <v>400</v>
      </c>
      <c r="J558" s="40" t="n">
        <v>0.1</v>
      </c>
      <c r="K558" s="39" t="n">
        <v>360</v>
      </c>
      <c r="L558" s="39" t="n">
        <v>260</v>
      </c>
      <c r="M558" s="39" t="n">
        <v>100</v>
      </c>
      <c r="N558" s="38" t="s">
        <v>66</v>
      </c>
      <c r="O558" s="38" t="n">
        <f aca="false">YEAR(B558)</f>
        <v>2025</v>
      </c>
      <c r="P558" s="41" t="n">
        <f aca="false">DATE(YEAR(B558),MONTH(B558),1)</f>
        <v>45931</v>
      </c>
      <c r="Q558" s="0" t="str">
        <f aca="false">INDEX(Products!$C$2:$C$16,MATCH(E558,Products!$A$2:$A$16,0))</f>
        <v>Office Supplies</v>
      </c>
      <c r="R558" s="0" t="str">
        <f aca="false">INDEX(Customers!$F$2:$F$101,MATCH(D558,Customers!$A$2:$A$101,0))</f>
        <v>South</v>
      </c>
      <c r="S558" s="0" t="str">
        <f aca="false">INDEX(Customers!$C$2:$C$101,MATCH(D558,Customers!$A$2:$A$101,0))</f>
        <v>Small Business</v>
      </c>
      <c r="T558" s="0" t="str">
        <f aca="false">INDEX(Customers!$D$2:$D$101,MATCH(D558,Customers!$A$2:$A$101,0))</f>
        <v>Bengaluru</v>
      </c>
    </row>
    <row r="559" customFormat="false" ht="15" hidden="false" customHeight="false" outlineLevel="0" collapsed="false">
      <c r="A559" s="0" t="s">
        <v>830</v>
      </c>
      <c r="B559" s="37" t="n">
        <v>45767</v>
      </c>
      <c r="C559" s="37" t="n">
        <v>45772</v>
      </c>
      <c r="D559" s="38" t="s">
        <v>310</v>
      </c>
      <c r="E559" s="38" t="s">
        <v>115</v>
      </c>
      <c r="F559" s="38" t="s">
        <v>101</v>
      </c>
      <c r="G559" s="38" t="s">
        <v>188</v>
      </c>
      <c r="H559" s="0" t="n">
        <v>2</v>
      </c>
      <c r="I559" s="39" t="n">
        <v>1500</v>
      </c>
      <c r="J559" s="40" t="n">
        <v>0.1</v>
      </c>
      <c r="K559" s="39" t="n">
        <v>2700</v>
      </c>
      <c r="L559" s="39" t="n">
        <v>1700</v>
      </c>
      <c r="M559" s="39" t="n">
        <v>1000</v>
      </c>
      <c r="N559" s="38" t="s">
        <v>66</v>
      </c>
      <c r="O559" s="38" t="n">
        <f aca="false">YEAR(B559)</f>
        <v>2025</v>
      </c>
      <c r="P559" s="41" t="n">
        <f aca="false">DATE(YEAR(B559),MONTH(B559),1)</f>
        <v>45748</v>
      </c>
      <c r="Q559" s="0" t="str">
        <f aca="false">INDEX(Products!$C$2:$C$16,MATCH(E559,Products!$A$2:$A$16,0))</f>
        <v>Technology</v>
      </c>
      <c r="R559" s="0" t="str">
        <f aca="false">INDEX(Customers!$F$2:$F$101,MATCH(D559,Customers!$A$2:$A$101,0))</f>
        <v>South</v>
      </c>
      <c r="S559" s="0" t="str">
        <f aca="false">INDEX(Customers!$C$2:$C$101,MATCH(D559,Customers!$A$2:$A$101,0))</f>
        <v>Small Business</v>
      </c>
      <c r="T559" s="0" t="str">
        <f aca="false">INDEX(Customers!$D$2:$D$101,MATCH(D559,Customers!$A$2:$A$101,0))</f>
        <v>Hyderabad</v>
      </c>
    </row>
    <row r="560" customFormat="false" ht="15" hidden="false" customHeight="false" outlineLevel="0" collapsed="false">
      <c r="A560" s="0" t="s">
        <v>831</v>
      </c>
      <c r="B560" s="37" t="n">
        <v>46279</v>
      </c>
      <c r="C560" s="37" t="n">
        <v>46286</v>
      </c>
      <c r="D560" s="38" t="s">
        <v>407</v>
      </c>
      <c r="E560" s="38" t="s">
        <v>126</v>
      </c>
      <c r="F560" s="38" t="s">
        <v>100</v>
      </c>
      <c r="G560" s="38" t="s">
        <v>188</v>
      </c>
      <c r="H560" s="0" t="n">
        <v>10</v>
      </c>
      <c r="I560" s="39" t="n">
        <v>1200</v>
      </c>
      <c r="J560" s="40" t="n">
        <v>0.2</v>
      </c>
      <c r="K560" s="39" t="n">
        <v>9600</v>
      </c>
      <c r="L560" s="39" t="n">
        <v>7000</v>
      </c>
      <c r="M560" s="39" t="n">
        <v>2600</v>
      </c>
      <c r="N560" s="38" t="s">
        <v>66</v>
      </c>
      <c r="O560" s="38" t="n">
        <f aca="false">YEAR(B560)</f>
        <v>2026</v>
      </c>
      <c r="P560" s="41" t="n">
        <f aca="false">DATE(YEAR(B560),MONTH(B560),1)</f>
        <v>46266</v>
      </c>
      <c r="Q560" s="0" t="str">
        <f aca="false">INDEX(Products!$C$2:$C$16,MATCH(E560,Products!$A$2:$A$16,0))</f>
        <v>Furniture</v>
      </c>
      <c r="R560" s="0" t="str">
        <f aca="false">INDEX(Customers!$F$2:$F$101,MATCH(D560,Customers!$A$2:$A$101,0))</f>
        <v>North</v>
      </c>
      <c r="S560" s="0" t="str">
        <f aca="false">INDEX(Customers!$C$2:$C$101,MATCH(D560,Customers!$A$2:$A$101,0))</f>
        <v>Small Business</v>
      </c>
      <c r="T560" s="0" t="str">
        <f aca="false">INDEX(Customers!$D$2:$D$101,MATCH(D560,Customers!$A$2:$A$101,0))</f>
        <v>Delhi</v>
      </c>
    </row>
    <row r="561" customFormat="false" ht="15" hidden="false" customHeight="false" outlineLevel="0" collapsed="false">
      <c r="A561" s="0" t="s">
        <v>832</v>
      </c>
      <c r="B561" s="37" t="n">
        <v>45871</v>
      </c>
      <c r="C561" s="37" t="n">
        <v>45876</v>
      </c>
      <c r="D561" s="38" t="s">
        <v>404</v>
      </c>
      <c r="E561" s="38" t="s">
        <v>115</v>
      </c>
      <c r="F561" s="38" t="s">
        <v>102</v>
      </c>
      <c r="G561" s="38" t="s">
        <v>185</v>
      </c>
      <c r="H561" s="0" t="n">
        <v>3</v>
      </c>
      <c r="I561" s="39" t="n">
        <v>1500</v>
      </c>
      <c r="J561" s="40" t="n">
        <v>0</v>
      </c>
      <c r="K561" s="39" t="n">
        <v>4500</v>
      </c>
      <c r="L561" s="39" t="n">
        <v>2550</v>
      </c>
      <c r="M561" s="39" t="n">
        <v>1950</v>
      </c>
      <c r="N561" s="38" t="s">
        <v>146</v>
      </c>
      <c r="O561" s="38" t="n">
        <f aca="false">YEAR(B561)</f>
        <v>2025</v>
      </c>
      <c r="P561" s="41" t="n">
        <f aca="false">DATE(YEAR(B561),MONTH(B561),1)</f>
        <v>45870</v>
      </c>
      <c r="Q561" s="0" t="str">
        <f aca="false">INDEX(Products!$C$2:$C$16,MATCH(E561,Products!$A$2:$A$16,0))</f>
        <v>Technology</v>
      </c>
      <c r="R561" s="0" t="str">
        <f aca="false">INDEX(Customers!$F$2:$F$101,MATCH(D561,Customers!$A$2:$A$101,0))</f>
        <v>West</v>
      </c>
      <c r="S561" s="0" t="str">
        <f aca="false">INDEX(Customers!$C$2:$C$101,MATCH(D561,Customers!$A$2:$A$101,0))</f>
        <v>Small Business</v>
      </c>
      <c r="T561" s="0" t="str">
        <f aca="false">INDEX(Customers!$D$2:$D$101,MATCH(D561,Customers!$A$2:$A$101,0))</f>
        <v>Mumbai</v>
      </c>
    </row>
    <row r="562" customFormat="false" ht="15" hidden="false" customHeight="false" outlineLevel="0" collapsed="false">
      <c r="A562" s="0" t="s">
        <v>833</v>
      </c>
      <c r="B562" s="37" t="n">
        <v>46071</v>
      </c>
      <c r="C562" s="37" t="n">
        <v>46075</v>
      </c>
      <c r="D562" s="38" t="s">
        <v>302</v>
      </c>
      <c r="E562" s="38" t="s">
        <v>116</v>
      </c>
      <c r="F562" s="38" t="s">
        <v>101</v>
      </c>
      <c r="G562" s="38" t="s">
        <v>173</v>
      </c>
      <c r="H562" s="0" t="n">
        <v>1</v>
      </c>
      <c r="I562" s="39" t="n">
        <v>12000</v>
      </c>
      <c r="J562" s="40" t="n">
        <v>0.05</v>
      </c>
      <c r="K562" s="39" t="n">
        <v>11400</v>
      </c>
      <c r="L562" s="39" t="n">
        <v>9000</v>
      </c>
      <c r="M562" s="39" t="n">
        <v>2400</v>
      </c>
      <c r="N562" s="38" t="s">
        <v>66</v>
      </c>
      <c r="O562" s="38" t="n">
        <f aca="false">YEAR(B562)</f>
        <v>2026</v>
      </c>
      <c r="P562" s="41" t="n">
        <f aca="false">DATE(YEAR(B562),MONTH(B562),1)</f>
        <v>46054</v>
      </c>
      <c r="Q562" s="0" t="str">
        <f aca="false">INDEX(Products!$C$2:$C$16,MATCH(E562,Products!$A$2:$A$16,0))</f>
        <v>Technology</v>
      </c>
      <c r="R562" s="0" t="str">
        <f aca="false">INDEX(Customers!$F$2:$F$101,MATCH(D562,Customers!$A$2:$A$101,0))</f>
        <v>East</v>
      </c>
      <c r="S562" s="0" t="str">
        <f aca="false">INDEX(Customers!$C$2:$C$101,MATCH(D562,Customers!$A$2:$A$101,0))</f>
        <v>Consumer</v>
      </c>
      <c r="T562" s="0" t="str">
        <f aca="false">INDEX(Customers!$D$2:$D$101,MATCH(D562,Customers!$A$2:$A$101,0))</f>
        <v>Bhubaneswar</v>
      </c>
    </row>
    <row r="563" customFormat="false" ht="15" hidden="false" customHeight="false" outlineLevel="0" collapsed="false">
      <c r="A563" s="0" t="s">
        <v>834</v>
      </c>
      <c r="B563" s="37" t="n">
        <v>46221</v>
      </c>
      <c r="C563" s="37" t="n">
        <v>46228</v>
      </c>
      <c r="D563" s="38" t="s">
        <v>280</v>
      </c>
      <c r="E563" s="38" t="s">
        <v>121</v>
      </c>
      <c r="F563" s="38" t="s">
        <v>101</v>
      </c>
      <c r="G563" s="38" t="s">
        <v>178</v>
      </c>
      <c r="H563" s="0" t="n">
        <v>2</v>
      </c>
      <c r="I563" s="39" t="n">
        <v>180</v>
      </c>
      <c r="J563" s="40" t="n">
        <v>0.1</v>
      </c>
      <c r="K563" s="39" t="n">
        <v>324</v>
      </c>
      <c r="L563" s="39" t="n">
        <v>140</v>
      </c>
      <c r="M563" s="39" t="n">
        <v>184</v>
      </c>
      <c r="N563" s="38" t="s">
        <v>66</v>
      </c>
      <c r="O563" s="38" t="n">
        <f aca="false">YEAR(B563)</f>
        <v>2026</v>
      </c>
      <c r="P563" s="41" t="n">
        <f aca="false">DATE(YEAR(B563),MONTH(B563),1)</f>
        <v>46204</v>
      </c>
      <c r="Q563" s="0" t="str">
        <f aca="false">INDEX(Products!$C$2:$C$16,MATCH(E563,Products!$A$2:$A$16,0))</f>
        <v>Office Supplies</v>
      </c>
      <c r="R563" s="0" t="str">
        <f aca="false">INDEX(Customers!$F$2:$F$101,MATCH(D563,Customers!$A$2:$A$101,0))</f>
        <v>North</v>
      </c>
      <c r="S563" s="0" t="str">
        <f aca="false">INDEX(Customers!$C$2:$C$101,MATCH(D563,Customers!$A$2:$A$101,0))</f>
        <v>Corporate</v>
      </c>
      <c r="T563" s="0" t="str">
        <f aca="false">INDEX(Customers!$D$2:$D$101,MATCH(D563,Customers!$A$2:$A$101,0))</f>
        <v>Jaipur</v>
      </c>
    </row>
    <row r="564" customFormat="false" ht="15" hidden="false" customHeight="false" outlineLevel="0" collapsed="false">
      <c r="A564" s="0" t="s">
        <v>835</v>
      </c>
      <c r="B564" s="37" t="n">
        <v>45397</v>
      </c>
      <c r="C564" s="37" t="n">
        <v>45403</v>
      </c>
      <c r="D564" s="38" t="s">
        <v>215</v>
      </c>
      <c r="E564" s="38" t="s">
        <v>118</v>
      </c>
      <c r="F564" s="38" t="s">
        <v>101</v>
      </c>
      <c r="G564" s="38" t="s">
        <v>170</v>
      </c>
      <c r="H564" s="0" t="n">
        <v>8</v>
      </c>
      <c r="I564" s="39" t="n">
        <v>9000</v>
      </c>
      <c r="J564" s="40" t="n">
        <v>0.2</v>
      </c>
      <c r="K564" s="39" t="n">
        <v>57600</v>
      </c>
      <c r="L564" s="39" t="n">
        <v>52000</v>
      </c>
      <c r="M564" s="39" t="n">
        <v>5600</v>
      </c>
      <c r="N564" s="38" t="s">
        <v>66</v>
      </c>
      <c r="O564" s="38" t="n">
        <f aca="false">YEAR(B564)</f>
        <v>2024</v>
      </c>
      <c r="P564" s="41" t="n">
        <f aca="false">DATE(YEAR(B564),MONTH(B564),1)</f>
        <v>45383</v>
      </c>
      <c r="Q564" s="0" t="str">
        <f aca="false">INDEX(Products!$C$2:$C$16,MATCH(E564,Products!$A$2:$A$16,0))</f>
        <v>Furniture</v>
      </c>
      <c r="R564" s="0" t="str">
        <f aca="false">INDEX(Customers!$F$2:$F$101,MATCH(D564,Customers!$A$2:$A$101,0))</f>
        <v>North</v>
      </c>
      <c r="S564" s="0" t="str">
        <f aca="false">INDEX(Customers!$C$2:$C$101,MATCH(D564,Customers!$A$2:$A$101,0))</f>
        <v>Consumer</v>
      </c>
      <c r="T564" s="0" t="str">
        <f aca="false">INDEX(Customers!$D$2:$D$101,MATCH(D564,Customers!$A$2:$A$101,0))</f>
        <v>Jaipur</v>
      </c>
    </row>
    <row r="565" customFormat="false" ht="15" hidden="false" customHeight="false" outlineLevel="0" collapsed="false">
      <c r="A565" s="0" t="s">
        <v>836</v>
      </c>
      <c r="B565" s="37" t="n">
        <v>45677</v>
      </c>
      <c r="C565" s="37" t="n">
        <v>45683</v>
      </c>
      <c r="D565" s="38" t="s">
        <v>224</v>
      </c>
      <c r="E565" s="38" t="s">
        <v>115</v>
      </c>
      <c r="F565" s="38" t="s">
        <v>102</v>
      </c>
      <c r="G565" s="38" t="s">
        <v>178</v>
      </c>
      <c r="H565" s="0" t="n">
        <v>2</v>
      </c>
      <c r="I565" s="39" t="n">
        <v>1500</v>
      </c>
      <c r="J565" s="40" t="n">
        <v>0.15</v>
      </c>
      <c r="K565" s="39" t="n">
        <v>2550</v>
      </c>
      <c r="L565" s="39" t="n">
        <v>1700</v>
      </c>
      <c r="M565" s="39" t="n">
        <v>850</v>
      </c>
      <c r="N565" s="38" t="s">
        <v>66</v>
      </c>
      <c r="O565" s="38" t="n">
        <f aca="false">YEAR(B565)</f>
        <v>2025</v>
      </c>
      <c r="P565" s="41" t="n">
        <f aca="false">DATE(YEAR(B565),MONTH(B565),1)</f>
        <v>45658</v>
      </c>
      <c r="Q565" s="0" t="str">
        <f aca="false">INDEX(Products!$C$2:$C$16,MATCH(E565,Products!$A$2:$A$16,0))</f>
        <v>Technology</v>
      </c>
      <c r="R565" s="0" t="str">
        <f aca="false">INDEX(Customers!$F$2:$F$101,MATCH(D565,Customers!$A$2:$A$101,0))</f>
        <v>North</v>
      </c>
      <c r="S565" s="0" t="str">
        <f aca="false">INDEX(Customers!$C$2:$C$101,MATCH(D565,Customers!$A$2:$A$101,0))</f>
        <v>Small Business</v>
      </c>
      <c r="T565" s="0" t="str">
        <f aca="false">INDEX(Customers!$D$2:$D$101,MATCH(D565,Customers!$A$2:$A$101,0))</f>
        <v>Jaipur</v>
      </c>
    </row>
    <row r="566" customFormat="false" ht="15" hidden="false" customHeight="false" outlineLevel="0" collapsed="false">
      <c r="A566" s="0" t="s">
        <v>837</v>
      </c>
      <c r="B566" s="37" t="n">
        <v>45520</v>
      </c>
      <c r="C566" s="37" t="n">
        <v>45525</v>
      </c>
      <c r="D566" s="38" t="s">
        <v>517</v>
      </c>
      <c r="E566" s="38" t="s">
        <v>127</v>
      </c>
      <c r="F566" s="38" t="s">
        <v>101</v>
      </c>
      <c r="G566" s="38" t="s">
        <v>185</v>
      </c>
      <c r="H566" s="0" t="n">
        <v>2</v>
      </c>
      <c r="I566" s="39" t="n">
        <v>18000</v>
      </c>
      <c r="J566" s="40" t="n">
        <v>0.25</v>
      </c>
      <c r="K566" s="39" t="n">
        <v>27000</v>
      </c>
      <c r="L566" s="39" t="n">
        <v>28000</v>
      </c>
      <c r="M566" s="39" t="n">
        <v>-1000</v>
      </c>
      <c r="N566" s="38" t="s">
        <v>66</v>
      </c>
      <c r="O566" s="38" t="n">
        <f aca="false">YEAR(B566)</f>
        <v>2024</v>
      </c>
      <c r="P566" s="41" t="n">
        <f aca="false">DATE(YEAR(B566),MONTH(B566),1)</f>
        <v>45505</v>
      </c>
      <c r="Q566" s="0" t="str">
        <f aca="false">INDEX(Products!$C$2:$C$16,MATCH(E566,Products!$A$2:$A$16,0))</f>
        <v>Technology</v>
      </c>
      <c r="R566" s="0" t="str">
        <f aca="false">INDEX(Customers!$F$2:$F$101,MATCH(D566,Customers!$A$2:$A$101,0))</f>
        <v>East</v>
      </c>
      <c r="S566" s="0" t="str">
        <f aca="false">INDEX(Customers!$C$2:$C$101,MATCH(D566,Customers!$A$2:$A$101,0))</f>
        <v>Corporate</v>
      </c>
      <c r="T566" s="0" t="str">
        <f aca="false">INDEX(Customers!$D$2:$D$101,MATCH(D566,Customers!$A$2:$A$101,0))</f>
        <v>Kolkata</v>
      </c>
    </row>
    <row r="567" customFormat="false" ht="15" hidden="false" customHeight="false" outlineLevel="0" collapsed="false">
      <c r="A567" s="0" t="s">
        <v>838</v>
      </c>
      <c r="B567" s="37" t="n">
        <v>45805</v>
      </c>
      <c r="C567" s="37" t="n">
        <v>45807</v>
      </c>
      <c r="D567" s="38" t="s">
        <v>350</v>
      </c>
      <c r="E567" s="38" t="s">
        <v>113</v>
      </c>
      <c r="F567" s="38" t="s">
        <v>100</v>
      </c>
      <c r="G567" s="38" t="s">
        <v>188</v>
      </c>
      <c r="H567" s="0" t="n">
        <v>2</v>
      </c>
      <c r="I567" s="39" t="n">
        <v>45000</v>
      </c>
      <c r="J567" s="40" t="n">
        <v>0</v>
      </c>
      <c r="K567" s="39" t="n">
        <v>90000</v>
      </c>
      <c r="L567" s="39" t="n">
        <v>72000</v>
      </c>
      <c r="M567" s="39" t="n">
        <v>18000</v>
      </c>
      <c r="N567" s="38" t="s">
        <v>66</v>
      </c>
      <c r="O567" s="38" t="n">
        <f aca="false">YEAR(B567)</f>
        <v>2025</v>
      </c>
      <c r="P567" s="41" t="n">
        <f aca="false">DATE(YEAR(B567),MONTH(B567),1)</f>
        <v>45778</v>
      </c>
      <c r="Q567" s="0" t="str">
        <f aca="false">INDEX(Products!$C$2:$C$16,MATCH(E567,Products!$A$2:$A$16,0))</f>
        <v>Technology</v>
      </c>
      <c r="R567" s="0" t="str">
        <f aca="false">INDEX(Customers!$F$2:$F$101,MATCH(D567,Customers!$A$2:$A$101,0))</f>
        <v>South</v>
      </c>
      <c r="S567" s="0" t="str">
        <f aca="false">INDEX(Customers!$C$2:$C$101,MATCH(D567,Customers!$A$2:$A$101,0))</f>
        <v>Consumer</v>
      </c>
      <c r="T567" s="0" t="str">
        <f aca="false">INDEX(Customers!$D$2:$D$101,MATCH(D567,Customers!$A$2:$A$101,0))</f>
        <v>Chennai</v>
      </c>
    </row>
    <row r="568" customFormat="false" ht="15" hidden="false" customHeight="false" outlineLevel="0" collapsed="false">
      <c r="A568" s="0" t="s">
        <v>839</v>
      </c>
      <c r="B568" s="37" t="n">
        <v>45483</v>
      </c>
      <c r="C568" s="37" t="n">
        <v>45485</v>
      </c>
      <c r="D568" s="38" t="s">
        <v>352</v>
      </c>
      <c r="E568" s="38" t="s">
        <v>115</v>
      </c>
      <c r="F568" s="38" t="s">
        <v>100</v>
      </c>
      <c r="G568" s="38" t="s">
        <v>173</v>
      </c>
      <c r="H568" s="0" t="n">
        <v>2</v>
      </c>
      <c r="I568" s="39" t="n">
        <v>1500</v>
      </c>
      <c r="J568" s="40" t="n">
        <v>0.2</v>
      </c>
      <c r="K568" s="39" t="n">
        <v>2400</v>
      </c>
      <c r="L568" s="39" t="n">
        <v>1700</v>
      </c>
      <c r="M568" s="39" t="n">
        <v>700</v>
      </c>
      <c r="N568" s="38" t="s">
        <v>66</v>
      </c>
      <c r="O568" s="38" t="n">
        <f aca="false">YEAR(B568)</f>
        <v>2024</v>
      </c>
      <c r="P568" s="41" t="n">
        <f aca="false">DATE(YEAR(B568),MONTH(B568),1)</f>
        <v>45474</v>
      </c>
      <c r="Q568" s="0" t="str">
        <f aca="false">INDEX(Products!$C$2:$C$16,MATCH(E568,Products!$A$2:$A$16,0))</f>
        <v>Technology</v>
      </c>
      <c r="R568" s="0" t="str">
        <f aca="false">INDEX(Customers!$F$2:$F$101,MATCH(D568,Customers!$A$2:$A$101,0))</f>
        <v>South</v>
      </c>
      <c r="S568" s="0" t="str">
        <f aca="false">INDEX(Customers!$C$2:$C$101,MATCH(D568,Customers!$A$2:$A$101,0))</f>
        <v>Small Business</v>
      </c>
      <c r="T568" s="0" t="str">
        <f aca="false">INDEX(Customers!$D$2:$D$101,MATCH(D568,Customers!$A$2:$A$101,0))</f>
        <v>Hyderabad</v>
      </c>
    </row>
    <row r="569" customFormat="false" ht="15" hidden="false" customHeight="false" outlineLevel="0" collapsed="false">
      <c r="A569" s="0" t="s">
        <v>840</v>
      </c>
      <c r="B569" s="37" t="n">
        <v>45408</v>
      </c>
      <c r="C569" s="37" t="n">
        <v>45412</v>
      </c>
      <c r="D569" s="38" t="s">
        <v>498</v>
      </c>
      <c r="E569" s="38" t="s">
        <v>124</v>
      </c>
      <c r="F569" s="38" t="s">
        <v>100</v>
      </c>
      <c r="G569" s="38" t="s">
        <v>188</v>
      </c>
      <c r="H569" s="0" t="n">
        <v>3</v>
      </c>
      <c r="I569" s="39" t="n">
        <v>3000</v>
      </c>
      <c r="J569" s="40" t="n">
        <v>0.1</v>
      </c>
      <c r="K569" s="39" t="n">
        <v>8100</v>
      </c>
      <c r="L569" s="39" t="n">
        <v>5700</v>
      </c>
      <c r="M569" s="39" t="n">
        <v>2400</v>
      </c>
      <c r="N569" s="38" t="s">
        <v>66</v>
      </c>
      <c r="O569" s="38" t="n">
        <f aca="false">YEAR(B569)</f>
        <v>2024</v>
      </c>
      <c r="P569" s="41" t="n">
        <f aca="false">DATE(YEAR(B569),MONTH(B569),1)</f>
        <v>45383</v>
      </c>
      <c r="Q569" s="0" t="str">
        <f aca="false">INDEX(Products!$C$2:$C$16,MATCH(E569,Products!$A$2:$A$16,0))</f>
        <v>Technology</v>
      </c>
      <c r="R569" s="0" t="str">
        <f aca="false">INDEX(Customers!$F$2:$F$101,MATCH(D569,Customers!$A$2:$A$101,0))</f>
        <v>East</v>
      </c>
      <c r="S569" s="0" t="str">
        <f aca="false">INDEX(Customers!$C$2:$C$101,MATCH(D569,Customers!$A$2:$A$101,0))</f>
        <v>Consumer</v>
      </c>
      <c r="T569" s="0" t="str">
        <f aca="false">INDEX(Customers!$D$2:$D$101,MATCH(D569,Customers!$A$2:$A$101,0))</f>
        <v>Bhubaneswar</v>
      </c>
    </row>
    <row r="570" customFormat="false" ht="15" hidden="false" customHeight="false" outlineLevel="0" collapsed="false">
      <c r="A570" s="0" t="s">
        <v>841</v>
      </c>
      <c r="B570" s="37" t="n">
        <v>45541</v>
      </c>
      <c r="C570" s="37" t="n">
        <v>45542</v>
      </c>
      <c r="D570" s="38" t="s">
        <v>198</v>
      </c>
      <c r="E570" s="38" t="s">
        <v>113</v>
      </c>
      <c r="F570" s="38" t="s">
        <v>100</v>
      </c>
      <c r="G570" s="38" t="s">
        <v>173</v>
      </c>
      <c r="H570" s="0" t="n">
        <v>1</v>
      </c>
      <c r="I570" s="39" t="n">
        <v>45000</v>
      </c>
      <c r="J570" s="40" t="n">
        <v>0.15</v>
      </c>
      <c r="K570" s="39" t="n">
        <v>38250</v>
      </c>
      <c r="L570" s="39" t="n">
        <v>36000</v>
      </c>
      <c r="M570" s="39" t="n">
        <v>2250</v>
      </c>
      <c r="N570" s="38" t="s">
        <v>66</v>
      </c>
      <c r="O570" s="38" t="n">
        <f aca="false">YEAR(B570)</f>
        <v>2024</v>
      </c>
      <c r="P570" s="41" t="n">
        <f aca="false">DATE(YEAR(B570),MONTH(B570),1)</f>
        <v>45536</v>
      </c>
      <c r="Q570" s="0" t="str">
        <f aca="false">INDEX(Products!$C$2:$C$16,MATCH(E570,Products!$A$2:$A$16,0))</f>
        <v>Technology</v>
      </c>
      <c r="R570" s="0" t="str">
        <f aca="false">INDEX(Customers!$F$2:$F$101,MATCH(D570,Customers!$A$2:$A$101,0))</f>
        <v>North</v>
      </c>
      <c r="S570" s="0" t="str">
        <f aca="false">INDEX(Customers!$C$2:$C$101,MATCH(D570,Customers!$A$2:$A$101,0))</f>
        <v>Consumer</v>
      </c>
      <c r="T570" s="0" t="str">
        <f aca="false">INDEX(Customers!$D$2:$D$101,MATCH(D570,Customers!$A$2:$A$101,0))</f>
        <v>Gurugram</v>
      </c>
    </row>
    <row r="571" customFormat="false" ht="15" hidden="false" customHeight="false" outlineLevel="0" collapsed="false">
      <c r="A571" s="0" t="s">
        <v>842</v>
      </c>
      <c r="B571" s="37" t="n">
        <v>45878</v>
      </c>
      <c r="C571" s="37" t="n">
        <v>45880</v>
      </c>
      <c r="D571" s="38" t="s">
        <v>302</v>
      </c>
      <c r="E571" s="38" t="s">
        <v>127</v>
      </c>
      <c r="F571" s="38" t="s">
        <v>100</v>
      </c>
      <c r="G571" s="38" t="s">
        <v>188</v>
      </c>
      <c r="H571" s="0" t="n">
        <v>1</v>
      </c>
      <c r="I571" s="39" t="n">
        <v>18000</v>
      </c>
      <c r="J571" s="40" t="n">
        <v>0.05</v>
      </c>
      <c r="K571" s="39" t="n">
        <v>17100</v>
      </c>
      <c r="L571" s="39" t="n">
        <v>14000</v>
      </c>
      <c r="M571" s="39" t="n">
        <v>3100</v>
      </c>
      <c r="N571" s="38" t="s">
        <v>146</v>
      </c>
      <c r="O571" s="38" t="n">
        <f aca="false">YEAR(B571)</f>
        <v>2025</v>
      </c>
      <c r="P571" s="41" t="n">
        <f aca="false">DATE(YEAR(B571),MONTH(B571),1)</f>
        <v>45870</v>
      </c>
      <c r="Q571" s="0" t="str">
        <f aca="false">INDEX(Products!$C$2:$C$16,MATCH(E571,Products!$A$2:$A$16,0))</f>
        <v>Technology</v>
      </c>
      <c r="R571" s="0" t="str">
        <f aca="false">INDEX(Customers!$F$2:$F$101,MATCH(D571,Customers!$A$2:$A$101,0))</f>
        <v>East</v>
      </c>
      <c r="S571" s="0" t="str">
        <f aca="false">INDEX(Customers!$C$2:$C$101,MATCH(D571,Customers!$A$2:$A$101,0))</f>
        <v>Consumer</v>
      </c>
      <c r="T571" s="0" t="str">
        <f aca="false">INDEX(Customers!$D$2:$D$101,MATCH(D571,Customers!$A$2:$A$101,0))</f>
        <v>Bhubaneswar</v>
      </c>
    </row>
    <row r="572" customFormat="false" ht="15" hidden="false" customHeight="false" outlineLevel="0" collapsed="false">
      <c r="A572" s="0" t="s">
        <v>843</v>
      </c>
      <c r="B572" s="37" t="n">
        <v>45944</v>
      </c>
      <c r="C572" s="37" t="n">
        <v>45945</v>
      </c>
      <c r="D572" s="38" t="s">
        <v>266</v>
      </c>
      <c r="E572" s="38" t="s">
        <v>122</v>
      </c>
      <c r="F572" s="38" t="s">
        <v>102</v>
      </c>
      <c r="G572" s="38" t="s">
        <v>170</v>
      </c>
      <c r="H572" s="0" t="n">
        <v>5</v>
      </c>
      <c r="I572" s="39" t="n">
        <v>5500</v>
      </c>
      <c r="J572" s="40" t="n">
        <v>0.2</v>
      </c>
      <c r="K572" s="39" t="n">
        <v>22000</v>
      </c>
      <c r="L572" s="39" t="n">
        <v>18500</v>
      </c>
      <c r="M572" s="39" t="n">
        <v>3500</v>
      </c>
      <c r="N572" s="38" t="s">
        <v>146</v>
      </c>
      <c r="O572" s="38" t="n">
        <f aca="false">YEAR(B572)</f>
        <v>2025</v>
      </c>
      <c r="P572" s="41" t="n">
        <f aca="false">DATE(YEAR(B572),MONTH(B572),1)</f>
        <v>45931</v>
      </c>
      <c r="Q572" s="0" t="str">
        <f aca="false">INDEX(Products!$C$2:$C$16,MATCH(E572,Products!$A$2:$A$16,0))</f>
        <v>Furniture</v>
      </c>
      <c r="R572" s="0" t="str">
        <f aca="false">INDEX(Customers!$F$2:$F$101,MATCH(D572,Customers!$A$2:$A$101,0))</f>
        <v>West</v>
      </c>
      <c r="S572" s="0" t="str">
        <f aca="false">INDEX(Customers!$C$2:$C$101,MATCH(D572,Customers!$A$2:$A$101,0))</f>
        <v>Consumer</v>
      </c>
      <c r="T572" s="0" t="str">
        <f aca="false">INDEX(Customers!$D$2:$D$101,MATCH(D572,Customers!$A$2:$A$101,0))</f>
        <v>Pune</v>
      </c>
    </row>
    <row r="573" customFormat="false" ht="15" hidden="false" customHeight="false" outlineLevel="0" collapsed="false">
      <c r="A573" s="0" t="s">
        <v>844</v>
      </c>
      <c r="B573" s="37" t="n">
        <v>45913</v>
      </c>
      <c r="C573" s="37" t="n">
        <v>45917</v>
      </c>
      <c r="D573" s="38" t="s">
        <v>352</v>
      </c>
      <c r="E573" s="38" t="s">
        <v>120</v>
      </c>
      <c r="F573" s="38" t="s">
        <v>100</v>
      </c>
      <c r="G573" s="38" t="s">
        <v>185</v>
      </c>
      <c r="H573" s="0" t="n">
        <v>5</v>
      </c>
      <c r="I573" s="39" t="n">
        <v>400</v>
      </c>
      <c r="J573" s="40" t="n">
        <v>0</v>
      </c>
      <c r="K573" s="39" t="n">
        <v>2000</v>
      </c>
      <c r="L573" s="39" t="n">
        <v>1300</v>
      </c>
      <c r="M573" s="39" t="n">
        <v>700</v>
      </c>
      <c r="N573" s="38" t="s">
        <v>66</v>
      </c>
      <c r="O573" s="38" t="n">
        <f aca="false">YEAR(B573)</f>
        <v>2025</v>
      </c>
      <c r="P573" s="41" t="n">
        <f aca="false">DATE(YEAR(B573),MONTH(B573),1)</f>
        <v>45901</v>
      </c>
      <c r="Q573" s="0" t="str">
        <f aca="false">INDEX(Products!$C$2:$C$16,MATCH(E573,Products!$A$2:$A$16,0))</f>
        <v>Office Supplies</v>
      </c>
      <c r="R573" s="0" t="str">
        <f aca="false">INDEX(Customers!$F$2:$F$101,MATCH(D573,Customers!$A$2:$A$101,0))</f>
        <v>South</v>
      </c>
      <c r="S573" s="0" t="str">
        <f aca="false">INDEX(Customers!$C$2:$C$101,MATCH(D573,Customers!$A$2:$A$101,0))</f>
        <v>Small Business</v>
      </c>
      <c r="T573" s="0" t="str">
        <f aca="false">INDEX(Customers!$D$2:$D$101,MATCH(D573,Customers!$A$2:$A$101,0))</f>
        <v>Hyderabad</v>
      </c>
    </row>
    <row r="574" customFormat="false" ht="15" hidden="false" customHeight="false" outlineLevel="0" collapsed="false">
      <c r="A574" s="0" t="s">
        <v>845</v>
      </c>
      <c r="B574" s="37" t="n">
        <v>46077</v>
      </c>
      <c r="C574" s="37" t="n">
        <v>46079</v>
      </c>
      <c r="D574" s="38" t="s">
        <v>200</v>
      </c>
      <c r="E574" s="38" t="s">
        <v>126</v>
      </c>
      <c r="F574" s="38" t="s">
        <v>101</v>
      </c>
      <c r="G574" s="38" t="s">
        <v>173</v>
      </c>
      <c r="H574" s="0" t="n">
        <v>3</v>
      </c>
      <c r="I574" s="39" t="n">
        <v>1200</v>
      </c>
      <c r="J574" s="40" t="n">
        <v>0.15</v>
      </c>
      <c r="K574" s="39" t="n">
        <v>3060</v>
      </c>
      <c r="L574" s="39" t="n">
        <v>2100</v>
      </c>
      <c r="M574" s="39" t="n">
        <v>960</v>
      </c>
      <c r="N574" s="38" t="s">
        <v>66</v>
      </c>
      <c r="O574" s="38" t="n">
        <f aca="false">YEAR(B574)</f>
        <v>2026</v>
      </c>
      <c r="P574" s="41" t="n">
        <f aca="false">DATE(YEAR(B574),MONTH(B574),1)</f>
        <v>46054</v>
      </c>
      <c r="Q574" s="0" t="str">
        <f aca="false">INDEX(Products!$C$2:$C$16,MATCH(E574,Products!$A$2:$A$16,0))</f>
        <v>Furniture</v>
      </c>
      <c r="R574" s="0" t="str">
        <f aca="false">INDEX(Customers!$F$2:$F$101,MATCH(D574,Customers!$A$2:$A$101,0))</f>
        <v>West</v>
      </c>
      <c r="S574" s="0" t="str">
        <f aca="false">INDEX(Customers!$C$2:$C$101,MATCH(D574,Customers!$A$2:$A$101,0))</f>
        <v>Corporate</v>
      </c>
      <c r="T574" s="0" t="str">
        <f aca="false">INDEX(Customers!$D$2:$D$101,MATCH(D574,Customers!$A$2:$A$101,0))</f>
        <v>Mumbai</v>
      </c>
    </row>
    <row r="575" customFormat="false" ht="15" hidden="false" customHeight="false" outlineLevel="0" collapsed="false">
      <c r="A575" s="0" t="s">
        <v>846</v>
      </c>
      <c r="B575" s="37" t="n">
        <v>45756</v>
      </c>
      <c r="C575" s="37" t="n">
        <v>45761</v>
      </c>
      <c r="D575" s="38" t="s">
        <v>206</v>
      </c>
      <c r="E575" s="38" t="s">
        <v>127</v>
      </c>
      <c r="F575" s="38" t="s">
        <v>101</v>
      </c>
      <c r="G575" s="38" t="s">
        <v>185</v>
      </c>
      <c r="H575" s="0" t="n">
        <v>3</v>
      </c>
      <c r="I575" s="39" t="n">
        <v>18000</v>
      </c>
      <c r="J575" s="40" t="n">
        <v>0</v>
      </c>
      <c r="K575" s="39" t="n">
        <v>54000</v>
      </c>
      <c r="L575" s="39" t="n">
        <v>42000</v>
      </c>
      <c r="M575" s="39" t="n">
        <v>12000</v>
      </c>
      <c r="N575" s="38" t="s">
        <v>66</v>
      </c>
      <c r="O575" s="38" t="n">
        <f aca="false">YEAR(B575)</f>
        <v>2025</v>
      </c>
      <c r="P575" s="41" t="n">
        <f aca="false">DATE(YEAR(B575),MONTH(B575),1)</f>
        <v>45748</v>
      </c>
      <c r="Q575" s="0" t="str">
        <f aca="false">INDEX(Products!$C$2:$C$16,MATCH(E575,Products!$A$2:$A$16,0))</f>
        <v>Technology</v>
      </c>
      <c r="R575" s="0" t="str">
        <f aca="false">INDEX(Customers!$F$2:$F$101,MATCH(D575,Customers!$A$2:$A$101,0))</f>
        <v>West</v>
      </c>
      <c r="S575" s="0" t="str">
        <f aca="false">INDEX(Customers!$C$2:$C$101,MATCH(D575,Customers!$A$2:$A$101,0))</f>
        <v>Corporate</v>
      </c>
      <c r="T575" s="0" t="str">
        <f aca="false">INDEX(Customers!$D$2:$D$101,MATCH(D575,Customers!$A$2:$A$101,0))</f>
        <v>Pune</v>
      </c>
    </row>
    <row r="576" customFormat="false" ht="15" hidden="false" customHeight="false" outlineLevel="0" collapsed="false">
      <c r="A576" s="0" t="s">
        <v>847</v>
      </c>
      <c r="B576" s="37" t="n">
        <v>45827</v>
      </c>
      <c r="C576" s="37" t="n">
        <v>45834</v>
      </c>
      <c r="D576" s="38" t="s">
        <v>675</v>
      </c>
      <c r="E576" s="38" t="s">
        <v>116</v>
      </c>
      <c r="F576" s="38" t="s">
        <v>101</v>
      </c>
      <c r="G576" s="38" t="s">
        <v>173</v>
      </c>
      <c r="H576" s="0" t="n">
        <v>6</v>
      </c>
      <c r="I576" s="39" t="n">
        <v>12000</v>
      </c>
      <c r="J576" s="40" t="n">
        <v>0.2</v>
      </c>
      <c r="K576" s="39" t="n">
        <v>57600</v>
      </c>
      <c r="L576" s="39" t="n">
        <v>54000</v>
      </c>
      <c r="M576" s="39" t="n">
        <v>3600</v>
      </c>
      <c r="N576" s="38" t="s">
        <v>66</v>
      </c>
      <c r="O576" s="38" t="n">
        <f aca="false">YEAR(B576)</f>
        <v>2025</v>
      </c>
      <c r="P576" s="41" t="n">
        <f aca="false">DATE(YEAR(B576),MONTH(B576),1)</f>
        <v>45809</v>
      </c>
      <c r="Q576" s="0" t="str">
        <f aca="false">INDEX(Products!$C$2:$C$16,MATCH(E576,Products!$A$2:$A$16,0))</f>
        <v>Technology</v>
      </c>
      <c r="R576" s="0" t="str">
        <f aca="false">INDEX(Customers!$F$2:$F$101,MATCH(D576,Customers!$A$2:$A$101,0))</f>
        <v>East</v>
      </c>
      <c r="S576" s="0" t="str">
        <f aca="false">INDEX(Customers!$C$2:$C$101,MATCH(D576,Customers!$A$2:$A$101,0))</f>
        <v>Small Business</v>
      </c>
      <c r="T576" s="0" t="str">
        <f aca="false">INDEX(Customers!$D$2:$D$101,MATCH(D576,Customers!$A$2:$A$101,0))</f>
        <v>Kolkata</v>
      </c>
    </row>
    <row r="577" customFormat="false" ht="15" hidden="false" customHeight="false" outlineLevel="0" collapsed="false">
      <c r="A577" s="0" t="s">
        <v>848</v>
      </c>
      <c r="B577" s="37" t="n">
        <v>46215</v>
      </c>
      <c r="C577" s="37" t="n">
        <v>46220</v>
      </c>
      <c r="D577" s="38" t="s">
        <v>246</v>
      </c>
      <c r="E577" s="38" t="s">
        <v>120</v>
      </c>
      <c r="F577" s="38" t="s">
        <v>102</v>
      </c>
      <c r="G577" s="38" t="s">
        <v>188</v>
      </c>
      <c r="H577" s="0" t="n">
        <v>3</v>
      </c>
      <c r="I577" s="39" t="n">
        <v>400</v>
      </c>
      <c r="J577" s="40" t="n">
        <v>0.25</v>
      </c>
      <c r="K577" s="39" t="n">
        <v>900</v>
      </c>
      <c r="L577" s="39" t="n">
        <v>780</v>
      </c>
      <c r="M577" s="39" t="n">
        <v>120</v>
      </c>
      <c r="N577" s="38" t="s">
        <v>66</v>
      </c>
      <c r="O577" s="38" t="n">
        <f aca="false">YEAR(B577)</f>
        <v>2026</v>
      </c>
      <c r="P577" s="41" t="n">
        <f aca="false">DATE(YEAR(B577),MONTH(B577),1)</f>
        <v>46204</v>
      </c>
      <c r="Q577" s="0" t="str">
        <f aca="false">INDEX(Products!$C$2:$C$16,MATCH(E577,Products!$A$2:$A$16,0))</f>
        <v>Office Supplies</v>
      </c>
      <c r="R577" s="0" t="str">
        <f aca="false">INDEX(Customers!$F$2:$F$101,MATCH(D577,Customers!$A$2:$A$101,0))</f>
        <v>North</v>
      </c>
      <c r="S577" s="0" t="str">
        <f aca="false">INDEX(Customers!$C$2:$C$101,MATCH(D577,Customers!$A$2:$A$101,0))</f>
        <v>Consumer</v>
      </c>
      <c r="T577" s="0" t="str">
        <f aca="false">INDEX(Customers!$D$2:$D$101,MATCH(D577,Customers!$A$2:$A$101,0))</f>
        <v>Jaipur</v>
      </c>
    </row>
    <row r="578" customFormat="false" ht="15" hidden="false" customHeight="false" outlineLevel="0" collapsed="false">
      <c r="A578" s="0" t="s">
        <v>849</v>
      </c>
      <c r="B578" s="37" t="n">
        <v>45967</v>
      </c>
      <c r="C578" s="37" t="n">
        <v>45969</v>
      </c>
      <c r="D578" s="38" t="s">
        <v>283</v>
      </c>
      <c r="E578" s="38" t="s">
        <v>120</v>
      </c>
      <c r="F578" s="38" t="s">
        <v>100</v>
      </c>
      <c r="G578" s="38" t="s">
        <v>185</v>
      </c>
      <c r="H578" s="0" t="n">
        <v>6</v>
      </c>
      <c r="I578" s="39" t="n">
        <v>400</v>
      </c>
      <c r="J578" s="40" t="n">
        <v>0.15</v>
      </c>
      <c r="K578" s="39" t="n">
        <v>2040</v>
      </c>
      <c r="L578" s="39" t="n">
        <v>1560</v>
      </c>
      <c r="M578" s="39" t="n">
        <v>480</v>
      </c>
      <c r="N578" s="38" t="s">
        <v>66</v>
      </c>
      <c r="O578" s="38" t="n">
        <f aca="false">YEAR(B578)</f>
        <v>2025</v>
      </c>
      <c r="P578" s="41" t="n">
        <f aca="false">DATE(YEAR(B578),MONTH(B578),1)</f>
        <v>45962</v>
      </c>
      <c r="Q578" s="0" t="str">
        <f aca="false">INDEX(Products!$C$2:$C$16,MATCH(E578,Products!$A$2:$A$16,0))</f>
        <v>Office Supplies</v>
      </c>
      <c r="R578" s="0" t="str">
        <f aca="false">INDEX(Customers!$F$2:$F$101,MATCH(D578,Customers!$A$2:$A$101,0))</f>
        <v>West</v>
      </c>
      <c r="S578" s="0" t="str">
        <f aca="false">INDEX(Customers!$C$2:$C$101,MATCH(D578,Customers!$A$2:$A$101,0))</f>
        <v>Small Business</v>
      </c>
      <c r="T578" s="0" t="str">
        <f aca="false">INDEX(Customers!$D$2:$D$101,MATCH(D578,Customers!$A$2:$A$101,0))</f>
        <v>Mumbai</v>
      </c>
    </row>
    <row r="579" customFormat="false" ht="15" hidden="false" customHeight="false" outlineLevel="0" collapsed="false">
      <c r="A579" s="0" t="s">
        <v>850</v>
      </c>
      <c r="B579" s="37" t="n">
        <v>45336</v>
      </c>
      <c r="C579" s="37" t="n">
        <v>45342</v>
      </c>
      <c r="D579" s="38" t="s">
        <v>329</v>
      </c>
      <c r="E579" s="38" t="s">
        <v>126</v>
      </c>
      <c r="F579" s="38" t="s">
        <v>101</v>
      </c>
      <c r="G579" s="38" t="s">
        <v>185</v>
      </c>
      <c r="H579" s="0" t="n">
        <v>2</v>
      </c>
      <c r="I579" s="39" t="n">
        <v>1200</v>
      </c>
      <c r="J579" s="40" t="n">
        <v>0</v>
      </c>
      <c r="K579" s="39" t="n">
        <v>2400</v>
      </c>
      <c r="L579" s="39" t="n">
        <v>1400</v>
      </c>
      <c r="M579" s="39" t="n">
        <v>1000</v>
      </c>
      <c r="N579" s="38" t="s">
        <v>66</v>
      </c>
      <c r="O579" s="38" t="n">
        <f aca="false">YEAR(B579)</f>
        <v>2024</v>
      </c>
      <c r="P579" s="41" t="n">
        <f aca="false">DATE(YEAR(B579),MONTH(B579),1)</f>
        <v>45323</v>
      </c>
      <c r="Q579" s="0" t="str">
        <f aca="false">INDEX(Products!$C$2:$C$16,MATCH(E579,Products!$A$2:$A$16,0))</f>
        <v>Furniture</v>
      </c>
      <c r="R579" s="0" t="str">
        <f aca="false">INDEX(Customers!$F$2:$F$101,MATCH(D579,Customers!$A$2:$A$101,0))</f>
        <v>West</v>
      </c>
      <c r="S579" s="0" t="str">
        <f aca="false">INDEX(Customers!$C$2:$C$101,MATCH(D579,Customers!$A$2:$A$101,0))</f>
        <v>Corporate</v>
      </c>
      <c r="T579" s="0" t="str">
        <f aca="false">INDEX(Customers!$D$2:$D$101,MATCH(D579,Customers!$A$2:$A$101,0))</f>
        <v>Pune</v>
      </c>
    </row>
    <row r="580" customFormat="false" ht="15" hidden="false" customHeight="false" outlineLevel="0" collapsed="false">
      <c r="A580" s="0" t="s">
        <v>851</v>
      </c>
      <c r="B580" s="37" t="n">
        <v>46071</v>
      </c>
      <c r="C580" s="37" t="n">
        <v>46078</v>
      </c>
      <c r="D580" s="38" t="s">
        <v>341</v>
      </c>
      <c r="E580" s="38" t="s">
        <v>127</v>
      </c>
      <c r="F580" s="38" t="s">
        <v>101</v>
      </c>
      <c r="G580" s="38" t="s">
        <v>173</v>
      </c>
      <c r="H580" s="0" t="n">
        <v>3</v>
      </c>
      <c r="I580" s="39" t="n">
        <v>18000</v>
      </c>
      <c r="J580" s="40" t="n">
        <v>0</v>
      </c>
      <c r="K580" s="39" t="n">
        <v>54000</v>
      </c>
      <c r="L580" s="39" t="n">
        <v>42000</v>
      </c>
      <c r="M580" s="39" t="n">
        <v>12000</v>
      </c>
      <c r="N580" s="38" t="s">
        <v>66</v>
      </c>
      <c r="O580" s="38" t="n">
        <f aca="false">YEAR(B580)</f>
        <v>2026</v>
      </c>
      <c r="P580" s="41" t="n">
        <f aca="false">DATE(YEAR(B580),MONTH(B580),1)</f>
        <v>46054</v>
      </c>
      <c r="Q580" s="0" t="str">
        <f aca="false">INDEX(Products!$C$2:$C$16,MATCH(E580,Products!$A$2:$A$16,0))</f>
        <v>Technology</v>
      </c>
      <c r="R580" s="0" t="str">
        <f aca="false">INDEX(Customers!$F$2:$F$101,MATCH(D580,Customers!$A$2:$A$101,0))</f>
        <v>North</v>
      </c>
      <c r="S580" s="0" t="str">
        <f aca="false">INDEX(Customers!$C$2:$C$101,MATCH(D580,Customers!$A$2:$A$101,0))</f>
        <v>Corporate</v>
      </c>
      <c r="T580" s="0" t="str">
        <f aca="false">INDEX(Customers!$D$2:$D$101,MATCH(D580,Customers!$A$2:$A$101,0))</f>
        <v>Delhi</v>
      </c>
    </row>
    <row r="581" customFormat="false" ht="15" hidden="false" customHeight="false" outlineLevel="0" collapsed="false">
      <c r="A581" s="0" t="s">
        <v>852</v>
      </c>
      <c r="B581" s="37" t="n">
        <v>46223</v>
      </c>
      <c r="C581" s="37" t="n">
        <v>46230</v>
      </c>
      <c r="D581" s="38" t="s">
        <v>276</v>
      </c>
      <c r="E581" s="38" t="s">
        <v>116</v>
      </c>
      <c r="F581" s="38" t="s">
        <v>102</v>
      </c>
      <c r="G581" s="38" t="s">
        <v>185</v>
      </c>
      <c r="H581" s="0" t="n">
        <v>1</v>
      </c>
      <c r="I581" s="39" t="n">
        <v>12000</v>
      </c>
      <c r="J581" s="40" t="n">
        <v>0.15</v>
      </c>
      <c r="K581" s="39" t="n">
        <v>10200</v>
      </c>
      <c r="L581" s="39" t="n">
        <v>9000</v>
      </c>
      <c r="M581" s="39" t="n">
        <v>1200</v>
      </c>
      <c r="N581" s="38" t="s">
        <v>66</v>
      </c>
      <c r="O581" s="38" t="n">
        <f aca="false">YEAR(B581)</f>
        <v>2026</v>
      </c>
      <c r="P581" s="41" t="n">
        <f aca="false">DATE(YEAR(B581),MONTH(B581),1)</f>
        <v>46204</v>
      </c>
      <c r="Q581" s="0" t="str">
        <f aca="false">INDEX(Products!$C$2:$C$16,MATCH(E581,Products!$A$2:$A$16,0))</f>
        <v>Technology</v>
      </c>
      <c r="R581" s="0" t="str">
        <f aca="false">INDEX(Customers!$F$2:$F$101,MATCH(D581,Customers!$A$2:$A$101,0))</f>
        <v>North</v>
      </c>
      <c r="S581" s="0" t="str">
        <f aca="false">INDEX(Customers!$C$2:$C$101,MATCH(D581,Customers!$A$2:$A$101,0))</f>
        <v>Small Business</v>
      </c>
      <c r="T581" s="0" t="str">
        <f aca="false">INDEX(Customers!$D$2:$D$101,MATCH(D581,Customers!$A$2:$A$101,0))</f>
        <v>Lucknow</v>
      </c>
    </row>
    <row r="582" customFormat="false" ht="15" hidden="false" customHeight="false" outlineLevel="0" collapsed="false">
      <c r="A582" s="0" t="s">
        <v>853</v>
      </c>
      <c r="B582" s="37" t="n">
        <v>46053</v>
      </c>
      <c r="C582" s="37" t="n">
        <v>46060</v>
      </c>
      <c r="D582" s="38" t="s">
        <v>169</v>
      </c>
      <c r="E582" s="38" t="s">
        <v>124</v>
      </c>
      <c r="F582" s="38" t="s">
        <v>100</v>
      </c>
      <c r="G582" s="38" t="s">
        <v>188</v>
      </c>
      <c r="H582" s="0" t="n">
        <v>1</v>
      </c>
      <c r="I582" s="39" t="n">
        <v>3000</v>
      </c>
      <c r="J582" s="40" t="n">
        <v>0.15</v>
      </c>
      <c r="K582" s="39" t="n">
        <v>2550</v>
      </c>
      <c r="L582" s="39" t="n">
        <v>1900</v>
      </c>
      <c r="M582" s="39" t="n">
        <v>650</v>
      </c>
      <c r="N582" s="38" t="s">
        <v>66</v>
      </c>
      <c r="O582" s="38" t="n">
        <f aca="false">YEAR(B582)</f>
        <v>2026</v>
      </c>
      <c r="P582" s="41" t="n">
        <f aca="false">DATE(YEAR(B582),MONTH(B582),1)</f>
        <v>46023</v>
      </c>
      <c r="Q582" s="0" t="str">
        <f aca="false">INDEX(Products!$C$2:$C$16,MATCH(E582,Products!$A$2:$A$16,0))</f>
        <v>Technology</v>
      </c>
      <c r="R582" s="0" t="str">
        <f aca="false">INDEX(Customers!$F$2:$F$101,MATCH(D582,Customers!$A$2:$A$101,0))</f>
        <v>East</v>
      </c>
      <c r="S582" s="0" t="str">
        <f aca="false">INDEX(Customers!$C$2:$C$101,MATCH(D582,Customers!$A$2:$A$101,0))</f>
        <v>Small Business</v>
      </c>
      <c r="T582" s="0" t="str">
        <f aca="false">INDEX(Customers!$D$2:$D$101,MATCH(D582,Customers!$A$2:$A$101,0))</f>
        <v>Kolkata</v>
      </c>
    </row>
    <row r="583" customFormat="false" ht="15" hidden="false" customHeight="false" outlineLevel="0" collapsed="false">
      <c r="A583" s="0" t="s">
        <v>854</v>
      </c>
      <c r="B583" s="37" t="n">
        <v>45996</v>
      </c>
      <c r="C583" s="37" t="n">
        <v>46003</v>
      </c>
      <c r="D583" s="38" t="s">
        <v>215</v>
      </c>
      <c r="E583" s="38" t="s">
        <v>116</v>
      </c>
      <c r="F583" s="38" t="s">
        <v>100</v>
      </c>
      <c r="G583" s="38" t="s">
        <v>173</v>
      </c>
      <c r="H583" s="0" t="n">
        <v>2</v>
      </c>
      <c r="I583" s="39" t="n">
        <v>12000</v>
      </c>
      <c r="J583" s="40" t="n">
        <v>0.05</v>
      </c>
      <c r="K583" s="39" t="n">
        <v>22800</v>
      </c>
      <c r="L583" s="39" t="n">
        <v>18000</v>
      </c>
      <c r="M583" s="39" t="n">
        <v>4800</v>
      </c>
      <c r="N583" s="38" t="s">
        <v>66</v>
      </c>
      <c r="O583" s="38" t="n">
        <f aca="false">YEAR(B583)</f>
        <v>2025</v>
      </c>
      <c r="P583" s="41" t="n">
        <f aca="false">DATE(YEAR(B583),MONTH(B583),1)</f>
        <v>45992</v>
      </c>
      <c r="Q583" s="0" t="str">
        <f aca="false">INDEX(Products!$C$2:$C$16,MATCH(E583,Products!$A$2:$A$16,0))</f>
        <v>Technology</v>
      </c>
      <c r="R583" s="0" t="str">
        <f aca="false">INDEX(Customers!$F$2:$F$101,MATCH(D583,Customers!$A$2:$A$101,0))</f>
        <v>North</v>
      </c>
      <c r="S583" s="0" t="str">
        <f aca="false">INDEX(Customers!$C$2:$C$101,MATCH(D583,Customers!$A$2:$A$101,0))</f>
        <v>Consumer</v>
      </c>
      <c r="T583" s="0" t="str">
        <f aca="false">INDEX(Customers!$D$2:$D$101,MATCH(D583,Customers!$A$2:$A$101,0))</f>
        <v>Jaipur</v>
      </c>
    </row>
    <row r="584" customFormat="false" ht="15" hidden="false" customHeight="false" outlineLevel="0" collapsed="false">
      <c r="A584" s="0" t="s">
        <v>855</v>
      </c>
      <c r="B584" s="37" t="n">
        <v>45559</v>
      </c>
      <c r="C584" s="37" t="n">
        <v>45566</v>
      </c>
      <c r="D584" s="38" t="s">
        <v>200</v>
      </c>
      <c r="E584" s="38" t="s">
        <v>117</v>
      </c>
      <c r="F584" s="38" t="s">
        <v>101</v>
      </c>
      <c r="G584" s="38" t="s">
        <v>188</v>
      </c>
      <c r="H584" s="0" t="n">
        <v>2</v>
      </c>
      <c r="I584" s="39" t="n">
        <v>6500</v>
      </c>
      <c r="J584" s="40" t="n">
        <v>0.15</v>
      </c>
      <c r="K584" s="39" t="n">
        <v>11050</v>
      </c>
      <c r="L584" s="39" t="n">
        <v>8400</v>
      </c>
      <c r="M584" s="39" t="n">
        <v>2650</v>
      </c>
      <c r="N584" s="38" t="s">
        <v>66</v>
      </c>
      <c r="O584" s="38" t="n">
        <f aca="false">YEAR(B584)</f>
        <v>2024</v>
      </c>
      <c r="P584" s="41" t="n">
        <f aca="false">DATE(YEAR(B584),MONTH(B584),1)</f>
        <v>45536</v>
      </c>
      <c r="Q584" s="0" t="str">
        <f aca="false">INDEX(Products!$C$2:$C$16,MATCH(E584,Products!$A$2:$A$16,0))</f>
        <v>Furniture</v>
      </c>
      <c r="R584" s="0" t="str">
        <f aca="false">INDEX(Customers!$F$2:$F$101,MATCH(D584,Customers!$A$2:$A$101,0))</f>
        <v>West</v>
      </c>
      <c r="S584" s="0" t="str">
        <f aca="false">INDEX(Customers!$C$2:$C$101,MATCH(D584,Customers!$A$2:$A$101,0))</f>
        <v>Corporate</v>
      </c>
      <c r="T584" s="0" t="str">
        <f aca="false">INDEX(Customers!$D$2:$D$101,MATCH(D584,Customers!$A$2:$A$101,0))</f>
        <v>Mumbai</v>
      </c>
    </row>
    <row r="585" customFormat="false" ht="15" hidden="false" customHeight="false" outlineLevel="0" collapsed="false">
      <c r="A585" s="0" t="s">
        <v>856</v>
      </c>
      <c r="B585" s="37" t="n">
        <v>46065</v>
      </c>
      <c r="C585" s="37" t="n">
        <v>46067</v>
      </c>
      <c r="D585" s="38" t="s">
        <v>312</v>
      </c>
      <c r="E585" s="38" t="s">
        <v>119</v>
      </c>
      <c r="F585" s="38" t="s">
        <v>102</v>
      </c>
      <c r="G585" s="38" t="s">
        <v>185</v>
      </c>
      <c r="H585" s="0" t="n">
        <v>2</v>
      </c>
      <c r="I585" s="39" t="n">
        <v>250</v>
      </c>
      <c r="J585" s="40" t="n">
        <v>0.25</v>
      </c>
      <c r="K585" s="39" t="n">
        <v>375</v>
      </c>
      <c r="L585" s="39" t="n">
        <v>240</v>
      </c>
      <c r="M585" s="39" t="n">
        <v>135</v>
      </c>
      <c r="N585" s="38" t="s">
        <v>66</v>
      </c>
      <c r="O585" s="38" t="n">
        <f aca="false">YEAR(B585)</f>
        <v>2026</v>
      </c>
      <c r="P585" s="41" t="n">
        <f aca="false">DATE(YEAR(B585),MONTH(B585),1)</f>
        <v>46054</v>
      </c>
      <c r="Q585" s="0" t="str">
        <f aca="false">INDEX(Products!$C$2:$C$16,MATCH(E585,Products!$A$2:$A$16,0))</f>
        <v>Office Supplies</v>
      </c>
      <c r="R585" s="0" t="str">
        <f aca="false">INDEX(Customers!$F$2:$F$101,MATCH(D585,Customers!$A$2:$A$101,0))</f>
        <v>North</v>
      </c>
      <c r="S585" s="0" t="str">
        <f aca="false">INDEX(Customers!$C$2:$C$101,MATCH(D585,Customers!$A$2:$A$101,0))</f>
        <v>Corporate</v>
      </c>
      <c r="T585" s="0" t="str">
        <f aca="false">INDEX(Customers!$D$2:$D$101,MATCH(D585,Customers!$A$2:$A$101,0))</f>
        <v>Delhi</v>
      </c>
    </row>
    <row r="586" customFormat="false" ht="15" hidden="false" customHeight="false" outlineLevel="0" collapsed="false">
      <c r="A586" s="0" t="s">
        <v>857</v>
      </c>
      <c r="B586" s="37" t="n">
        <v>45787</v>
      </c>
      <c r="C586" s="37" t="n">
        <v>45790</v>
      </c>
      <c r="D586" s="38" t="s">
        <v>322</v>
      </c>
      <c r="E586" s="38" t="s">
        <v>121</v>
      </c>
      <c r="F586" s="38" t="s">
        <v>101</v>
      </c>
      <c r="G586" s="38" t="s">
        <v>185</v>
      </c>
      <c r="H586" s="0" t="n">
        <v>10</v>
      </c>
      <c r="I586" s="39" t="n">
        <v>180</v>
      </c>
      <c r="J586" s="40" t="n">
        <v>0.15</v>
      </c>
      <c r="K586" s="39" t="n">
        <v>1530</v>
      </c>
      <c r="L586" s="39" t="n">
        <v>700</v>
      </c>
      <c r="M586" s="39" t="n">
        <v>830</v>
      </c>
      <c r="N586" s="38" t="s">
        <v>66</v>
      </c>
      <c r="O586" s="38" t="n">
        <f aca="false">YEAR(B586)</f>
        <v>2025</v>
      </c>
      <c r="P586" s="41" t="n">
        <f aca="false">DATE(YEAR(B586),MONTH(B586),1)</f>
        <v>45778</v>
      </c>
      <c r="Q586" s="0" t="str">
        <f aca="false">INDEX(Products!$C$2:$C$16,MATCH(E586,Products!$A$2:$A$16,0))</f>
        <v>Office Supplies</v>
      </c>
      <c r="R586" s="0" t="str">
        <f aca="false">INDEX(Customers!$F$2:$F$101,MATCH(D586,Customers!$A$2:$A$101,0))</f>
        <v>North</v>
      </c>
      <c r="S586" s="0" t="str">
        <f aca="false">INDEX(Customers!$C$2:$C$101,MATCH(D586,Customers!$A$2:$A$101,0))</f>
        <v>Consumer</v>
      </c>
      <c r="T586" s="0" t="str">
        <f aca="false">INDEX(Customers!$D$2:$D$101,MATCH(D586,Customers!$A$2:$A$101,0))</f>
        <v>Jaipur</v>
      </c>
    </row>
    <row r="587" customFormat="false" ht="15" hidden="false" customHeight="false" outlineLevel="0" collapsed="false">
      <c r="A587" s="0" t="s">
        <v>858</v>
      </c>
      <c r="B587" s="37" t="n">
        <v>46057</v>
      </c>
      <c r="C587" s="37" t="n">
        <v>46059</v>
      </c>
      <c r="D587" s="38" t="s">
        <v>522</v>
      </c>
      <c r="E587" s="38" t="s">
        <v>114</v>
      </c>
      <c r="F587" s="38" t="s">
        <v>100</v>
      </c>
      <c r="G587" s="38" t="s">
        <v>178</v>
      </c>
      <c r="H587" s="0" t="n">
        <v>2</v>
      </c>
      <c r="I587" s="39" t="n">
        <v>800</v>
      </c>
      <c r="J587" s="40" t="n">
        <v>0.2</v>
      </c>
      <c r="K587" s="39" t="n">
        <v>1280</v>
      </c>
      <c r="L587" s="39" t="n">
        <v>840</v>
      </c>
      <c r="M587" s="39" t="n">
        <v>440</v>
      </c>
      <c r="N587" s="38" t="s">
        <v>66</v>
      </c>
      <c r="O587" s="38" t="n">
        <f aca="false">YEAR(B587)</f>
        <v>2026</v>
      </c>
      <c r="P587" s="41" t="n">
        <f aca="false">DATE(YEAR(B587),MONTH(B587),1)</f>
        <v>46054</v>
      </c>
      <c r="Q587" s="0" t="str">
        <f aca="false">INDEX(Products!$C$2:$C$16,MATCH(E587,Products!$A$2:$A$16,0))</f>
        <v>Technology</v>
      </c>
      <c r="R587" s="0" t="str">
        <f aca="false">INDEX(Customers!$F$2:$F$101,MATCH(D587,Customers!$A$2:$A$101,0))</f>
        <v>West</v>
      </c>
      <c r="S587" s="0" t="str">
        <f aca="false">INDEX(Customers!$C$2:$C$101,MATCH(D587,Customers!$A$2:$A$101,0))</f>
        <v>Consumer</v>
      </c>
      <c r="T587" s="0" t="str">
        <f aca="false">INDEX(Customers!$D$2:$D$101,MATCH(D587,Customers!$A$2:$A$101,0))</f>
        <v>Ahmedabad</v>
      </c>
    </row>
    <row r="588" customFormat="false" ht="15" hidden="false" customHeight="false" outlineLevel="0" collapsed="false">
      <c r="A588" s="0" t="s">
        <v>859</v>
      </c>
      <c r="B588" s="37" t="n">
        <v>45638</v>
      </c>
      <c r="C588" s="37" t="n">
        <v>45645</v>
      </c>
      <c r="D588" s="38" t="s">
        <v>251</v>
      </c>
      <c r="E588" s="38" t="s">
        <v>125</v>
      </c>
      <c r="F588" s="38" t="s">
        <v>102</v>
      </c>
      <c r="G588" s="38" t="s">
        <v>178</v>
      </c>
      <c r="H588" s="0" t="n">
        <v>3</v>
      </c>
      <c r="I588" s="39" t="n">
        <v>600</v>
      </c>
      <c r="J588" s="40" t="n">
        <v>0.2</v>
      </c>
      <c r="K588" s="39" t="n">
        <v>1440</v>
      </c>
      <c r="L588" s="39" t="n">
        <v>1050</v>
      </c>
      <c r="M588" s="39" t="n">
        <v>390</v>
      </c>
      <c r="N588" s="38" t="s">
        <v>66</v>
      </c>
      <c r="O588" s="38" t="n">
        <f aca="false">YEAR(B588)</f>
        <v>2024</v>
      </c>
      <c r="P588" s="41" t="n">
        <f aca="false">DATE(YEAR(B588),MONTH(B588),1)</f>
        <v>45627</v>
      </c>
      <c r="Q588" s="0" t="str">
        <f aca="false">INDEX(Products!$C$2:$C$16,MATCH(E588,Products!$A$2:$A$16,0))</f>
        <v>Office Supplies</v>
      </c>
      <c r="R588" s="0" t="str">
        <f aca="false">INDEX(Customers!$F$2:$F$101,MATCH(D588,Customers!$A$2:$A$101,0))</f>
        <v>South</v>
      </c>
      <c r="S588" s="0" t="str">
        <f aca="false">INDEX(Customers!$C$2:$C$101,MATCH(D588,Customers!$A$2:$A$101,0))</f>
        <v>Corporate</v>
      </c>
      <c r="T588" s="0" t="str">
        <f aca="false">INDEX(Customers!$D$2:$D$101,MATCH(D588,Customers!$A$2:$A$101,0))</f>
        <v>Bengaluru</v>
      </c>
    </row>
    <row r="589" customFormat="false" ht="15" hidden="false" customHeight="false" outlineLevel="0" collapsed="false">
      <c r="A589" s="0" t="s">
        <v>860</v>
      </c>
      <c r="B589" s="37" t="n">
        <v>46115</v>
      </c>
      <c r="C589" s="37" t="n">
        <v>46116</v>
      </c>
      <c r="D589" s="38" t="s">
        <v>348</v>
      </c>
      <c r="E589" s="38" t="s">
        <v>113</v>
      </c>
      <c r="F589" s="38" t="s">
        <v>102</v>
      </c>
      <c r="G589" s="38" t="s">
        <v>185</v>
      </c>
      <c r="H589" s="0" t="n">
        <v>5</v>
      </c>
      <c r="I589" s="39" t="n">
        <v>45000</v>
      </c>
      <c r="J589" s="40" t="n">
        <v>0.1</v>
      </c>
      <c r="K589" s="39" t="n">
        <v>202500</v>
      </c>
      <c r="L589" s="39" t="n">
        <v>180000</v>
      </c>
      <c r="M589" s="39" t="n">
        <v>22500</v>
      </c>
      <c r="N589" s="38" t="s">
        <v>66</v>
      </c>
      <c r="O589" s="38" t="n">
        <f aca="false">YEAR(B589)</f>
        <v>2026</v>
      </c>
      <c r="P589" s="41" t="n">
        <f aca="false">DATE(YEAR(B589),MONTH(B589),1)</f>
        <v>46113</v>
      </c>
      <c r="Q589" s="0" t="str">
        <f aca="false">INDEX(Products!$C$2:$C$16,MATCH(E589,Products!$A$2:$A$16,0))</f>
        <v>Technology</v>
      </c>
      <c r="R589" s="0" t="str">
        <f aca="false">INDEX(Customers!$F$2:$F$101,MATCH(D589,Customers!$A$2:$A$101,0))</f>
        <v>East</v>
      </c>
      <c r="S589" s="0" t="str">
        <f aca="false">INDEX(Customers!$C$2:$C$101,MATCH(D589,Customers!$A$2:$A$101,0))</f>
        <v>Corporate</v>
      </c>
      <c r="T589" s="0" t="str">
        <f aca="false">INDEX(Customers!$D$2:$D$101,MATCH(D589,Customers!$A$2:$A$101,0))</f>
        <v>Kolkata</v>
      </c>
    </row>
    <row r="590" customFormat="false" ht="15" hidden="false" customHeight="false" outlineLevel="0" collapsed="false">
      <c r="A590" s="0" t="s">
        <v>861</v>
      </c>
      <c r="B590" s="37" t="n">
        <v>45671</v>
      </c>
      <c r="C590" s="37" t="n">
        <v>45672</v>
      </c>
      <c r="D590" s="38" t="s">
        <v>234</v>
      </c>
      <c r="E590" s="38" t="s">
        <v>116</v>
      </c>
      <c r="F590" s="38" t="s">
        <v>101</v>
      </c>
      <c r="G590" s="38" t="s">
        <v>185</v>
      </c>
      <c r="H590" s="0" t="n">
        <v>3</v>
      </c>
      <c r="I590" s="39" t="n">
        <v>12000</v>
      </c>
      <c r="J590" s="40" t="n">
        <v>0.2</v>
      </c>
      <c r="K590" s="39" t="n">
        <v>28800</v>
      </c>
      <c r="L590" s="39" t="n">
        <v>27000</v>
      </c>
      <c r="M590" s="39" t="n">
        <v>1800</v>
      </c>
      <c r="N590" s="38" t="s">
        <v>66</v>
      </c>
      <c r="O590" s="38" t="n">
        <f aca="false">YEAR(B590)</f>
        <v>2025</v>
      </c>
      <c r="P590" s="41" t="n">
        <f aca="false">DATE(YEAR(B590),MONTH(B590),1)</f>
        <v>45658</v>
      </c>
      <c r="Q590" s="0" t="str">
        <f aca="false">INDEX(Products!$C$2:$C$16,MATCH(E590,Products!$A$2:$A$16,0))</f>
        <v>Technology</v>
      </c>
      <c r="R590" s="0" t="str">
        <f aca="false">INDEX(Customers!$F$2:$F$101,MATCH(D590,Customers!$A$2:$A$101,0))</f>
        <v>South</v>
      </c>
      <c r="S590" s="0" t="str">
        <f aca="false">INDEX(Customers!$C$2:$C$101,MATCH(D590,Customers!$A$2:$A$101,0))</f>
        <v>Corporate</v>
      </c>
      <c r="T590" s="0" t="str">
        <f aca="false">INDEX(Customers!$D$2:$D$101,MATCH(D590,Customers!$A$2:$A$101,0))</f>
        <v>Bengaluru</v>
      </c>
    </row>
    <row r="591" customFormat="false" ht="15" hidden="false" customHeight="false" outlineLevel="0" collapsed="false">
      <c r="A591" s="0" t="s">
        <v>862</v>
      </c>
      <c r="B591" s="37" t="n">
        <v>46020</v>
      </c>
      <c r="C591" s="37" t="n">
        <v>46025</v>
      </c>
      <c r="D591" s="38" t="s">
        <v>433</v>
      </c>
      <c r="E591" s="38" t="s">
        <v>117</v>
      </c>
      <c r="F591" s="38" t="s">
        <v>100</v>
      </c>
      <c r="G591" s="38" t="s">
        <v>185</v>
      </c>
      <c r="H591" s="0" t="n">
        <v>1</v>
      </c>
      <c r="I591" s="39" t="n">
        <v>6500</v>
      </c>
      <c r="J591" s="40" t="n">
        <v>0.25</v>
      </c>
      <c r="K591" s="39" t="n">
        <v>4875</v>
      </c>
      <c r="L591" s="39" t="n">
        <v>4200</v>
      </c>
      <c r="M591" s="39" t="n">
        <v>675</v>
      </c>
      <c r="N591" s="38" t="s">
        <v>66</v>
      </c>
      <c r="O591" s="38" t="n">
        <f aca="false">YEAR(B591)</f>
        <v>2025</v>
      </c>
      <c r="P591" s="41" t="n">
        <f aca="false">DATE(YEAR(B591),MONTH(B591),1)</f>
        <v>45992</v>
      </c>
      <c r="Q591" s="0" t="str">
        <f aca="false">INDEX(Products!$C$2:$C$16,MATCH(E591,Products!$A$2:$A$16,0))</f>
        <v>Furniture</v>
      </c>
      <c r="R591" s="0" t="str">
        <f aca="false">INDEX(Customers!$F$2:$F$101,MATCH(D591,Customers!$A$2:$A$101,0))</f>
        <v>North</v>
      </c>
      <c r="S591" s="0" t="str">
        <f aca="false">INDEX(Customers!$C$2:$C$101,MATCH(D591,Customers!$A$2:$A$101,0))</f>
        <v>Consumer</v>
      </c>
      <c r="T591" s="0" t="str">
        <f aca="false">INDEX(Customers!$D$2:$D$101,MATCH(D591,Customers!$A$2:$A$101,0))</f>
        <v>Delhi</v>
      </c>
    </row>
    <row r="592" customFormat="false" ht="15" hidden="false" customHeight="false" outlineLevel="0" collapsed="false">
      <c r="A592" s="0" t="s">
        <v>863</v>
      </c>
      <c r="B592" s="37" t="n">
        <v>45964</v>
      </c>
      <c r="C592" s="37" t="n">
        <v>45971</v>
      </c>
      <c r="D592" s="38" t="s">
        <v>177</v>
      </c>
      <c r="E592" s="38" t="s">
        <v>126</v>
      </c>
      <c r="F592" s="38" t="s">
        <v>100</v>
      </c>
      <c r="G592" s="38" t="s">
        <v>188</v>
      </c>
      <c r="H592" s="0" t="n">
        <v>2</v>
      </c>
      <c r="I592" s="39" t="n">
        <v>1200</v>
      </c>
      <c r="J592" s="40" t="n">
        <v>0</v>
      </c>
      <c r="K592" s="39" t="n">
        <v>2400</v>
      </c>
      <c r="L592" s="39" t="n">
        <v>1400</v>
      </c>
      <c r="M592" s="39" t="n">
        <v>1000</v>
      </c>
      <c r="N592" s="38" t="s">
        <v>66</v>
      </c>
      <c r="O592" s="38" t="n">
        <f aca="false">YEAR(B592)</f>
        <v>2025</v>
      </c>
      <c r="P592" s="41" t="n">
        <f aca="false">DATE(YEAR(B592),MONTH(B592),1)</f>
        <v>45962</v>
      </c>
      <c r="Q592" s="0" t="str">
        <f aca="false">INDEX(Products!$C$2:$C$16,MATCH(E592,Products!$A$2:$A$16,0))</f>
        <v>Furniture</v>
      </c>
      <c r="R592" s="0" t="str">
        <f aca="false">INDEX(Customers!$F$2:$F$101,MATCH(D592,Customers!$A$2:$A$101,0))</f>
        <v>North</v>
      </c>
      <c r="S592" s="0" t="str">
        <f aca="false">INDEX(Customers!$C$2:$C$101,MATCH(D592,Customers!$A$2:$A$101,0))</f>
        <v>Consumer</v>
      </c>
      <c r="T592" s="0" t="str">
        <f aca="false">INDEX(Customers!$D$2:$D$101,MATCH(D592,Customers!$A$2:$A$101,0))</f>
        <v>Gurugram</v>
      </c>
    </row>
    <row r="593" customFormat="false" ht="15" hidden="false" customHeight="false" outlineLevel="0" collapsed="false">
      <c r="A593" s="0" t="s">
        <v>864</v>
      </c>
      <c r="B593" s="37" t="n">
        <v>45921</v>
      </c>
      <c r="C593" s="37" t="n">
        <v>45923</v>
      </c>
      <c r="D593" s="38" t="s">
        <v>184</v>
      </c>
      <c r="E593" s="38" t="s">
        <v>116</v>
      </c>
      <c r="F593" s="38" t="s">
        <v>100</v>
      </c>
      <c r="G593" s="38" t="s">
        <v>178</v>
      </c>
      <c r="H593" s="0" t="n">
        <v>3</v>
      </c>
      <c r="I593" s="39" t="n">
        <v>12000</v>
      </c>
      <c r="J593" s="40" t="n">
        <v>0.05</v>
      </c>
      <c r="K593" s="39" t="n">
        <v>34200</v>
      </c>
      <c r="L593" s="39" t="n">
        <v>27000</v>
      </c>
      <c r="M593" s="39" t="n">
        <v>7200</v>
      </c>
      <c r="N593" s="38" t="s">
        <v>147</v>
      </c>
      <c r="O593" s="38" t="n">
        <f aca="false">YEAR(B593)</f>
        <v>2025</v>
      </c>
      <c r="P593" s="41" t="n">
        <f aca="false">DATE(YEAR(B593),MONTH(B593),1)</f>
        <v>45901</v>
      </c>
      <c r="Q593" s="0" t="str">
        <f aca="false">INDEX(Products!$C$2:$C$16,MATCH(E593,Products!$A$2:$A$16,0))</f>
        <v>Technology</v>
      </c>
      <c r="R593" s="0" t="str">
        <f aca="false">INDEX(Customers!$F$2:$F$101,MATCH(D593,Customers!$A$2:$A$101,0))</f>
        <v>West</v>
      </c>
      <c r="S593" s="0" t="str">
        <f aca="false">INDEX(Customers!$C$2:$C$101,MATCH(D593,Customers!$A$2:$A$101,0))</f>
        <v>Consumer</v>
      </c>
      <c r="T593" s="0" t="str">
        <f aca="false">INDEX(Customers!$D$2:$D$101,MATCH(D593,Customers!$A$2:$A$101,0))</f>
        <v>Ahmedabad</v>
      </c>
    </row>
    <row r="594" customFormat="false" ht="15" hidden="false" customHeight="false" outlineLevel="0" collapsed="false">
      <c r="A594" s="0" t="s">
        <v>865</v>
      </c>
      <c r="B594" s="37" t="n">
        <v>46090</v>
      </c>
      <c r="C594" s="37" t="n">
        <v>46094</v>
      </c>
      <c r="D594" s="38" t="s">
        <v>283</v>
      </c>
      <c r="E594" s="38" t="s">
        <v>117</v>
      </c>
      <c r="F594" s="38" t="s">
        <v>101</v>
      </c>
      <c r="G594" s="38" t="s">
        <v>188</v>
      </c>
      <c r="H594" s="0" t="n">
        <v>2</v>
      </c>
      <c r="I594" s="39" t="n">
        <v>6500</v>
      </c>
      <c r="J594" s="40" t="n">
        <v>0.1</v>
      </c>
      <c r="K594" s="39" t="n">
        <v>11700</v>
      </c>
      <c r="L594" s="39" t="n">
        <v>8400</v>
      </c>
      <c r="M594" s="39" t="n">
        <v>3300</v>
      </c>
      <c r="N594" s="38" t="s">
        <v>66</v>
      </c>
      <c r="O594" s="38" t="n">
        <f aca="false">YEAR(B594)</f>
        <v>2026</v>
      </c>
      <c r="P594" s="41" t="n">
        <f aca="false">DATE(YEAR(B594),MONTH(B594),1)</f>
        <v>46082</v>
      </c>
      <c r="Q594" s="0" t="str">
        <f aca="false">INDEX(Products!$C$2:$C$16,MATCH(E594,Products!$A$2:$A$16,0))</f>
        <v>Furniture</v>
      </c>
      <c r="R594" s="0" t="str">
        <f aca="false">INDEX(Customers!$F$2:$F$101,MATCH(D594,Customers!$A$2:$A$101,0))</f>
        <v>West</v>
      </c>
      <c r="S594" s="0" t="str">
        <f aca="false">INDEX(Customers!$C$2:$C$101,MATCH(D594,Customers!$A$2:$A$101,0))</f>
        <v>Small Business</v>
      </c>
      <c r="T594" s="0" t="str">
        <f aca="false">INDEX(Customers!$D$2:$D$101,MATCH(D594,Customers!$A$2:$A$101,0))</f>
        <v>Mumbai</v>
      </c>
    </row>
    <row r="595" customFormat="false" ht="15" hidden="false" customHeight="false" outlineLevel="0" collapsed="false">
      <c r="A595" s="0" t="s">
        <v>866</v>
      </c>
      <c r="B595" s="37" t="n">
        <v>46012</v>
      </c>
      <c r="C595" s="37" t="n">
        <v>46013</v>
      </c>
      <c r="D595" s="38" t="s">
        <v>470</v>
      </c>
      <c r="E595" s="38" t="s">
        <v>124</v>
      </c>
      <c r="F595" s="38" t="s">
        <v>101</v>
      </c>
      <c r="G595" s="38" t="s">
        <v>188</v>
      </c>
      <c r="H595" s="0" t="n">
        <v>6</v>
      </c>
      <c r="I595" s="39" t="n">
        <v>3000</v>
      </c>
      <c r="J595" s="40" t="n">
        <v>0.15</v>
      </c>
      <c r="K595" s="39" t="n">
        <v>15300</v>
      </c>
      <c r="L595" s="39" t="n">
        <v>11400</v>
      </c>
      <c r="M595" s="39" t="n">
        <v>3900</v>
      </c>
      <c r="N595" s="38" t="s">
        <v>146</v>
      </c>
      <c r="O595" s="38" t="n">
        <f aca="false">YEAR(B595)</f>
        <v>2025</v>
      </c>
      <c r="P595" s="41" t="n">
        <f aca="false">DATE(YEAR(B595),MONTH(B595),1)</f>
        <v>45992</v>
      </c>
      <c r="Q595" s="0" t="str">
        <f aca="false">INDEX(Products!$C$2:$C$16,MATCH(E595,Products!$A$2:$A$16,0))</f>
        <v>Technology</v>
      </c>
      <c r="R595" s="0" t="str">
        <f aca="false">INDEX(Customers!$F$2:$F$101,MATCH(D595,Customers!$A$2:$A$101,0))</f>
        <v>North</v>
      </c>
      <c r="S595" s="0" t="str">
        <f aca="false">INDEX(Customers!$C$2:$C$101,MATCH(D595,Customers!$A$2:$A$101,0))</f>
        <v>Small Business</v>
      </c>
      <c r="T595" s="0" t="str">
        <f aca="false">INDEX(Customers!$D$2:$D$101,MATCH(D595,Customers!$A$2:$A$101,0))</f>
        <v>Lucknow</v>
      </c>
    </row>
    <row r="596" customFormat="false" ht="15" hidden="false" customHeight="false" outlineLevel="0" collapsed="false">
      <c r="A596" s="0" t="s">
        <v>867</v>
      </c>
      <c r="B596" s="37" t="n">
        <v>46278</v>
      </c>
      <c r="C596" s="37" t="n">
        <v>46285</v>
      </c>
      <c r="D596" s="38" t="s">
        <v>414</v>
      </c>
      <c r="E596" s="38" t="s">
        <v>118</v>
      </c>
      <c r="F596" s="38" t="s">
        <v>100</v>
      </c>
      <c r="G596" s="38" t="s">
        <v>185</v>
      </c>
      <c r="H596" s="0" t="n">
        <v>1</v>
      </c>
      <c r="I596" s="39" t="n">
        <v>9000</v>
      </c>
      <c r="J596" s="40" t="n">
        <v>0.15</v>
      </c>
      <c r="K596" s="39" t="n">
        <v>7650</v>
      </c>
      <c r="L596" s="39" t="n">
        <v>6500</v>
      </c>
      <c r="M596" s="39" t="n">
        <v>1150</v>
      </c>
      <c r="N596" s="38" t="s">
        <v>146</v>
      </c>
      <c r="O596" s="38" t="n">
        <f aca="false">YEAR(B596)</f>
        <v>2026</v>
      </c>
      <c r="P596" s="41" t="n">
        <f aca="false">DATE(YEAR(B596),MONTH(B596),1)</f>
        <v>46266</v>
      </c>
      <c r="Q596" s="0" t="str">
        <f aca="false">INDEX(Products!$C$2:$C$16,MATCH(E596,Products!$A$2:$A$16,0))</f>
        <v>Furniture</v>
      </c>
      <c r="R596" s="0" t="str">
        <f aca="false">INDEX(Customers!$F$2:$F$101,MATCH(D596,Customers!$A$2:$A$101,0))</f>
        <v>South</v>
      </c>
      <c r="S596" s="0" t="str">
        <f aca="false">INDEX(Customers!$C$2:$C$101,MATCH(D596,Customers!$A$2:$A$101,0))</f>
        <v>Small Business</v>
      </c>
      <c r="T596" s="0" t="str">
        <f aca="false">INDEX(Customers!$D$2:$D$101,MATCH(D596,Customers!$A$2:$A$101,0))</f>
        <v>Bengaluru</v>
      </c>
    </row>
    <row r="597" customFormat="false" ht="15" hidden="false" customHeight="false" outlineLevel="0" collapsed="false">
      <c r="A597" s="0" t="s">
        <v>868</v>
      </c>
      <c r="B597" s="37" t="n">
        <v>45559</v>
      </c>
      <c r="C597" s="37" t="n">
        <v>45561</v>
      </c>
      <c r="D597" s="38" t="s">
        <v>409</v>
      </c>
      <c r="E597" s="38" t="s">
        <v>113</v>
      </c>
      <c r="F597" s="38" t="s">
        <v>102</v>
      </c>
      <c r="G597" s="38" t="s">
        <v>178</v>
      </c>
      <c r="H597" s="0" t="n">
        <v>2</v>
      </c>
      <c r="I597" s="39" t="n">
        <v>45000</v>
      </c>
      <c r="J597" s="40" t="n">
        <v>0</v>
      </c>
      <c r="K597" s="39" t="n">
        <v>90000</v>
      </c>
      <c r="L597" s="39" t="n">
        <v>72000</v>
      </c>
      <c r="M597" s="39" t="n">
        <v>18000</v>
      </c>
      <c r="N597" s="38" t="s">
        <v>66</v>
      </c>
      <c r="O597" s="38" t="n">
        <f aca="false">YEAR(B597)</f>
        <v>2024</v>
      </c>
      <c r="P597" s="41" t="n">
        <f aca="false">DATE(YEAR(B597),MONTH(B597),1)</f>
        <v>45536</v>
      </c>
      <c r="Q597" s="0" t="str">
        <f aca="false">INDEX(Products!$C$2:$C$16,MATCH(E597,Products!$A$2:$A$16,0))</f>
        <v>Technology</v>
      </c>
      <c r="R597" s="0" t="str">
        <f aca="false">INDEX(Customers!$F$2:$F$101,MATCH(D597,Customers!$A$2:$A$101,0))</f>
        <v>East</v>
      </c>
      <c r="S597" s="0" t="str">
        <f aca="false">INDEX(Customers!$C$2:$C$101,MATCH(D597,Customers!$A$2:$A$101,0))</f>
        <v>Small Business</v>
      </c>
      <c r="T597" s="0" t="str">
        <f aca="false">INDEX(Customers!$D$2:$D$101,MATCH(D597,Customers!$A$2:$A$101,0))</f>
        <v>Bhubaneswar</v>
      </c>
    </row>
    <row r="598" customFormat="false" ht="15" hidden="false" customHeight="false" outlineLevel="0" collapsed="false">
      <c r="A598" s="0" t="s">
        <v>869</v>
      </c>
      <c r="B598" s="37" t="n">
        <v>46114</v>
      </c>
      <c r="C598" s="37" t="n">
        <v>46119</v>
      </c>
      <c r="D598" s="38" t="s">
        <v>206</v>
      </c>
      <c r="E598" s="38" t="s">
        <v>114</v>
      </c>
      <c r="F598" s="38" t="s">
        <v>102</v>
      </c>
      <c r="G598" s="38" t="s">
        <v>170</v>
      </c>
      <c r="H598" s="0" t="n">
        <v>8</v>
      </c>
      <c r="I598" s="39" t="n">
        <v>800</v>
      </c>
      <c r="J598" s="40" t="n">
        <v>0.15</v>
      </c>
      <c r="K598" s="39" t="n">
        <v>5440</v>
      </c>
      <c r="L598" s="39" t="n">
        <v>3360</v>
      </c>
      <c r="M598" s="39" t="n">
        <v>2080</v>
      </c>
      <c r="N598" s="38" t="s">
        <v>66</v>
      </c>
      <c r="O598" s="38" t="n">
        <f aca="false">YEAR(B598)</f>
        <v>2026</v>
      </c>
      <c r="P598" s="41" t="n">
        <f aca="false">DATE(YEAR(B598),MONTH(B598),1)</f>
        <v>46113</v>
      </c>
      <c r="Q598" s="0" t="str">
        <f aca="false">INDEX(Products!$C$2:$C$16,MATCH(E598,Products!$A$2:$A$16,0))</f>
        <v>Technology</v>
      </c>
      <c r="R598" s="0" t="str">
        <f aca="false">INDEX(Customers!$F$2:$F$101,MATCH(D598,Customers!$A$2:$A$101,0))</f>
        <v>West</v>
      </c>
      <c r="S598" s="0" t="str">
        <f aca="false">INDEX(Customers!$C$2:$C$101,MATCH(D598,Customers!$A$2:$A$101,0))</f>
        <v>Corporate</v>
      </c>
      <c r="T598" s="0" t="str">
        <f aca="false">INDEX(Customers!$D$2:$D$101,MATCH(D598,Customers!$A$2:$A$101,0))</f>
        <v>Pune</v>
      </c>
    </row>
    <row r="599" customFormat="false" ht="15" hidden="false" customHeight="false" outlineLevel="0" collapsed="false">
      <c r="A599" s="0" t="s">
        <v>870</v>
      </c>
      <c r="B599" s="37" t="n">
        <v>45787</v>
      </c>
      <c r="C599" s="37" t="n">
        <v>45794</v>
      </c>
      <c r="D599" s="38" t="s">
        <v>517</v>
      </c>
      <c r="E599" s="38" t="s">
        <v>122</v>
      </c>
      <c r="F599" s="38" t="s">
        <v>101</v>
      </c>
      <c r="G599" s="38" t="s">
        <v>185</v>
      </c>
      <c r="H599" s="0" t="n">
        <v>1</v>
      </c>
      <c r="I599" s="39" t="n">
        <v>5500</v>
      </c>
      <c r="J599" s="40" t="n">
        <v>0.05</v>
      </c>
      <c r="K599" s="39" t="n">
        <v>5225</v>
      </c>
      <c r="L599" s="39" t="n">
        <v>3700</v>
      </c>
      <c r="M599" s="39" t="n">
        <v>1525</v>
      </c>
      <c r="N599" s="38" t="s">
        <v>66</v>
      </c>
      <c r="O599" s="38" t="n">
        <f aca="false">YEAR(B599)</f>
        <v>2025</v>
      </c>
      <c r="P599" s="41" t="n">
        <f aca="false">DATE(YEAR(B599),MONTH(B599),1)</f>
        <v>45778</v>
      </c>
      <c r="Q599" s="0" t="str">
        <f aca="false">INDEX(Products!$C$2:$C$16,MATCH(E599,Products!$A$2:$A$16,0))</f>
        <v>Furniture</v>
      </c>
      <c r="R599" s="0" t="str">
        <f aca="false">INDEX(Customers!$F$2:$F$101,MATCH(D599,Customers!$A$2:$A$101,0))</f>
        <v>East</v>
      </c>
      <c r="S599" s="0" t="str">
        <f aca="false">INDEX(Customers!$C$2:$C$101,MATCH(D599,Customers!$A$2:$A$101,0))</f>
        <v>Corporate</v>
      </c>
      <c r="T599" s="0" t="str">
        <f aca="false">INDEX(Customers!$D$2:$D$101,MATCH(D599,Customers!$A$2:$A$101,0))</f>
        <v>Kolkata</v>
      </c>
    </row>
    <row r="600" customFormat="false" ht="15" hidden="false" customHeight="false" outlineLevel="0" collapsed="false">
      <c r="A600" s="0" t="s">
        <v>871</v>
      </c>
      <c r="B600" s="37" t="n">
        <v>45411</v>
      </c>
      <c r="C600" s="37" t="n">
        <v>45414</v>
      </c>
      <c r="D600" s="38" t="s">
        <v>221</v>
      </c>
      <c r="E600" s="38" t="s">
        <v>120</v>
      </c>
      <c r="F600" s="38" t="s">
        <v>100</v>
      </c>
      <c r="G600" s="38" t="s">
        <v>173</v>
      </c>
      <c r="H600" s="0" t="n">
        <v>1</v>
      </c>
      <c r="I600" s="39" t="n">
        <v>400</v>
      </c>
      <c r="J600" s="40" t="n">
        <v>0.2</v>
      </c>
      <c r="K600" s="39" t="n">
        <v>320</v>
      </c>
      <c r="L600" s="39" t="n">
        <v>260</v>
      </c>
      <c r="M600" s="39" t="n">
        <v>60</v>
      </c>
      <c r="N600" s="38" t="s">
        <v>66</v>
      </c>
      <c r="O600" s="38" t="n">
        <f aca="false">YEAR(B600)</f>
        <v>2024</v>
      </c>
      <c r="P600" s="41" t="n">
        <f aca="false">DATE(YEAR(B600),MONTH(B600),1)</f>
        <v>45383</v>
      </c>
      <c r="Q600" s="0" t="str">
        <f aca="false">INDEX(Products!$C$2:$C$16,MATCH(E600,Products!$A$2:$A$16,0))</f>
        <v>Office Supplies</v>
      </c>
      <c r="R600" s="0" t="str">
        <f aca="false">INDEX(Customers!$F$2:$F$101,MATCH(D600,Customers!$A$2:$A$101,0))</f>
        <v>North</v>
      </c>
      <c r="S600" s="0" t="str">
        <f aca="false">INDEX(Customers!$C$2:$C$101,MATCH(D600,Customers!$A$2:$A$101,0))</f>
        <v>Consumer</v>
      </c>
      <c r="T600" s="0" t="str">
        <f aca="false">INDEX(Customers!$D$2:$D$101,MATCH(D600,Customers!$A$2:$A$101,0))</f>
        <v>Delhi</v>
      </c>
    </row>
    <row r="601" customFormat="false" ht="15" hidden="false" customHeight="false" outlineLevel="0" collapsed="false">
      <c r="A601" s="0" t="s">
        <v>872</v>
      </c>
      <c r="B601" s="37" t="n">
        <v>45820</v>
      </c>
      <c r="C601" s="37" t="n">
        <v>45825</v>
      </c>
      <c r="D601" s="38" t="s">
        <v>198</v>
      </c>
      <c r="E601" s="38" t="s">
        <v>118</v>
      </c>
      <c r="F601" s="38" t="s">
        <v>101</v>
      </c>
      <c r="G601" s="38" t="s">
        <v>173</v>
      </c>
      <c r="H601" s="0" t="n">
        <v>1</v>
      </c>
      <c r="I601" s="39" t="n">
        <v>9000</v>
      </c>
      <c r="J601" s="40" t="n">
        <v>0.25</v>
      </c>
      <c r="K601" s="39" t="n">
        <v>6750</v>
      </c>
      <c r="L601" s="39" t="n">
        <v>6500</v>
      </c>
      <c r="M601" s="39" t="n">
        <v>250</v>
      </c>
      <c r="N601" s="38" t="s">
        <v>66</v>
      </c>
      <c r="O601" s="38" t="n">
        <f aca="false">YEAR(B601)</f>
        <v>2025</v>
      </c>
      <c r="P601" s="41" t="n">
        <f aca="false">DATE(YEAR(B601),MONTH(B601),1)</f>
        <v>45809</v>
      </c>
      <c r="Q601" s="0" t="str">
        <f aca="false">INDEX(Products!$C$2:$C$16,MATCH(E601,Products!$A$2:$A$16,0))</f>
        <v>Furniture</v>
      </c>
      <c r="R601" s="0" t="str">
        <f aca="false">INDEX(Customers!$F$2:$F$101,MATCH(D601,Customers!$A$2:$A$101,0))</f>
        <v>North</v>
      </c>
      <c r="S601" s="0" t="str">
        <f aca="false">INDEX(Customers!$C$2:$C$101,MATCH(D601,Customers!$A$2:$A$101,0))</f>
        <v>Consumer</v>
      </c>
      <c r="T601" s="0" t="str">
        <f aca="false">INDEX(Customers!$D$2:$D$101,MATCH(D601,Customers!$A$2:$A$101,0))</f>
        <v>Gurugram</v>
      </c>
    </row>
    <row r="602" customFormat="false" ht="15" hidden="false" customHeight="false" outlineLevel="0" collapsed="false">
      <c r="A602" s="0" t="s">
        <v>873</v>
      </c>
      <c r="B602" s="37" t="n">
        <v>46058</v>
      </c>
      <c r="C602" s="37" t="n">
        <v>46065</v>
      </c>
      <c r="D602" s="38" t="s">
        <v>251</v>
      </c>
      <c r="E602" s="38" t="s">
        <v>123</v>
      </c>
      <c r="F602" s="38" t="s">
        <v>100</v>
      </c>
      <c r="G602" s="38" t="s">
        <v>185</v>
      </c>
      <c r="H602" s="0" t="n">
        <v>2</v>
      </c>
      <c r="I602" s="39" t="n">
        <v>2200</v>
      </c>
      <c r="J602" s="40" t="n">
        <v>0.15</v>
      </c>
      <c r="K602" s="39" t="n">
        <v>3740</v>
      </c>
      <c r="L602" s="39" t="n">
        <v>2600</v>
      </c>
      <c r="M602" s="39" t="n">
        <v>1140</v>
      </c>
      <c r="N602" s="38" t="s">
        <v>66</v>
      </c>
      <c r="O602" s="38" t="n">
        <f aca="false">YEAR(B602)</f>
        <v>2026</v>
      </c>
      <c r="P602" s="41" t="n">
        <f aca="false">DATE(YEAR(B602),MONTH(B602),1)</f>
        <v>46054</v>
      </c>
      <c r="Q602" s="0" t="str">
        <f aca="false">INDEX(Products!$C$2:$C$16,MATCH(E602,Products!$A$2:$A$16,0))</f>
        <v>Technology</v>
      </c>
      <c r="R602" s="0" t="str">
        <f aca="false">INDEX(Customers!$F$2:$F$101,MATCH(D602,Customers!$A$2:$A$101,0))</f>
        <v>South</v>
      </c>
      <c r="S602" s="0" t="str">
        <f aca="false">INDEX(Customers!$C$2:$C$101,MATCH(D602,Customers!$A$2:$A$101,0))</f>
        <v>Corporate</v>
      </c>
      <c r="T602" s="0" t="str">
        <f aca="false">INDEX(Customers!$D$2:$D$101,MATCH(D602,Customers!$A$2:$A$101,0))</f>
        <v>Bengaluru</v>
      </c>
    </row>
    <row r="603" customFormat="false" ht="15" hidden="false" customHeight="false" outlineLevel="0" collapsed="false">
      <c r="A603" s="0" t="s">
        <v>874</v>
      </c>
      <c r="B603" s="37" t="n">
        <v>45879</v>
      </c>
      <c r="C603" s="37" t="n">
        <v>45882</v>
      </c>
      <c r="D603" s="38" t="s">
        <v>352</v>
      </c>
      <c r="E603" s="38" t="s">
        <v>127</v>
      </c>
      <c r="F603" s="38" t="s">
        <v>102</v>
      </c>
      <c r="G603" s="38" t="s">
        <v>173</v>
      </c>
      <c r="H603" s="0" t="n">
        <v>1</v>
      </c>
      <c r="I603" s="39" t="n">
        <v>18000</v>
      </c>
      <c r="J603" s="40" t="n">
        <v>0.2</v>
      </c>
      <c r="K603" s="39" t="n">
        <v>14400</v>
      </c>
      <c r="L603" s="39" t="n">
        <v>14000</v>
      </c>
      <c r="M603" s="39" t="n">
        <v>400</v>
      </c>
      <c r="N603" s="38" t="s">
        <v>66</v>
      </c>
      <c r="O603" s="38" t="n">
        <f aca="false">YEAR(B603)</f>
        <v>2025</v>
      </c>
      <c r="P603" s="41" t="n">
        <f aca="false">DATE(YEAR(B603),MONTH(B603),1)</f>
        <v>45870</v>
      </c>
      <c r="Q603" s="0" t="str">
        <f aca="false">INDEX(Products!$C$2:$C$16,MATCH(E603,Products!$A$2:$A$16,0))</f>
        <v>Technology</v>
      </c>
      <c r="R603" s="0" t="str">
        <f aca="false">INDEX(Customers!$F$2:$F$101,MATCH(D603,Customers!$A$2:$A$101,0))</f>
        <v>South</v>
      </c>
      <c r="S603" s="0" t="str">
        <f aca="false">INDEX(Customers!$C$2:$C$101,MATCH(D603,Customers!$A$2:$A$101,0))</f>
        <v>Small Business</v>
      </c>
      <c r="T603" s="0" t="str">
        <f aca="false">INDEX(Customers!$D$2:$D$101,MATCH(D603,Customers!$A$2:$A$101,0))</f>
        <v>Hyderabad</v>
      </c>
    </row>
    <row r="604" customFormat="false" ht="15" hidden="false" customHeight="false" outlineLevel="0" collapsed="false">
      <c r="A604" s="0" t="s">
        <v>875</v>
      </c>
      <c r="B604" s="37" t="n">
        <v>46045</v>
      </c>
      <c r="C604" s="37" t="n">
        <v>46047</v>
      </c>
      <c r="D604" s="38" t="s">
        <v>177</v>
      </c>
      <c r="E604" s="38" t="s">
        <v>116</v>
      </c>
      <c r="F604" s="38" t="s">
        <v>100</v>
      </c>
      <c r="G604" s="38" t="s">
        <v>173</v>
      </c>
      <c r="H604" s="0" t="n">
        <v>5</v>
      </c>
      <c r="I604" s="39" t="n">
        <v>12000</v>
      </c>
      <c r="J604" s="40" t="n">
        <v>0</v>
      </c>
      <c r="K604" s="39" t="n">
        <v>60000</v>
      </c>
      <c r="L604" s="39" t="n">
        <v>45000</v>
      </c>
      <c r="M604" s="39" t="n">
        <v>15000</v>
      </c>
      <c r="N604" s="38" t="s">
        <v>66</v>
      </c>
      <c r="O604" s="38" t="n">
        <f aca="false">YEAR(B604)</f>
        <v>2026</v>
      </c>
      <c r="P604" s="41" t="n">
        <f aca="false">DATE(YEAR(B604),MONTH(B604),1)</f>
        <v>46023</v>
      </c>
      <c r="Q604" s="0" t="str">
        <f aca="false">INDEX(Products!$C$2:$C$16,MATCH(E604,Products!$A$2:$A$16,0))</f>
        <v>Technology</v>
      </c>
      <c r="R604" s="0" t="str">
        <f aca="false">INDEX(Customers!$F$2:$F$101,MATCH(D604,Customers!$A$2:$A$101,0))</f>
        <v>North</v>
      </c>
      <c r="S604" s="0" t="str">
        <f aca="false">INDEX(Customers!$C$2:$C$101,MATCH(D604,Customers!$A$2:$A$101,0))</f>
        <v>Consumer</v>
      </c>
      <c r="T604" s="0" t="str">
        <f aca="false">INDEX(Customers!$D$2:$D$101,MATCH(D604,Customers!$A$2:$A$101,0))</f>
        <v>Gurugram</v>
      </c>
    </row>
    <row r="605" customFormat="false" ht="15" hidden="false" customHeight="false" outlineLevel="0" collapsed="false">
      <c r="A605" s="0" t="s">
        <v>876</v>
      </c>
      <c r="B605" s="37" t="n">
        <v>45451</v>
      </c>
      <c r="C605" s="37" t="n">
        <v>45458</v>
      </c>
      <c r="D605" s="38" t="s">
        <v>305</v>
      </c>
      <c r="E605" s="38" t="s">
        <v>118</v>
      </c>
      <c r="F605" s="38" t="s">
        <v>102</v>
      </c>
      <c r="G605" s="38" t="s">
        <v>185</v>
      </c>
      <c r="H605" s="0" t="n">
        <v>1</v>
      </c>
      <c r="I605" s="39" t="n">
        <v>9000</v>
      </c>
      <c r="J605" s="40" t="n">
        <v>0</v>
      </c>
      <c r="K605" s="39" t="n">
        <v>9000</v>
      </c>
      <c r="L605" s="39" t="n">
        <v>6500</v>
      </c>
      <c r="M605" s="39" t="n">
        <v>2500</v>
      </c>
      <c r="N605" s="38" t="s">
        <v>66</v>
      </c>
      <c r="O605" s="38" t="n">
        <f aca="false">YEAR(B605)</f>
        <v>2024</v>
      </c>
      <c r="P605" s="41" t="n">
        <f aca="false">DATE(YEAR(B605),MONTH(B605),1)</f>
        <v>45444</v>
      </c>
      <c r="Q605" s="0" t="str">
        <f aca="false">INDEX(Products!$C$2:$C$16,MATCH(E605,Products!$A$2:$A$16,0))</f>
        <v>Furniture</v>
      </c>
      <c r="R605" s="0" t="str">
        <f aca="false">INDEX(Customers!$F$2:$F$101,MATCH(D605,Customers!$A$2:$A$101,0))</f>
        <v>South</v>
      </c>
      <c r="S605" s="0" t="str">
        <f aca="false">INDEX(Customers!$C$2:$C$101,MATCH(D605,Customers!$A$2:$A$101,0))</f>
        <v>Consumer</v>
      </c>
      <c r="T605" s="0" t="str">
        <f aca="false">INDEX(Customers!$D$2:$D$101,MATCH(D605,Customers!$A$2:$A$101,0))</f>
        <v>Chennai</v>
      </c>
    </row>
    <row r="606" customFormat="false" ht="15" hidden="false" customHeight="false" outlineLevel="0" collapsed="false">
      <c r="A606" s="0" t="s">
        <v>877</v>
      </c>
      <c r="B606" s="37" t="n">
        <v>45846</v>
      </c>
      <c r="C606" s="37" t="n">
        <v>45847</v>
      </c>
      <c r="D606" s="38" t="s">
        <v>270</v>
      </c>
      <c r="E606" s="38" t="s">
        <v>126</v>
      </c>
      <c r="F606" s="38" t="s">
        <v>102</v>
      </c>
      <c r="G606" s="38" t="s">
        <v>170</v>
      </c>
      <c r="H606" s="0" t="n">
        <v>5</v>
      </c>
      <c r="I606" s="39" t="n">
        <v>1200</v>
      </c>
      <c r="J606" s="40" t="n">
        <v>0.05</v>
      </c>
      <c r="K606" s="39" t="n">
        <v>5700</v>
      </c>
      <c r="L606" s="39" t="n">
        <v>3500</v>
      </c>
      <c r="M606" s="39" t="n">
        <v>2200</v>
      </c>
      <c r="N606" s="38" t="s">
        <v>66</v>
      </c>
      <c r="O606" s="38" t="n">
        <f aca="false">YEAR(B606)</f>
        <v>2025</v>
      </c>
      <c r="P606" s="41" t="n">
        <f aca="false">DATE(YEAR(B606),MONTH(B606),1)</f>
        <v>45839</v>
      </c>
      <c r="Q606" s="0" t="str">
        <f aca="false">INDEX(Products!$C$2:$C$16,MATCH(E606,Products!$A$2:$A$16,0))</f>
        <v>Furniture</v>
      </c>
      <c r="R606" s="0" t="str">
        <f aca="false">INDEX(Customers!$F$2:$F$101,MATCH(D606,Customers!$A$2:$A$101,0))</f>
        <v>West</v>
      </c>
      <c r="S606" s="0" t="str">
        <f aca="false">INDEX(Customers!$C$2:$C$101,MATCH(D606,Customers!$A$2:$A$101,0))</f>
        <v>Small Business</v>
      </c>
      <c r="T606" s="0" t="str">
        <f aca="false">INDEX(Customers!$D$2:$D$101,MATCH(D606,Customers!$A$2:$A$101,0))</f>
        <v>Pune</v>
      </c>
    </row>
    <row r="607" customFormat="false" ht="15" hidden="false" customHeight="false" outlineLevel="0" collapsed="false">
      <c r="A607" s="0" t="s">
        <v>878</v>
      </c>
      <c r="B607" s="37" t="n">
        <v>45573</v>
      </c>
      <c r="C607" s="37" t="n">
        <v>45577</v>
      </c>
      <c r="D607" s="38" t="s">
        <v>409</v>
      </c>
      <c r="E607" s="38" t="s">
        <v>126</v>
      </c>
      <c r="F607" s="38" t="s">
        <v>102</v>
      </c>
      <c r="G607" s="38" t="s">
        <v>170</v>
      </c>
      <c r="H607" s="0" t="n">
        <v>1</v>
      </c>
      <c r="I607" s="39" t="n">
        <v>1200</v>
      </c>
      <c r="J607" s="40" t="n">
        <v>0.25</v>
      </c>
      <c r="K607" s="39" t="n">
        <v>900</v>
      </c>
      <c r="L607" s="39" t="n">
        <v>700</v>
      </c>
      <c r="M607" s="39" t="n">
        <v>200</v>
      </c>
      <c r="N607" s="38" t="s">
        <v>66</v>
      </c>
      <c r="O607" s="38" t="n">
        <f aca="false">YEAR(B607)</f>
        <v>2024</v>
      </c>
      <c r="P607" s="41" t="n">
        <f aca="false">DATE(YEAR(B607),MONTH(B607),1)</f>
        <v>45566</v>
      </c>
      <c r="Q607" s="0" t="str">
        <f aca="false">INDEX(Products!$C$2:$C$16,MATCH(E607,Products!$A$2:$A$16,0))</f>
        <v>Furniture</v>
      </c>
      <c r="R607" s="0" t="str">
        <f aca="false">INDEX(Customers!$F$2:$F$101,MATCH(D607,Customers!$A$2:$A$101,0))</f>
        <v>East</v>
      </c>
      <c r="S607" s="0" t="str">
        <f aca="false">INDEX(Customers!$C$2:$C$101,MATCH(D607,Customers!$A$2:$A$101,0))</f>
        <v>Small Business</v>
      </c>
      <c r="T607" s="0" t="str">
        <f aca="false">INDEX(Customers!$D$2:$D$101,MATCH(D607,Customers!$A$2:$A$101,0))</f>
        <v>Bhubaneswar</v>
      </c>
    </row>
    <row r="608" customFormat="false" ht="15" hidden="false" customHeight="false" outlineLevel="0" collapsed="false">
      <c r="A608" s="0" t="s">
        <v>879</v>
      </c>
      <c r="B608" s="37" t="n">
        <v>45423</v>
      </c>
      <c r="C608" s="37" t="n">
        <v>45424</v>
      </c>
      <c r="D608" s="38" t="s">
        <v>192</v>
      </c>
      <c r="E608" s="38" t="s">
        <v>122</v>
      </c>
      <c r="F608" s="38" t="s">
        <v>101</v>
      </c>
      <c r="G608" s="38" t="s">
        <v>188</v>
      </c>
      <c r="H608" s="0" t="n">
        <v>2</v>
      </c>
      <c r="I608" s="39" t="n">
        <v>5500</v>
      </c>
      <c r="J608" s="40" t="n">
        <v>0.1</v>
      </c>
      <c r="K608" s="39" t="n">
        <v>9900</v>
      </c>
      <c r="L608" s="39" t="n">
        <v>7400</v>
      </c>
      <c r="M608" s="39" t="n">
        <v>2500</v>
      </c>
      <c r="N608" s="38" t="s">
        <v>66</v>
      </c>
      <c r="O608" s="38" t="n">
        <f aca="false">YEAR(B608)</f>
        <v>2024</v>
      </c>
      <c r="P608" s="41" t="n">
        <f aca="false">DATE(YEAR(B608),MONTH(B608),1)</f>
        <v>45413</v>
      </c>
      <c r="Q608" s="0" t="str">
        <f aca="false">INDEX(Products!$C$2:$C$16,MATCH(E608,Products!$A$2:$A$16,0))</f>
        <v>Furniture</v>
      </c>
      <c r="R608" s="0" t="str">
        <f aca="false">INDEX(Customers!$F$2:$F$101,MATCH(D608,Customers!$A$2:$A$101,0))</f>
        <v>East</v>
      </c>
      <c r="S608" s="0" t="str">
        <f aca="false">INDEX(Customers!$C$2:$C$101,MATCH(D608,Customers!$A$2:$A$101,0))</f>
        <v>Small Business</v>
      </c>
      <c r="T608" s="0" t="str">
        <f aca="false">INDEX(Customers!$D$2:$D$101,MATCH(D608,Customers!$A$2:$A$101,0))</f>
        <v>Bhubaneswar</v>
      </c>
    </row>
    <row r="609" customFormat="false" ht="15" hidden="false" customHeight="false" outlineLevel="0" collapsed="false">
      <c r="A609" s="0" t="s">
        <v>880</v>
      </c>
      <c r="B609" s="37" t="n">
        <v>46173</v>
      </c>
      <c r="C609" s="37" t="n">
        <v>46179</v>
      </c>
      <c r="D609" s="38" t="s">
        <v>414</v>
      </c>
      <c r="E609" s="38" t="s">
        <v>119</v>
      </c>
      <c r="F609" s="38" t="s">
        <v>100</v>
      </c>
      <c r="G609" s="38" t="s">
        <v>188</v>
      </c>
      <c r="H609" s="0" t="n">
        <v>4</v>
      </c>
      <c r="I609" s="39" t="n">
        <v>250</v>
      </c>
      <c r="J609" s="40" t="n">
        <v>0.1</v>
      </c>
      <c r="K609" s="39" t="n">
        <v>900</v>
      </c>
      <c r="L609" s="39" t="n">
        <v>480</v>
      </c>
      <c r="M609" s="39" t="n">
        <v>420</v>
      </c>
      <c r="N609" s="38" t="s">
        <v>66</v>
      </c>
      <c r="O609" s="38" t="n">
        <f aca="false">YEAR(B609)</f>
        <v>2026</v>
      </c>
      <c r="P609" s="41" t="n">
        <f aca="false">DATE(YEAR(B609),MONTH(B609),1)</f>
        <v>46143</v>
      </c>
      <c r="Q609" s="0" t="str">
        <f aca="false">INDEX(Products!$C$2:$C$16,MATCH(E609,Products!$A$2:$A$16,0))</f>
        <v>Office Supplies</v>
      </c>
      <c r="R609" s="0" t="str">
        <f aca="false">INDEX(Customers!$F$2:$F$101,MATCH(D609,Customers!$A$2:$A$101,0))</f>
        <v>South</v>
      </c>
      <c r="S609" s="0" t="str">
        <f aca="false">INDEX(Customers!$C$2:$C$101,MATCH(D609,Customers!$A$2:$A$101,0))</f>
        <v>Small Business</v>
      </c>
      <c r="T609" s="0" t="str">
        <f aca="false">INDEX(Customers!$D$2:$D$101,MATCH(D609,Customers!$A$2:$A$101,0))</f>
        <v>Bengaluru</v>
      </c>
    </row>
    <row r="610" customFormat="false" ht="15" hidden="false" customHeight="false" outlineLevel="0" collapsed="false">
      <c r="A610" s="0" t="s">
        <v>881</v>
      </c>
      <c r="B610" s="37" t="n">
        <v>45304</v>
      </c>
      <c r="C610" s="37" t="n">
        <v>45310</v>
      </c>
      <c r="D610" s="38" t="s">
        <v>182</v>
      </c>
      <c r="E610" s="38" t="s">
        <v>113</v>
      </c>
      <c r="F610" s="38" t="s">
        <v>100</v>
      </c>
      <c r="G610" s="38" t="s">
        <v>170</v>
      </c>
      <c r="H610" s="0" t="n">
        <v>1</v>
      </c>
      <c r="I610" s="39" t="n">
        <v>45000</v>
      </c>
      <c r="J610" s="40" t="n">
        <v>0.15</v>
      </c>
      <c r="K610" s="39" t="n">
        <v>38250</v>
      </c>
      <c r="L610" s="39" t="n">
        <v>36000</v>
      </c>
      <c r="M610" s="39" t="n">
        <v>2250</v>
      </c>
      <c r="N610" s="38" t="s">
        <v>66</v>
      </c>
      <c r="O610" s="38" t="n">
        <f aca="false">YEAR(B610)</f>
        <v>2024</v>
      </c>
      <c r="P610" s="41" t="n">
        <f aca="false">DATE(YEAR(B610),MONTH(B610),1)</f>
        <v>45292</v>
      </c>
      <c r="Q610" s="0" t="str">
        <f aca="false">INDEX(Products!$C$2:$C$16,MATCH(E610,Products!$A$2:$A$16,0))</f>
        <v>Technology</v>
      </c>
      <c r="R610" s="0" t="str">
        <f aca="false">INDEX(Customers!$F$2:$F$101,MATCH(D610,Customers!$A$2:$A$101,0))</f>
        <v>North</v>
      </c>
      <c r="S610" s="0" t="str">
        <f aca="false">INDEX(Customers!$C$2:$C$101,MATCH(D610,Customers!$A$2:$A$101,0))</f>
        <v>Small Business</v>
      </c>
      <c r="T610" s="0" t="str">
        <f aca="false">INDEX(Customers!$D$2:$D$101,MATCH(D610,Customers!$A$2:$A$101,0))</f>
        <v>Gurugram</v>
      </c>
    </row>
    <row r="611" customFormat="false" ht="15" hidden="false" customHeight="false" outlineLevel="0" collapsed="false">
      <c r="A611" s="0" t="s">
        <v>882</v>
      </c>
      <c r="B611" s="37" t="n">
        <v>45853</v>
      </c>
      <c r="C611" s="37" t="n">
        <v>45856</v>
      </c>
      <c r="D611" s="38" t="s">
        <v>234</v>
      </c>
      <c r="E611" s="38" t="s">
        <v>115</v>
      </c>
      <c r="F611" s="38" t="s">
        <v>102</v>
      </c>
      <c r="G611" s="38" t="s">
        <v>170</v>
      </c>
      <c r="H611" s="0" t="n">
        <v>1</v>
      </c>
      <c r="I611" s="39" t="n">
        <v>1500</v>
      </c>
      <c r="J611" s="40" t="n">
        <v>0.1</v>
      </c>
      <c r="K611" s="39" t="n">
        <v>1350</v>
      </c>
      <c r="L611" s="39" t="n">
        <v>850</v>
      </c>
      <c r="M611" s="39" t="n">
        <v>500</v>
      </c>
      <c r="N611" s="38" t="s">
        <v>66</v>
      </c>
      <c r="O611" s="38" t="n">
        <f aca="false">YEAR(B611)</f>
        <v>2025</v>
      </c>
      <c r="P611" s="41" t="n">
        <f aca="false">DATE(YEAR(B611),MONTH(B611),1)</f>
        <v>45839</v>
      </c>
      <c r="Q611" s="0" t="str">
        <f aca="false">INDEX(Products!$C$2:$C$16,MATCH(E611,Products!$A$2:$A$16,0))</f>
        <v>Technology</v>
      </c>
      <c r="R611" s="0" t="str">
        <f aca="false">INDEX(Customers!$F$2:$F$101,MATCH(D611,Customers!$A$2:$A$101,0))</f>
        <v>South</v>
      </c>
      <c r="S611" s="0" t="str">
        <f aca="false">INDEX(Customers!$C$2:$C$101,MATCH(D611,Customers!$A$2:$A$101,0))</f>
        <v>Corporate</v>
      </c>
      <c r="T611" s="0" t="str">
        <f aca="false">INDEX(Customers!$D$2:$D$101,MATCH(D611,Customers!$A$2:$A$101,0))</f>
        <v>Bengaluru</v>
      </c>
    </row>
    <row r="612" customFormat="false" ht="15" hidden="false" customHeight="false" outlineLevel="0" collapsed="false">
      <c r="A612" s="0" t="s">
        <v>883</v>
      </c>
      <c r="B612" s="37" t="n">
        <v>45507</v>
      </c>
      <c r="C612" s="37" t="n">
        <v>45511</v>
      </c>
      <c r="D612" s="38" t="s">
        <v>467</v>
      </c>
      <c r="E612" s="38" t="s">
        <v>119</v>
      </c>
      <c r="F612" s="38" t="s">
        <v>101</v>
      </c>
      <c r="G612" s="38" t="s">
        <v>185</v>
      </c>
      <c r="H612" s="0" t="n">
        <v>3</v>
      </c>
      <c r="I612" s="39" t="n">
        <v>250</v>
      </c>
      <c r="J612" s="40" t="n">
        <v>0.05</v>
      </c>
      <c r="K612" s="39" t="n">
        <v>712.5</v>
      </c>
      <c r="L612" s="39" t="n">
        <v>360</v>
      </c>
      <c r="M612" s="39" t="n">
        <v>352.5</v>
      </c>
      <c r="N612" s="38" t="s">
        <v>66</v>
      </c>
      <c r="O612" s="38" t="n">
        <f aca="false">YEAR(B612)</f>
        <v>2024</v>
      </c>
      <c r="P612" s="41" t="n">
        <f aca="false">DATE(YEAR(B612),MONTH(B612),1)</f>
        <v>45505</v>
      </c>
      <c r="Q612" s="0" t="str">
        <f aca="false">INDEX(Products!$C$2:$C$16,MATCH(E612,Products!$A$2:$A$16,0))</f>
        <v>Office Supplies</v>
      </c>
      <c r="R612" s="0" t="str">
        <f aca="false">INDEX(Customers!$F$2:$F$101,MATCH(D612,Customers!$A$2:$A$101,0))</f>
        <v>West</v>
      </c>
      <c r="S612" s="0" t="str">
        <f aca="false">INDEX(Customers!$C$2:$C$101,MATCH(D612,Customers!$A$2:$A$101,0))</f>
        <v>Corporate</v>
      </c>
      <c r="T612" s="0" t="str">
        <f aca="false">INDEX(Customers!$D$2:$D$101,MATCH(D612,Customers!$A$2:$A$101,0))</f>
        <v>Ahmedabad</v>
      </c>
    </row>
    <row r="613" customFormat="false" ht="15" hidden="false" customHeight="false" outlineLevel="0" collapsed="false">
      <c r="A613" s="0" t="s">
        <v>884</v>
      </c>
      <c r="B613" s="37" t="n">
        <v>45426</v>
      </c>
      <c r="C613" s="37" t="n">
        <v>45431</v>
      </c>
      <c r="D613" s="38" t="s">
        <v>435</v>
      </c>
      <c r="E613" s="38" t="s">
        <v>122</v>
      </c>
      <c r="F613" s="38" t="s">
        <v>100</v>
      </c>
      <c r="G613" s="38" t="s">
        <v>170</v>
      </c>
      <c r="H613" s="0" t="n">
        <v>3</v>
      </c>
      <c r="I613" s="39" t="n">
        <v>5500</v>
      </c>
      <c r="J613" s="40" t="n">
        <v>0.25</v>
      </c>
      <c r="K613" s="39" t="n">
        <v>12375</v>
      </c>
      <c r="L613" s="39" t="n">
        <v>11100</v>
      </c>
      <c r="M613" s="39" t="n">
        <v>1275</v>
      </c>
      <c r="N613" s="38" t="s">
        <v>66</v>
      </c>
      <c r="O613" s="38" t="n">
        <f aca="false">YEAR(B613)</f>
        <v>2024</v>
      </c>
      <c r="P613" s="41" t="n">
        <f aca="false">DATE(YEAR(B613),MONTH(B613),1)</f>
        <v>45413</v>
      </c>
      <c r="Q613" s="0" t="str">
        <f aca="false">INDEX(Products!$C$2:$C$16,MATCH(E613,Products!$A$2:$A$16,0))</f>
        <v>Furniture</v>
      </c>
      <c r="R613" s="0" t="str">
        <f aca="false">INDEX(Customers!$F$2:$F$101,MATCH(D613,Customers!$A$2:$A$101,0))</f>
        <v>South</v>
      </c>
      <c r="S613" s="0" t="str">
        <f aca="false">INDEX(Customers!$C$2:$C$101,MATCH(D613,Customers!$A$2:$A$101,0))</f>
        <v>Small Business</v>
      </c>
      <c r="T613" s="0" t="str">
        <f aca="false">INDEX(Customers!$D$2:$D$101,MATCH(D613,Customers!$A$2:$A$101,0))</f>
        <v>Chennai</v>
      </c>
    </row>
    <row r="614" customFormat="false" ht="15" hidden="false" customHeight="false" outlineLevel="0" collapsed="false">
      <c r="A614" s="0" t="s">
        <v>885</v>
      </c>
      <c r="B614" s="37" t="n">
        <v>46168</v>
      </c>
      <c r="C614" s="37" t="n">
        <v>46172</v>
      </c>
      <c r="D614" s="38" t="s">
        <v>322</v>
      </c>
      <c r="E614" s="38" t="s">
        <v>119</v>
      </c>
      <c r="F614" s="38" t="s">
        <v>102</v>
      </c>
      <c r="G614" s="38" t="s">
        <v>173</v>
      </c>
      <c r="H614" s="0" t="n">
        <v>1</v>
      </c>
      <c r="I614" s="39" t="n">
        <v>250</v>
      </c>
      <c r="J614" s="40" t="n">
        <v>0.25</v>
      </c>
      <c r="K614" s="39" t="n">
        <v>187.5</v>
      </c>
      <c r="L614" s="39" t="n">
        <v>120</v>
      </c>
      <c r="M614" s="39" t="n">
        <v>67.5</v>
      </c>
      <c r="N614" s="38" t="s">
        <v>66</v>
      </c>
      <c r="O614" s="38" t="n">
        <f aca="false">YEAR(B614)</f>
        <v>2026</v>
      </c>
      <c r="P614" s="41" t="n">
        <f aca="false">DATE(YEAR(B614),MONTH(B614),1)</f>
        <v>46143</v>
      </c>
      <c r="Q614" s="0" t="str">
        <f aca="false">INDEX(Products!$C$2:$C$16,MATCH(E614,Products!$A$2:$A$16,0))</f>
        <v>Office Supplies</v>
      </c>
      <c r="R614" s="0" t="str">
        <f aca="false">INDEX(Customers!$F$2:$F$101,MATCH(D614,Customers!$A$2:$A$101,0))</f>
        <v>North</v>
      </c>
      <c r="S614" s="0" t="str">
        <f aca="false">INDEX(Customers!$C$2:$C$101,MATCH(D614,Customers!$A$2:$A$101,0))</f>
        <v>Consumer</v>
      </c>
      <c r="T614" s="0" t="str">
        <f aca="false">INDEX(Customers!$D$2:$D$101,MATCH(D614,Customers!$A$2:$A$101,0))</f>
        <v>Jaipur</v>
      </c>
    </row>
    <row r="615" customFormat="false" ht="15" hidden="false" customHeight="false" outlineLevel="0" collapsed="false">
      <c r="A615" s="0" t="s">
        <v>886</v>
      </c>
      <c r="B615" s="37" t="n">
        <v>45723</v>
      </c>
      <c r="C615" s="37" t="n">
        <v>45727</v>
      </c>
      <c r="D615" s="38" t="s">
        <v>470</v>
      </c>
      <c r="E615" s="38" t="s">
        <v>115</v>
      </c>
      <c r="F615" s="38" t="s">
        <v>102</v>
      </c>
      <c r="G615" s="38" t="s">
        <v>188</v>
      </c>
      <c r="H615" s="0" t="n">
        <v>1</v>
      </c>
      <c r="I615" s="39" t="n">
        <v>1500</v>
      </c>
      <c r="J615" s="40" t="n">
        <v>0.25</v>
      </c>
      <c r="K615" s="39" t="n">
        <v>1125</v>
      </c>
      <c r="L615" s="39" t="n">
        <v>850</v>
      </c>
      <c r="M615" s="39" t="n">
        <v>275</v>
      </c>
      <c r="N615" s="38" t="s">
        <v>66</v>
      </c>
      <c r="O615" s="38" t="n">
        <f aca="false">YEAR(B615)</f>
        <v>2025</v>
      </c>
      <c r="P615" s="41" t="n">
        <f aca="false">DATE(YEAR(B615),MONTH(B615),1)</f>
        <v>45717</v>
      </c>
      <c r="Q615" s="0" t="str">
        <f aca="false">INDEX(Products!$C$2:$C$16,MATCH(E615,Products!$A$2:$A$16,0))</f>
        <v>Technology</v>
      </c>
      <c r="R615" s="0" t="str">
        <f aca="false">INDEX(Customers!$F$2:$F$101,MATCH(D615,Customers!$A$2:$A$101,0))</f>
        <v>North</v>
      </c>
      <c r="S615" s="0" t="str">
        <f aca="false">INDEX(Customers!$C$2:$C$101,MATCH(D615,Customers!$A$2:$A$101,0))</f>
        <v>Small Business</v>
      </c>
      <c r="T615" s="0" t="str">
        <f aca="false">INDEX(Customers!$D$2:$D$101,MATCH(D615,Customers!$A$2:$A$101,0))</f>
        <v>Lucknow</v>
      </c>
    </row>
    <row r="616" customFormat="false" ht="15" hidden="false" customHeight="false" outlineLevel="0" collapsed="false">
      <c r="A616" s="0" t="s">
        <v>887</v>
      </c>
      <c r="B616" s="37" t="n">
        <v>45790</v>
      </c>
      <c r="C616" s="37" t="n">
        <v>45793</v>
      </c>
      <c r="D616" s="38" t="s">
        <v>298</v>
      </c>
      <c r="E616" s="38" t="s">
        <v>125</v>
      </c>
      <c r="F616" s="38" t="s">
        <v>102</v>
      </c>
      <c r="G616" s="38" t="s">
        <v>178</v>
      </c>
      <c r="H616" s="0" t="n">
        <v>1</v>
      </c>
      <c r="I616" s="39" t="n">
        <v>600</v>
      </c>
      <c r="J616" s="40" t="n">
        <v>0.25</v>
      </c>
      <c r="K616" s="39" t="n">
        <v>450</v>
      </c>
      <c r="L616" s="39" t="n">
        <v>350</v>
      </c>
      <c r="M616" s="39" t="n">
        <v>100</v>
      </c>
      <c r="N616" s="38" t="s">
        <v>66</v>
      </c>
      <c r="O616" s="38" t="n">
        <f aca="false">YEAR(B616)</f>
        <v>2025</v>
      </c>
      <c r="P616" s="41" t="n">
        <f aca="false">DATE(YEAR(B616),MONTH(B616),1)</f>
        <v>45778</v>
      </c>
      <c r="Q616" s="0" t="str">
        <f aca="false">INDEX(Products!$C$2:$C$16,MATCH(E616,Products!$A$2:$A$16,0))</f>
        <v>Office Supplies</v>
      </c>
      <c r="R616" s="0" t="str">
        <f aca="false">INDEX(Customers!$F$2:$F$101,MATCH(D616,Customers!$A$2:$A$101,0))</f>
        <v>North</v>
      </c>
      <c r="S616" s="0" t="str">
        <f aca="false">INDEX(Customers!$C$2:$C$101,MATCH(D616,Customers!$A$2:$A$101,0))</f>
        <v>Consumer</v>
      </c>
      <c r="T616" s="0" t="str">
        <f aca="false">INDEX(Customers!$D$2:$D$101,MATCH(D616,Customers!$A$2:$A$101,0))</f>
        <v>Lucknow</v>
      </c>
    </row>
    <row r="617" customFormat="false" ht="15" hidden="false" customHeight="false" outlineLevel="0" collapsed="false">
      <c r="A617" s="0" t="s">
        <v>888</v>
      </c>
      <c r="B617" s="37" t="n">
        <v>45353</v>
      </c>
      <c r="C617" s="37" t="n">
        <v>45355</v>
      </c>
      <c r="D617" s="38" t="s">
        <v>182</v>
      </c>
      <c r="E617" s="38" t="s">
        <v>115</v>
      </c>
      <c r="F617" s="38" t="s">
        <v>102</v>
      </c>
      <c r="G617" s="38" t="s">
        <v>178</v>
      </c>
      <c r="H617" s="0" t="n">
        <v>5</v>
      </c>
      <c r="I617" s="39" t="n">
        <v>1500</v>
      </c>
      <c r="J617" s="40" t="n">
        <v>0.1</v>
      </c>
      <c r="K617" s="39" t="n">
        <v>6750</v>
      </c>
      <c r="L617" s="39" t="n">
        <v>4250</v>
      </c>
      <c r="M617" s="39" t="n">
        <v>2500</v>
      </c>
      <c r="N617" s="38" t="s">
        <v>66</v>
      </c>
      <c r="O617" s="38" t="n">
        <f aca="false">YEAR(B617)</f>
        <v>2024</v>
      </c>
      <c r="P617" s="41" t="n">
        <f aca="false">DATE(YEAR(B617),MONTH(B617),1)</f>
        <v>45352</v>
      </c>
      <c r="Q617" s="0" t="str">
        <f aca="false">INDEX(Products!$C$2:$C$16,MATCH(E617,Products!$A$2:$A$16,0))</f>
        <v>Technology</v>
      </c>
      <c r="R617" s="0" t="str">
        <f aca="false">INDEX(Customers!$F$2:$F$101,MATCH(D617,Customers!$A$2:$A$101,0))</f>
        <v>North</v>
      </c>
      <c r="S617" s="0" t="str">
        <f aca="false">INDEX(Customers!$C$2:$C$101,MATCH(D617,Customers!$A$2:$A$101,0))</f>
        <v>Small Business</v>
      </c>
      <c r="T617" s="0" t="str">
        <f aca="false">INDEX(Customers!$D$2:$D$101,MATCH(D617,Customers!$A$2:$A$101,0))</f>
        <v>Gurugram</v>
      </c>
    </row>
    <row r="618" customFormat="false" ht="15" hidden="false" customHeight="false" outlineLevel="0" collapsed="false">
      <c r="A618" s="0" t="s">
        <v>889</v>
      </c>
      <c r="B618" s="37" t="n">
        <v>45661</v>
      </c>
      <c r="C618" s="37" t="n">
        <v>45664</v>
      </c>
      <c r="D618" s="38" t="s">
        <v>498</v>
      </c>
      <c r="E618" s="38" t="s">
        <v>117</v>
      </c>
      <c r="F618" s="38" t="s">
        <v>101</v>
      </c>
      <c r="G618" s="38" t="s">
        <v>170</v>
      </c>
      <c r="H618" s="0" t="n">
        <v>3</v>
      </c>
      <c r="I618" s="39" t="n">
        <v>6500</v>
      </c>
      <c r="J618" s="40" t="n">
        <v>0.25</v>
      </c>
      <c r="K618" s="39" t="n">
        <v>14625</v>
      </c>
      <c r="L618" s="39" t="n">
        <v>12600</v>
      </c>
      <c r="M618" s="39" t="n">
        <v>2025</v>
      </c>
      <c r="N618" s="38" t="s">
        <v>66</v>
      </c>
      <c r="O618" s="38" t="n">
        <f aca="false">YEAR(B618)</f>
        <v>2025</v>
      </c>
      <c r="P618" s="41" t="n">
        <f aca="false">DATE(YEAR(B618),MONTH(B618),1)</f>
        <v>45658</v>
      </c>
      <c r="Q618" s="0" t="str">
        <f aca="false">INDEX(Products!$C$2:$C$16,MATCH(E618,Products!$A$2:$A$16,0))</f>
        <v>Furniture</v>
      </c>
      <c r="R618" s="0" t="str">
        <f aca="false">INDEX(Customers!$F$2:$F$101,MATCH(D618,Customers!$A$2:$A$101,0))</f>
        <v>East</v>
      </c>
      <c r="S618" s="0" t="str">
        <f aca="false">INDEX(Customers!$C$2:$C$101,MATCH(D618,Customers!$A$2:$A$101,0))</f>
        <v>Consumer</v>
      </c>
      <c r="T618" s="0" t="str">
        <f aca="false">INDEX(Customers!$D$2:$D$101,MATCH(D618,Customers!$A$2:$A$101,0))</f>
        <v>Bhubaneswar</v>
      </c>
    </row>
    <row r="619" customFormat="false" ht="15" hidden="false" customHeight="false" outlineLevel="0" collapsed="false">
      <c r="A619" s="0" t="s">
        <v>890</v>
      </c>
      <c r="B619" s="37" t="n">
        <v>46180</v>
      </c>
      <c r="C619" s="37" t="n">
        <v>46186</v>
      </c>
      <c r="D619" s="38" t="s">
        <v>373</v>
      </c>
      <c r="E619" s="38" t="s">
        <v>118</v>
      </c>
      <c r="F619" s="38" t="s">
        <v>102</v>
      </c>
      <c r="G619" s="38" t="s">
        <v>188</v>
      </c>
      <c r="H619" s="0" t="n">
        <v>8</v>
      </c>
      <c r="I619" s="39" t="n">
        <v>9000</v>
      </c>
      <c r="J619" s="40" t="n">
        <v>0</v>
      </c>
      <c r="K619" s="39" t="n">
        <v>72000</v>
      </c>
      <c r="L619" s="39" t="n">
        <v>52000</v>
      </c>
      <c r="M619" s="39" t="n">
        <v>20000</v>
      </c>
      <c r="N619" s="38" t="s">
        <v>66</v>
      </c>
      <c r="O619" s="38" t="n">
        <f aca="false">YEAR(B619)</f>
        <v>2026</v>
      </c>
      <c r="P619" s="41" t="n">
        <f aca="false">DATE(YEAR(B619),MONTH(B619),1)</f>
        <v>46174</v>
      </c>
      <c r="Q619" s="0" t="str">
        <f aca="false">INDEX(Products!$C$2:$C$16,MATCH(E619,Products!$A$2:$A$16,0))</f>
        <v>Furniture</v>
      </c>
      <c r="R619" s="0" t="str">
        <f aca="false">INDEX(Customers!$F$2:$F$101,MATCH(D619,Customers!$A$2:$A$101,0))</f>
        <v>West</v>
      </c>
      <c r="S619" s="0" t="str">
        <f aca="false">INDEX(Customers!$C$2:$C$101,MATCH(D619,Customers!$A$2:$A$101,0))</f>
        <v>Small Business</v>
      </c>
      <c r="T619" s="0" t="str">
        <f aca="false">INDEX(Customers!$D$2:$D$101,MATCH(D619,Customers!$A$2:$A$101,0))</f>
        <v>Pune</v>
      </c>
    </row>
    <row r="620" customFormat="false" ht="15" hidden="false" customHeight="false" outlineLevel="0" collapsed="false">
      <c r="A620" s="0" t="s">
        <v>891</v>
      </c>
      <c r="B620" s="37" t="n">
        <v>46091</v>
      </c>
      <c r="C620" s="37" t="n">
        <v>46094</v>
      </c>
      <c r="D620" s="38" t="s">
        <v>208</v>
      </c>
      <c r="E620" s="38" t="s">
        <v>115</v>
      </c>
      <c r="F620" s="38" t="s">
        <v>102</v>
      </c>
      <c r="G620" s="38" t="s">
        <v>185</v>
      </c>
      <c r="H620" s="0" t="n">
        <v>2</v>
      </c>
      <c r="I620" s="39" t="n">
        <v>1500</v>
      </c>
      <c r="J620" s="40" t="n">
        <v>0.2</v>
      </c>
      <c r="K620" s="39" t="n">
        <v>2400</v>
      </c>
      <c r="L620" s="39" t="n">
        <v>1700</v>
      </c>
      <c r="M620" s="39" t="n">
        <v>700</v>
      </c>
      <c r="N620" s="38" t="s">
        <v>66</v>
      </c>
      <c r="O620" s="38" t="n">
        <f aca="false">YEAR(B620)</f>
        <v>2026</v>
      </c>
      <c r="P620" s="41" t="n">
        <f aca="false">DATE(YEAR(B620),MONTH(B620),1)</f>
        <v>46082</v>
      </c>
      <c r="Q620" s="0" t="str">
        <f aca="false">INDEX(Products!$C$2:$C$16,MATCH(E620,Products!$A$2:$A$16,0))</f>
        <v>Technology</v>
      </c>
      <c r="R620" s="0" t="str">
        <f aca="false">INDEX(Customers!$F$2:$F$101,MATCH(D620,Customers!$A$2:$A$101,0))</f>
        <v>North</v>
      </c>
      <c r="S620" s="0" t="str">
        <f aca="false">INDEX(Customers!$C$2:$C$101,MATCH(D620,Customers!$A$2:$A$101,0))</f>
        <v>Corporate</v>
      </c>
      <c r="T620" s="0" t="str">
        <f aca="false">INDEX(Customers!$D$2:$D$101,MATCH(D620,Customers!$A$2:$A$101,0))</f>
        <v>Gurugram</v>
      </c>
    </row>
    <row r="621" customFormat="false" ht="15" hidden="false" customHeight="false" outlineLevel="0" collapsed="false">
      <c r="A621" s="0" t="s">
        <v>892</v>
      </c>
      <c r="B621" s="37" t="n">
        <v>45372</v>
      </c>
      <c r="C621" s="37" t="n">
        <v>45376</v>
      </c>
      <c r="D621" s="38" t="s">
        <v>260</v>
      </c>
      <c r="E621" s="38" t="s">
        <v>127</v>
      </c>
      <c r="F621" s="38" t="s">
        <v>102</v>
      </c>
      <c r="G621" s="38" t="s">
        <v>173</v>
      </c>
      <c r="H621" s="0" t="n">
        <v>3</v>
      </c>
      <c r="I621" s="39" t="n">
        <v>18000</v>
      </c>
      <c r="J621" s="40" t="n">
        <v>0.1</v>
      </c>
      <c r="K621" s="39" t="n">
        <v>48600</v>
      </c>
      <c r="L621" s="39" t="n">
        <v>42000</v>
      </c>
      <c r="M621" s="39" t="n">
        <v>6600</v>
      </c>
      <c r="N621" s="38" t="s">
        <v>66</v>
      </c>
      <c r="O621" s="38" t="n">
        <f aca="false">YEAR(B621)</f>
        <v>2024</v>
      </c>
      <c r="P621" s="41" t="n">
        <f aca="false">DATE(YEAR(B621),MONTH(B621),1)</f>
        <v>45352</v>
      </c>
      <c r="Q621" s="0" t="str">
        <f aca="false">INDEX(Products!$C$2:$C$16,MATCH(E621,Products!$A$2:$A$16,0))</f>
        <v>Technology</v>
      </c>
      <c r="R621" s="0" t="str">
        <f aca="false">INDEX(Customers!$F$2:$F$101,MATCH(D621,Customers!$A$2:$A$101,0))</f>
        <v>West</v>
      </c>
      <c r="S621" s="0" t="str">
        <f aca="false">INDEX(Customers!$C$2:$C$101,MATCH(D621,Customers!$A$2:$A$101,0))</f>
        <v>Small Business</v>
      </c>
      <c r="T621" s="0" t="str">
        <f aca="false">INDEX(Customers!$D$2:$D$101,MATCH(D621,Customers!$A$2:$A$101,0))</f>
        <v>Mumbai</v>
      </c>
    </row>
    <row r="622" customFormat="false" ht="15" hidden="false" customHeight="false" outlineLevel="0" collapsed="false">
      <c r="A622" s="0" t="s">
        <v>893</v>
      </c>
      <c r="B622" s="37" t="n">
        <v>46242</v>
      </c>
      <c r="C622" s="37" t="n">
        <v>46245</v>
      </c>
      <c r="D622" s="38" t="s">
        <v>348</v>
      </c>
      <c r="E622" s="38" t="s">
        <v>125</v>
      </c>
      <c r="F622" s="38" t="s">
        <v>102</v>
      </c>
      <c r="G622" s="38" t="s">
        <v>185</v>
      </c>
      <c r="H622" s="0" t="n">
        <v>2</v>
      </c>
      <c r="I622" s="39" t="n">
        <v>600</v>
      </c>
      <c r="J622" s="40" t="n">
        <v>0.15</v>
      </c>
      <c r="K622" s="39" t="n">
        <v>1020</v>
      </c>
      <c r="L622" s="39" t="n">
        <v>700</v>
      </c>
      <c r="M622" s="39" t="n">
        <v>320</v>
      </c>
      <c r="N622" s="38" t="s">
        <v>66</v>
      </c>
      <c r="O622" s="38" t="n">
        <f aca="false">YEAR(B622)</f>
        <v>2026</v>
      </c>
      <c r="P622" s="41" t="n">
        <f aca="false">DATE(YEAR(B622),MONTH(B622),1)</f>
        <v>46235</v>
      </c>
      <c r="Q622" s="0" t="str">
        <f aca="false">INDEX(Products!$C$2:$C$16,MATCH(E622,Products!$A$2:$A$16,0))</f>
        <v>Office Supplies</v>
      </c>
      <c r="R622" s="0" t="str">
        <f aca="false">INDEX(Customers!$F$2:$F$101,MATCH(D622,Customers!$A$2:$A$101,0))</f>
        <v>East</v>
      </c>
      <c r="S622" s="0" t="str">
        <f aca="false">INDEX(Customers!$C$2:$C$101,MATCH(D622,Customers!$A$2:$A$101,0))</f>
        <v>Corporate</v>
      </c>
      <c r="T622" s="0" t="str">
        <f aca="false">INDEX(Customers!$D$2:$D$101,MATCH(D622,Customers!$A$2:$A$101,0))</f>
        <v>Kolkata</v>
      </c>
    </row>
    <row r="623" customFormat="false" ht="15" hidden="false" customHeight="false" outlineLevel="0" collapsed="false">
      <c r="A623" s="0" t="s">
        <v>894</v>
      </c>
      <c r="B623" s="37" t="n">
        <v>45457</v>
      </c>
      <c r="C623" s="37" t="n">
        <v>45460</v>
      </c>
      <c r="D623" s="38" t="s">
        <v>381</v>
      </c>
      <c r="E623" s="38" t="s">
        <v>114</v>
      </c>
      <c r="F623" s="38" t="s">
        <v>102</v>
      </c>
      <c r="G623" s="38" t="s">
        <v>170</v>
      </c>
      <c r="H623" s="0" t="n">
        <v>1</v>
      </c>
      <c r="I623" s="39" t="n">
        <v>800</v>
      </c>
      <c r="J623" s="40" t="n">
        <v>0.05</v>
      </c>
      <c r="K623" s="39" t="n">
        <v>760</v>
      </c>
      <c r="L623" s="39" t="n">
        <v>420</v>
      </c>
      <c r="M623" s="39" t="n">
        <v>340</v>
      </c>
      <c r="N623" s="38" t="s">
        <v>66</v>
      </c>
      <c r="O623" s="38" t="n">
        <f aca="false">YEAR(B623)</f>
        <v>2024</v>
      </c>
      <c r="P623" s="41" t="n">
        <f aca="false">DATE(YEAR(B623),MONTH(B623),1)</f>
        <v>45444</v>
      </c>
      <c r="Q623" s="0" t="str">
        <f aca="false">INDEX(Products!$C$2:$C$16,MATCH(E623,Products!$A$2:$A$16,0))</f>
        <v>Technology</v>
      </c>
      <c r="R623" s="0" t="str">
        <f aca="false">INDEX(Customers!$F$2:$F$101,MATCH(D623,Customers!$A$2:$A$101,0))</f>
        <v>West</v>
      </c>
      <c r="S623" s="0" t="str">
        <f aca="false">INDEX(Customers!$C$2:$C$101,MATCH(D623,Customers!$A$2:$A$101,0))</f>
        <v>Consumer</v>
      </c>
      <c r="T623" s="0" t="str">
        <f aca="false">INDEX(Customers!$D$2:$D$101,MATCH(D623,Customers!$A$2:$A$101,0))</f>
        <v>Pune</v>
      </c>
    </row>
    <row r="624" customFormat="false" ht="15" hidden="false" customHeight="false" outlineLevel="0" collapsed="false">
      <c r="A624" s="0" t="s">
        <v>895</v>
      </c>
      <c r="B624" s="37" t="n">
        <v>45696</v>
      </c>
      <c r="C624" s="37" t="n">
        <v>45699</v>
      </c>
      <c r="D624" s="38" t="s">
        <v>350</v>
      </c>
      <c r="E624" s="38" t="s">
        <v>123</v>
      </c>
      <c r="F624" s="38" t="s">
        <v>101</v>
      </c>
      <c r="G624" s="38" t="s">
        <v>188</v>
      </c>
      <c r="H624" s="0" t="n">
        <v>5</v>
      </c>
      <c r="I624" s="39" t="n">
        <v>2200</v>
      </c>
      <c r="J624" s="40" t="n">
        <v>0.25</v>
      </c>
      <c r="K624" s="39" t="n">
        <v>8250</v>
      </c>
      <c r="L624" s="39" t="n">
        <v>6500</v>
      </c>
      <c r="M624" s="39" t="n">
        <v>1750</v>
      </c>
      <c r="N624" s="38" t="s">
        <v>66</v>
      </c>
      <c r="O624" s="38" t="n">
        <f aca="false">YEAR(B624)</f>
        <v>2025</v>
      </c>
      <c r="P624" s="41" t="n">
        <f aca="false">DATE(YEAR(B624),MONTH(B624),1)</f>
        <v>45689</v>
      </c>
      <c r="Q624" s="0" t="str">
        <f aca="false">INDEX(Products!$C$2:$C$16,MATCH(E624,Products!$A$2:$A$16,0))</f>
        <v>Technology</v>
      </c>
      <c r="R624" s="0" t="str">
        <f aca="false">INDEX(Customers!$F$2:$F$101,MATCH(D624,Customers!$A$2:$A$101,0))</f>
        <v>South</v>
      </c>
      <c r="S624" s="0" t="str">
        <f aca="false">INDEX(Customers!$C$2:$C$101,MATCH(D624,Customers!$A$2:$A$101,0))</f>
        <v>Consumer</v>
      </c>
      <c r="T624" s="0" t="str">
        <f aca="false">INDEX(Customers!$D$2:$D$101,MATCH(D624,Customers!$A$2:$A$101,0))</f>
        <v>Chennai</v>
      </c>
    </row>
    <row r="625" customFormat="false" ht="15" hidden="false" customHeight="false" outlineLevel="0" collapsed="false">
      <c r="A625" s="0" t="s">
        <v>896</v>
      </c>
      <c r="B625" s="37" t="n">
        <v>45463</v>
      </c>
      <c r="C625" s="37" t="n">
        <v>45465</v>
      </c>
      <c r="D625" s="38" t="s">
        <v>260</v>
      </c>
      <c r="E625" s="38" t="s">
        <v>119</v>
      </c>
      <c r="F625" s="38" t="s">
        <v>102</v>
      </c>
      <c r="G625" s="38" t="s">
        <v>173</v>
      </c>
      <c r="H625" s="0" t="n">
        <v>5</v>
      </c>
      <c r="I625" s="39" t="n">
        <v>250</v>
      </c>
      <c r="J625" s="40" t="n">
        <v>0</v>
      </c>
      <c r="K625" s="39" t="n">
        <v>1250</v>
      </c>
      <c r="L625" s="39" t="n">
        <v>600</v>
      </c>
      <c r="M625" s="39" t="n">
        <v>650</v>
      </c>
      <c r="N625" s="38" t="s">
        <v>66</v>
      </c>
      <c r="O625" s="38" t="n">
        <f aca="false">YEAR(B625)</f>
        <v>2024</v>
      </c>
      <c r="P625" s="41" t="n">
        <f aca="false">DATE(YEAR(B625),MONTH(B625),1)</f>
        <v>45444</v>
      </c>
      <c r="Q625" s="0" t="str">
        <f aca="false">INDEX(Products!$C$2:$C$16,MATCH(E625,Products!$A$2:$A$16,0))</f>
        <v>Office Supplies</v>
      </c>
      <c r="R625" s="0" t="str">
        <f aca="false">INDEX(Customers!$F$2:$F$101,MATCH(D625,Customers!$A$2:$A$101,0))</f>
        <v>West</v>
      </c>
      <c r="S625" s="0" t="str">
        <f aca="false">INDEX(Customers!$C$2:$C$101,MATCH(D625,Customers!$A$2:$A$101,0))</f>
        <v>Small Business</v>
      </c>
      <c r="T625" s="0" t="str">
        <f aca="false">INDEX(Customers!$D$2:$D$101,MATCH(D625,Customers!$A$2:$A$101,0))</f>
        <v>Mumbai</v>
      </c>
    </row>
    <row r="626" customFormat="false" ht="15" hidden="false" customHeight="false" outlineLevel="0" collapsed="false">
      <c r="A626" s="0" t="s">
        <v>897</v>
      </c>
      <c r="B626" s="37" t="n">
        <v>46059</v>
      </c>
      <c r="C626" s="37" t="n">
        <v>46060</v>
      </c>
      <c r="D626" s="38" t="s">
        <v>242</v>
      </c>
      <c r="E626" s="38" t="s">
        <v>124</v>
      </c>
      <c r="F626" s="38" t="s">
        <v>100</v>
      </c>
      <c r="G626" s="38" t="s">
        <v>178</v>
      </c>
      <c r="H626" s="0" t="n">
        <v>1</v>
      </c>
      <c r="I626" s="39" t="n">
        <v>3000</v>
      </c>
      <c r="J626" s="40" t="n">
        <v>0.1</v>
      </c>
      <c r="K626" s="39" t="n">
        <v>2700</v>
      </c>
      <c r="L626" s="39" t="n">
        <v>1900</v>
      </c>
      <c r="M626" s="39" t="n">
        <v>800</v>
      </c>
      <c r="N626" s="38" t="s">
        <v>66</v>
      </c>
      <c r="O626" s="38" t="n">
        <f aca="false">YEAR(B626)</f>
        <v>2026</v>
      </c>
      <c r="P626" s="41" t="n">
        <f aca="false">DATE(YEAR(B626),MONTH(B626),1)</f>
        <v>46054</v>
      </c>
      <c r="Q626" s="0" t="str">
        <f aca="false">INDEX(Products!$C$2:$C$16,MATCH(E626,Products!$A$2:$A$16,0))</f>
        <v>Technology</v>
      </c>
      <c r="R626" s="0" t="str">
        <f aca="false">INDEX(Customers!$F$2:$F$101,MATCH(D626,Customers!$A$2:$A$101,0))</f>
        <v>North</v>
      </c>
      <c r="S626" s="0" t="str">
        <f aca="false">INDEX(Customers!$C$2:$C$101,MATCH(D626,Customers!$A$2:$A$101,0))</f>
        <v>Small Business</v>
      </c>
      <c r="T626" s="0" t="str">
        <f aca="false">INDEX(Customers!$D$2:$D$101,MATCH(D626,Customers!$A$2:$A$101,0))</f>
        <v>Gurugram</v>
      </c>
    </row>
    <row r="627" customFormat="false" ht="15" hidden="false" customHeight="false" outlineLevel="0" collapsed="false">
      <c r="A627" s="0" t="s">
        <v>898</v>
      </c>
      <c r="B627" s="37" t="n">
        <v>45347</v>
      </c>
      <c r="C627" s="37" t="n">
        <v>45348</v>
      </c>
      <c r="D627" s="38" t="s">
        <v>213</v>
      </c>
      <c r="E627" s="38" t="s">
        <v>121</v>
      </c>
      <c r="F627" s="38" t="s">
        <v>100</v>
      </c>
      <c r="G627" s="38" t="s">
        <v>178</v>
      </c>
      <c r="H627" s="0" t="n">
        <v>4</v>
      </c>
      <c r="I627" s="39" t="n">
        <v>180</v>
      </c>
      <c r="J627" s="40" t="n">
        <v>0.15</v>
      </c>
      <c r="K627" s="39" t="n">
        <v>612</v>
      </c>
      <c r="L627" s="39" t="n">
        <v>280</v>
      </c>
      <c r="M627" s="39" t="n">
        <v>332</v>
      </c>
      <c r="N627" s="38" t="s">
        <v>66</v>
      </c>
      <c r="O627" s="38" t="n">
        <f aca="false">YEAR(B627)</f>
        <v>2024</v>
      </c>
      <c r="P627" s="41" t="n">
        <f aca="false">DATE(YEAR(B627),MONTH(B627),1)</f>
        <v>45323</v>
      </c>
      <c r="Q627" s="0" t="str">
        <f aca="false">INDEX(Products!$C$2:$C$16,MATCH(E627,Products!$A$2:$A$16,0))</f>
        <v>Office Supplies</v>
      </c>
      <c r="R627" s="0" t="str">
        <f aca="false">INDEX(Customers!$F$2:$F$101,MATCH(D627,Customers!$A$2:$A$101,0))</f>
        <v>North</v>
      </c>
      <c r="S627" s="0" t="str">
        <f aca="false">INDEX(Customers!$C$2:$C$101,MATCH(D627,Customers!$A$2:$A$101,0))</f>
        <v>Small Business</v>
      </c>
      <c r="T627" s="0" t="str">
        <f aca="false">INDEX(Customers!$D$2:$D$101,MATCH(D627,Customers!$A$2:$A$101,0))</f>
        <v>Gurugram</v>
      </c>
    </row>
    <row r="628" customFormat="false" ht="15" hidden="false" customHeight="false" outlineLevel="0" collapsed="false">
      <c r="A628" s="0" t="s">
        <v>899</v>
      </c>
      <c r="B628" s="37" t="n">
        <v>45962</v>
      </c>
      <c r="C628" s="37" t="n">
        <v>45966</v>
      </c>
      <c r="D628" s="38" t="s">
        <v>331</v>
      </c>
      <c r="E628" s="38" t="s">
        <v>114</v>
      </c>
      <c r="F628" s="38" t="s">
        <v>102</v>
      </c>
      <c r="G628" s="38" t="s">
        <v>170</v>
      </c>
      <c r="H628" s="0" t="n">
        <v>2</v>
      </c>
      <c r="I628" s="39" t="n">
        <v>800</v>
      </c>
      <c r="J628" s="40" t="n">
        <v>0</v>
      </c>
      <c r="K628" s="39" t="n">
        <v>1600</v>
      </c>
      <c r="L628" s="39" t="n">
        <v>840</v>
      </c>
      <c r="M628" s="39" t="n">
        <v>760</v>
      </c>
      <c r="N628" s="38" t="s">
        <v>66</v>
      </c>
      <c r="O628" s="38" t="n">
        <f aca="false">YEAR(B628)</f>
        <v>2025</v>
      </c>
      <c r="P628" s="41" t="n">
        <f aca="false">DATE(YEAR(B628),MONTH(B628),1)</f>
        <v>45962</v>
      </c>
      <c r="Q628" s="0" t="str">
        <f aca="false">INDEX(Products!$C$2:$C$16,MATCH(E628,Products!$A$2:$A$16,0))</f>
        <v>Technology</v>
      </c>
      <c r="R628" s="0" t="str">
        <f aca="false">INDEX(Customers!$F$2:$F$101,MATCH(D628,Customers!$A$2:$A$101,0))</f>
        <v>North</v>
      </c>
      <c r="S628" s="0" t="str">
        <f aca="false">INDEX(Customers!$C$2:$C$101,MATCH(D628,Customers!$A$2:$A$101,0))</f>
        <v>Corporate</v>
      </c>
      <c r="T628" s="0" t="str">
        <f aca="false">INDEX(Customers!$D$2:$D$101,MATCH(D628,Customers!$A$2:$A$101,0))</f>
        <v>Delhi</v>
      </c>
    </row>
    <row r="629" customFormat="false" ht="15" hidden="false" customHeight="false" outlineLevel="0" collapsed="false">
      <c r="A629" s="0" t="s">
        <v>900</v>
      </c>
      <c r="B629" s="37" t="n">
        <v>45831</v>
      </c>
      <c r="C629" s="37" t="n">
        <v>45838</v>
      </c>
      <c r="D629" s="38" t="s">
        <v>217</v>
      </c>
      <c r="E629" s="38" t="s">
        <v>115</v>
      </c>
      <c r="F629" s="38" t="s">
        <v>102</v>
      </c>
      <c r="G629" s="38" t="s">
        <v>170</v>
      </c>
      <c r="H629" s="0" t="n">
        <v>1</v>
      </c>
      <c r="I629" s="39" t="n">
        <v>1500</v>
      </c>
      <c r="J629" s="40" t="n">
        <v>0</v>
      </c>
      <c r="K629" s="39" t="n">
        <v>1500</v>
      </c>
      <c r="L629" s="39" t="n">
        <v>850</v>
      </c>
      <c r="M629" s="39" t="n">
        <v>650</v>
      </c>
      <c r="N629" s="38" t="s">
        <v>66</v>
      </c>
      <c r="O629" s="38" t="n">
        <f aca="false">YEAR(B629)</f>
        <v>2025</v>
      </c>
      <c r="P629" s="41" t="n">
        <f aca="false">DATE(YEAR(B629),MONTH(B629),1)</f>
        <v>45809</v>
      </c>
      <c r="Q629" s="0" t="str">
        <f aca="false">INDEX(Products!$C$2:$C$16,MATCH(E629,Products!$A$2:$A$16,0))</f>
        <v>Technology</v>
      </c>
      <c r="R629" s="0" t="str">
        <f aca="false">INDEX(Customers!$F$2:$F$101,MATCH(D629,Customers!$A$2:$A$101,0))</f>
        <v>East</v>
      </c>
      <c r="S629" s="0" t="str">
        <f aca="false">INDEX(Customers!$C$2:$C$101,MATCH(D629,Customers!$A$2:$A$101,0))</f>
        <v>Small Business</v>
      </c>
      <c r="T629" s="0" t="str">
        <f aca="false">INDEX(Customers!$D$2:$D$101,MATCH(D629,Customers!$A$2:$A$101,0))</f>
        <v>Kolkata</v>
      </c>
    </row>
    <row r="630" customFormat="false" ht="15" hidden="false" customHeight="false" outlineLevel="0" collapsed="false">
      <c r="A630" s="0" t="s">
        <v>901</v>
      </c>
      <c r="B630" s="37" t="n">
        <v>45779</v>
      </c>
      <c r="C630" s="37" t="n">
        <v>45783</v>
      </c>
      <c r="D630" s="38" t="s">
        <v>390</v>
      </c>
      <c r="E630" s="38" t="s">
        <v>126</v>
      </c>
      <c r="F630" s="38" t="s">
        <v>101</v>
      </c>
      <c r="G630" s="38" t="s">
        <v>188</v>
      </c>
      <c r="H630" s="0" t="n">
        <v>8</v>
      </c>
      <c r="I630" s="39" t="n">
        <v>1200</v>
      </c>
      <c r="J630" s="40" t="n">
        <v>0.15</v>
      </c>
      <c r="K630" s="39" t="n">
        <v>8160</v>
      </c>
      <c r="L630" s="39" t="n">
        <v>5600</v>
      </c>
      <c r="M630" s="39" t="n">
        <v>2560</v>
      </c>
      <c r="N630" s="38" t="s">
        <v>66</v>
      </c>
      <c r="O630" s="38" t="n">
        <f aca="false">YEAR(B630)</f>
        <v>2025</v>
      </c>
      <c r="P630" s="41" t="n">
        <f aca="false">DATE(YEAR(B630),MONTH(B630),1)</f>
        <v>45778</v>
      </c>
      <c r="Q630" s="0" t="str">
        <f aca="false">INDEX(Products!$C$2:$C$16,MATCH(E630,Products!$A$2:$A$16,0))</f>
        <v>Furniture</v>
      </c>
      <c r="R630" s="0" t="str">
        <f aca="false">INDEX(Customers!$F$2:$F$101,MATCH(D630,Customers!$A$2:$A$101,0))</f>
        <v>South</v>
      </c>
      <c r="S630" s="0" t="str">
        <f aca="false">INDEX(Customers!$C$2:$C$101,MATCH(D630,Customers!$A$2:$A$101,0))</f>
        <v>Consumer</v>
      </c>
      <c r="T630" s="0" t="str">
        <f aca="false">INDEX(Customers!$D$2:$D$101,MATCH(D630,Customers!$A$2:$A$101,0))</f>
        <v>Chennai</v>
      </c>
    </row>
    <row r="631" customFormat="false" ht="15" hidden="false" customHeight="false" outlineLevel="0" collapsed="false">
      <c r="A631" s="0" t="s">
        <v>902</v>
      </c>
      <c r="B631" s="37" t="n">
        <v>45473</v>
      </c>
      <c r="C631" s="37" t="n">
        <v>45478</v>
      </c>
      <c r="D631" s="38" t="s">
        <v>184</v>
      </c>
      <c r="E631" s="38" t="s">
        <v>121</v>
      </c>
      <c r="F631" s="38" t="s">
        <v>102</v>
      </c>
      <c r="G631" s="38" t="s">
        <v>188</v>
      </c>
      <c r="H631" s="0" t="n">
        <v>3</v>
      </c>
      <c r="I631" s="39" t="n">
        <v>180</v>
      </c>
      <c r="J631" s="40" t="n">
        <v>0.2</v>
      </c>
      <c r="K631" s="39" t="n">
        <v>432</v>
      </c>
      <c r="L631" s="39" t="n">
        <v>210</v>
      </c>
      <c r="M631" s="39" t="n">
        <v>222</v>
      </c>
      <c r="N631" s="38" t="s">
        <v>66</v>
      </c>
      <c r="O631" s="38" t="n">
        <f aca="false">YEAR(B631)</f>
        <v>2024</v>
      </c>
      <c r="P631" s="41" t="n">
        <f aca="false">DATE(YEAR(B631),MONTH(B631),1)</f>
        <v>45444</v>
      </c>
      <c r="Q631" s="0" t="str">
        <f aca="false">INDEX(Products!$C$2:$C$16,MATCH(E631,Products!$A$2:$A$16,0))</f>
        <v>Office Supplies</v>
      </c>
      <c r="R631" s="0" t="str">
        <f aca="false">INDEX(Customers!$F$2:$F$101,MATCH(D631,Customers!$A$2:$A$101,0))</f>
        <v>West</v>
      </c>
      <c r="S631" s="0" t="str">
        <f aca="false">INDEX(Customers!$C$2:$C$101,MATCH(D631,Customers!$A$2:$A$101,0))</f>
        <v>Consumer</v>
      </c>
      <c r="T631" s="0" t="str">
        <f aca="false">INDEX(Customers!$D$2:$D$101,MATCH(D631,Customers!$A$2:$A$101,0))</f>
        <v>Ahmedabad</v>
      </c>
    </row>
    <row r="632" customFormat="false" ht="15" hidden="false" customHeight="false" outlineLevel="0" collapsed="false">
      <c r="A632" s="0" t="s">
        <v>903</v>
      </c>
      <c r="B632" s="37" t="n">
        <v>45838</v>
      </c>
      <c r="C632" s="37" t="n">
        <v>45841</v>
      </c>
      <c r="D632" s="38" t="s">
        <v>348</v>
      </c>
      <c r="E632" s="38" t="s">
        <v>123</v>
      </c>
      <c r="F632" s="38" t="s">
        <v>102</v>
      </c>
      <c r="G632" s="38" t="s">
        <v>173</v>
      </c>
      <c r="H632" s="0" t="n">
        <v>6</v>
      </c>
      <c r="I632" s="39" t="n">
        <v>2200</v>
      </c>
      <c r="J632" s="40" t="n">
        <v>0.1</v>
      </c>
      <c r="K632" s="39" t="n">
        <v>11880</v>
      </c>
      <c r="L632" s="39" t="n">
        <v>7800</v>
      </c>
      <c r="M632" s="39" t="n">
        <v>4080</v>
      </c>
      <c r="N632" s="38" t="s">
        <v>66</v>
      </c>
      <c r="O632" s="38" t="n">
        <f aca="false">YEAR(B632)</f>
        <v>2025</v>
      </c>
      <c r="P632" s="41" t="n">
        <f aca="false">DATE(YEAR(B632),MONTH(B632),1)</f>
        <v>45809</v>
      </c>
      <c r="Q632" s="0" t="str">
        <f aca="false">INDEX(Products!$C$2:$C$16,MATCH(E632,Products!$A$2:$A$16,0))</f>
        <v>Technology</v>
      </c>
      <c r="R632" s="0" t="str">
        <f aca="false">INDEX(Customers!$F$2:$F$101,MATCH(D632,Customers!$A$2:$A$101,0))</f>
        <v>East</v>
      </c>
      <c r="S632" s="0" t="str">
        <f aca="false">INDEX(Customers!$C$2:$C$101,MATCH(D632,Customers!$A$2:$A$101,0))</f>
        <v>Corporate</v>
      </c>
      <c r="T632" s="0" t="str">
        <f aca="false">INDEX(Customers!$D$2:$D$101,MATCH(D632,Customers!$A$2:$A$101,0))</f>
        <v>Kolkata</v>
      </c>
    </row>
    <row r="633" customFormat="false" ht="15" hidden="false" customHeight="false" outlineLevel="0" collapsed="false">
      <c r="A633" s="0" t="s">
        <v>904</v>
      </c>
      <c r="B633" s="37" t="n">
        <v>45666</v>
      </c>
      <c r="C633" s="37" t="n">
        <v>45670</v>
      </c>
      <c r="D633" s="38" t="s">
        <v>172</v>
      </c>
      <c r="E633" s="38" t="s">
        <v>117</v>
      </c>
      <c r="F633" s="38" t="s">
        <v>100</v>
      </c>
      <c r="G633" s="38" t="s">
        <v>178</v>
      </c>
      <c r="H633" s="0" t="n">
        <v>1</v>
      </c>
      <c r="I633" s="39" t="n">
        <v>6500</v>
      </c>
      <c r="J633" s="40" t="n">
        <v>0.05</v>
      </c>
      <c r="K633" s="39" t="n">
        <v>6175</v>
      </c>
      <c r="L633" s="39" t="n">
        <v>4200</v>
      </c>
      <c r="M633" s="39" t="n">
        <v>1975</v>
      </c>
      <c r="N633" s="38" t="s">
        <v>66</v>
      </c>
      <c r="O633" s="38" t="n">
        <f aca="false">YEAR(B633)</f>
        <v>2025</v>
      </c>
      <c r="P633" s="41" t="n">
        <f aca="false">DATE(YEAR(B633),MONTH(B633),1)</f>
        <v>45658</v>
      </c>
      <c r="Q633" s="0" t="str">
        <f aca="false">INDEX(Products!$C$2:$C$16,MATCH(E633,Products!$A$2:$A$16,0))</f>
        <v>Furniture</v>
      </c>
      <c r="R633" s="0" t="str">
        <f aca="false">INDEX(Customers!$F$2:$F$101,MATCH(D633,Customers!$A$2:$A$101,0))</f>
        <v>East</v>
      </c>
      <c r="S633" s="0" t="str">
        <f aca="false">INDEX(Customers!$C$2:$C$101,MATCH(D633,Customers!$A$2:$A$101,0))</f>
        <v>Consumer</v>
      </c>
      <c r="T633" s="0" t="str">
        <f aca="false">INDEX(Customers!$D$2:$D$101,MATCH(D633,Customers!$A$2:$A$101,0))</f>
        <v>Bhubaneswar</v>
      </c>
    </row>
    <row r="634" customFormat="false" ht="15" hidden="false" customHeight="false" outlineLevel="0" collapsed="false">
      <c r="A634" s="0" t="s">
        <v>905</v>
      </c>
      <c r="B634" s="37" t="n">
        <v>45431</v>
      </c>
      <c r="C634" s="37" t="n">
        <v>45434</v>
      </c>
      <c r="D634" s="38" t="s">
        <v>270</v>
      </c>
      <c r="E634" s="38" t="s">
        <v>126</v>
      </c>
      <c r="F634" s="38" t="s">
        <v>100</v>
      </c>
      <c r="G634" s="38" t="s">
        <v>185</v>
      </c>
      <c r="H634" s="0" t="n">
        <v>1</v>
      </c>
      <c r="I634" s="39" t="n">
        <v>1200</v>
      </c>
      <c r="J634" s="40" t="n">
        <v>0.15</v>
      </c>
      <c r="K634" s="39" t="n">
        <v>1020</v>
      </c>
      <c r="L634" s="39" t="n">
        <v>700</v>
      </c>
      <c r="M634" s="39" t="n">
        <v>320</v>
      </c>
      <c r="N634" s="38" t="s">
        <v>146</v>
      </c>
      <c r="O634" s="38" t="n">
        <f aca="false">YEAR(B634)</f>
        <v>2024</v>
      </c>
      <c r="P634" s="41" t="n">
        <f aca="false">DATE(YEAR(B634),MONTH(B634),1)</f>
        <v>45413</v>
      </c>
      <c r="Q634" s="0" t="str">
        <f aca="false">INDEX(Products!$C$2:$C$16,MATCH(E634,Products!$A$2:$A$16,0))</f>
        <v>Furniture</v>
      </c>
      <c r="R634" s="0" t="str">
        <f aca="false">INDEX(Customers!$F$2:$F$101,MATCH(D634,Customers!$A$2:$A$101,0))</f>
        <v>West</v>
      </c>
      <c r="S634" s="0" t="str">
        <f aca="false">INDEX(Customers!$C$2:$C$101,MATCH(D634,Customers!$A$2:$A$101,0))</f>
        <v>Small Business</v>
      </c>
      <c r="T634" s="0" t="str">
        <f aca="false">INDEX(Customers!$D$2:$D$101,MATCH(D634,Customers!$A$2:$A$101,0))</f>
        <v>Pune</v>
      </c>
    </row>
    <row r="635" customFormat="false" ht="15" hidden="false" customHeight="false" outlineLevel="0" collapsed="false">
      <c r="A635" s="0" t="s">
        <v>906</v>
      </c>
      <c r="B635" s="37" t="n">
        <v>45301</v>
      </c>
      <c r="C635" s="37" t="n">
        <v>45308</v>
      </c>
      <c r="D635" s="38" t="s">
        <v>249</v>
      </c>
      <c r="E635" s="38" t="s">
        <v>117</v>
      </c>
      <c r="F635" s="38" t="s">
        <v>102</v>
      </c>
      <c r="G635" s="38" t="s">
        <v>173</v>
      </c>
      <c r="H635" s="0" t="n">
        <v>2</v>
      </c>
      <c r="I635" s="39" t="n">
        <v>6500</v>
      </c>
      <c r="J635" s="40" t="n">
        <v>0.05</v>
      </c>
      <c r="K635" s="39" t="n">
        <v>12350</v>
      </c>
      <c r="L635" s="39" t="n">
        <v>8400</v>
      </c>
      <c r="M635" s="39" t="n">
        <v>3950</v>
      </c>
      <c r="N635" s="38" t="s">
        <v>66</v>
      </c>
      <c r="O635" s="38" t="n">
        <f aca="false">YEAR(B635)</f>
        <v>2024</v>
      </c>
      <c r="P635" s="41" t="n">
        <f aca="false">DATE(YEAR(B635),MONTH(B635),1)</f>
        <v>45292</v>
      </c>
      <c r="Q635" s="0" t="str">
        <f aca="false">INDEX(Products!$C$2:$C$16,MATCH(E635,Products!$A$2:$A$16,0))</f>
        <v>Furniture</v>
      </c>
      <c r="R635" s="0" t="str">
        <f aca="false">INDEX(Customers!$F$2:$F$101,MATCH(D635,Customers!$A$2:$A$101,0))</f>
        <v>East</v>
      </c>
      <c r="S635" s="0" t="str">
        <f aca="false">INDEX(Customers!$C$2:$C$101,MATCH(D635,Customers!$A$2:$A$101,0))</f>
        <v>Consumer</v>
      </c>
      <c r="T635" s="0" t="str">
        <f aca="false">INDEX(Customers!$D$2:$D$101,MATCH(D635,Customers!$A$2:$A$101,0))</f>
        <v>Kolkata</v>
      </c>
    </row>
    <row r="636" customFormat="false" ht="15" hidden="false" customHeight="false" outlineLevel="0" collapsed="false">
      <c r="A636" s="0" t="s">
        <v>907</v>
      </c>
      <c r="B636" s="37" t="n">
        <v>45485</v>
      </c>
      <c r="C636" s="37" t="n">
        <v>45489</v>
      </c>
      <c r="D636" s="38" t="s">
        <v>287</v>
      </c>
      <c r="E636" s="38" t="s">
        <v>118</v>
      </c>
      <c r="F636" s="38" t="s">
        <v>101</v>
      </c>
      <c r="G636" s="38" t="s">
        <v>173</v>
      </c>
      <c r="H636" s="0" t="n">
        <v>5</v>
      </c>
      <c r="I636" s="39" t="n">
        <v>9000</v>
      </c>
      <c r="J636" s="40" t="n">
        <v>0.1</v>
      </c>
      <c r="K636" s="39" t="n">
        <v>40500</v>
      </c>
      <c r="L636" s="39" t="n">
        <v>32500</v>
      </c>
      <c r="M636" s="39" t="n">
        <v>8000</v>
      </c>
      <c r="N636" s="38" t="s">
        <v>66</v>
      </c>
      <c r="O636" s="38" t="n">
        <f aca="false">YEAR(B636)</f>
        <v>2024</v>
      </c>
      <c r="P636" s="41" t="n">
        <f aca="false">DATE(YEAR(B636),MONTH(B636),1)</f>
        <v>45474</v>
      </c>
      <c r="Q636" s="0" t="str">
        <f aca="false">INDEX(Products!$C$2:$C$16,MATCH(E636,Products!$A$2:$A$16,0))</f>
        <v>Furniture</v>
      </c>
      <c r="R636" s="0" t="str">
        <f aca="false">INDEX(Customers!$F$2:$F$101,MATCH(D636,Customers!$A$2:$A$101,0))</f>
        <v>South</v>
      </c>
      <c r="S636" s="0" t="str">
        <f aca="false">INDEX(Customers!$C$2:$C$101,MATCH(D636,Customers!$A$2:$A$101,0))</f>
        <v>Small Business</v>
      </c>
      <c r="T636" s="0" t="str">
        <f aca="false">INDEX(Customers!$D$2:$D$101,MATCH(D636,Customers!$A$2:$A$101,0))</f>
        <v>Chennai</v>
      </c>
    </row>
    <row r="637" customFormat="false" ht="15" hidden="false" customHeight="false" outlineLevel="0" collapsed="false">
      <c r="A637" s="0" t="s">
        <v>908</v>
      </c>
      <c r="B637" s="37" t="n">
        <v>45691</v>
      </c>
      <c r="C637" s="37" t="n">
        <v>45698</v>
      </c>
      <c r="D637" s="38" t="s">
        <v>341</v>
      </c>
      <c r="E637" s="38" t="s">
        <v>123</v>
      </c>
      <c r="F637" s="38" t="s">
        <v>100</v>
      </c>
      <c r="G637" s="38" t="s">
        <v>185</v>
      </c>
      <c r="H637" s="0" t="n">
        <v>2</v>
      </c>
      <c r="I637" s="39" t="n">
        <v>2200</v>
      </c>
      <c r="J637" s="40" t="n">
        <v>0.05</v>
      </c>
      <c r="K637" s="39" t="n">
        <v>4180</v>
      </c>
      <c r="L637" s="39" t="n">
        <v>2600</v>
      </c>
      <c r="M637" s="39" t="n">
        <v>1580</v>
      </c>
      <c r="N637" s="38" t="s">
        <v>66</v>
      </c>
      <c r="O637" s="38" t="n">
        <f aca="false">YEAR(B637)</f>
        <v>2025</v>
      </c>
      <c r="P637" s="41" t="n">
        <f aca="false">DATE(YEAR(B637),MONTH(B637),1)</f>
        <v>45689</v>
      </c>
      <c r="Q637" s="0" t="str">
        <f aca="false">INDEX(Products!$C$2:$C$16,MATCH(E637,Products!$A$2:$A$16,0))</f>
        <v>Technology</v>
      </c>
      <c r="R637" s="0" t="str">
        <f aca="false">INDEX(Customers!$F$2:$F$101,MATCH(D637,Customers!$A$2:$A$101,0))</f>
        <v>North</v>
      </c>
      <c r="S637" s="0" t="str">
        <f aca="false">INDEX(Customers!$C$2:$C$101,MATCH(D637,Customers!$A$2:$A$101,0))</f>
        <v>Corporate</v>
      </c>
      <c r="T637" s="0" t="str">
        <f aca="false">INDEX(Customers!$D$2:$D$101,MATCH(D637,Customers!$A$2:$A$101,0))</f>
        <v>Delhi</v>
      </c>
    </row>
    <row r="638" customFormat="false" ht="15" hidden="false" customHeight="false" outlineLevel="0" collapsed="false">
      <c r="A638" s="0" t="s">
        <v>909</v>
      </c>
      <c r="B638" s="37" t="n">
        <v>46111</v>
      </c>
      <c r="C638" s="37" t="n">
        <v>46116</v>
      </c>
      <c r="D638" s="38" t="s">
        <v>433</v>
      </c>
      <c r="E638" s="38" t="s">
        <v>125</v>
      </c>
      <c r="F638" s="38" t="s">
        <v>101</v>
      </c>
      <c r="G638" s="38" t="s">
        <v>170</v>
      </c>
      <c r="H638" s="0" t="n">
        <v>4</v>
      </c>
      <c r="I638" s="39" t="n">
        <v>600</v>
      </c>
      <c r="J638" s="40" t="n">
        <v>0.2</v>
      </c>
      <c r="K638" s="39" t="n">
        <v>1920</v>
      </c>
      <c r="L638" s="39" t="n">
        <v>1400</v>
      </c>
      <c r="M638" s="39" t="n">
        <v>520</v>
      </c>
      <c r="N638" s="38" t="s">
        <v>66</v>
      </c>
      <c r="O638" s="38" t="n">
        <f aca="false">YEAR(B638)</f>
        <v>2026</v>
      </c>
      <c r="P638" s="41" t="n">
        <f aca="false">DATE(YEAR(B638),MONTH(B638),1)</f>
        <v>46082</v>
      </c>
      <c r="Q638" s="0" t="str">
        <f aca="false">INDEX(Products!$C$2:$C$16,MATCH(E638,Products!$A$2:$A$16,0))</f>
        <v>Office Supplies</v>
      </c>
      <c r="R638" s="0" t="str">
        <f aca="false">INDEX(Customers!$F$2:$F$101,MATCH(D638,Customers!$A$2:$A$101,0))</f>
        <v>North</v>
      </c>
      <c r="S638" s="0" t="str">
        <f aca="false">INDEX(Customers!$C$2:$C$101,MATCH(D638,Customers!$A$2:$A$101,0))</f>
        <v>Consumer</v>
      </c>
      <c r="T638" s="0" t="str">
        <f aca="false">INDEX(Customers!$D$2:$D$101,MATCH(D638,Customers!$A$2:$A$101,0))</f>
        <v>Delhi</v>
      </c>
    </row>
    <row r="639" customFormat="false" ht="15" hidden="false" customHeight="false" outlineLevel="0" collapsed="false">
      <c r="A639" s="0" t="s">
        <v>910</v>
      </c>
      <c r="B639" s="37" t="n">
        <v>45567</v>
      </c>
      <c r="C639" s="37" t="n">
        <v>45571</v>
      </c>
      <c r="D639" s="38" t="s">
        <v>208</v>
      </c>
      <c r="E639" s="38" t="s">
        <v>125</v>
      </c>
      <c r="F639" s="38" t="s">
        <v>100</v>
      </c>
      <c r="G639" s="38" t="s">
        <v>173</v>
      </c>
      <c r="H639" s="0" t="n">
        <v>1</v>
      </c>
      <c r="I639" s="39" t="n">
        <v>600</v>
      </c>
      <c r="J639" s="40" t="n">
        <v>0</v>
      </c>
      <c r="K639" s="39" t="n">
        <v>600</v>
      </c>
      <c r="L639" s="39" t="n">
        <v>350</v>
      </c>
      <c r="M639" s="39" t="n">
        <v>250</v>
      </c>
      <c r="N639" s="38" t="s">
        <v>66</v>
      </c>
      <c r="O639" s="38" t="n">
        <f aca="false">YEAR(B639)</f>
        <v>2024</v>
      </c>
      <c r="P639" s="41" t="n">
        <f aca="false">DATE(YEAR(B639),MONTH(B639),1)</f>
        <v>45566</v>
      </c>
      <c r="Q639" s="0" t="str">
        <f aca="false">INDEX(Products!$C$2:$C$16,MATCH(E639,Products!$A$2:$A$16,0))</f>
        <v>Office Supplies</v>
      </c>
      <c r="R639" s="0" t="str">
        <f aca="false">INDEX(Customers!$F$2:$F$101,MATCH(D639,Customers!$A$2:$A$101,0))</f>
        <v>North</v>
      </c>
      <c r="S639" s="0" t="str">
        <f aca="false">INDEX(Customers!$C$2:$C$101,MATCH(D639,Customers!$A$2:$A$101,0))</f>
        <v>Corporate</v>
      </c>
      <c r="T639" s="0" t="str">
        <f aca="false">INDEX(Customers!$D$2:$D$101,MATCH(D639,Customers!$A$2:$A$101,0))</f>
        <v>Gurugram</v>
      </c>
    </row>
    <row r="640" customFormat="false" ht="15" hidden="false" customHeight="false" outlineLevel="0" collapsed="false">
      <c r="A640" s="0" t="s">
        <v>911</v>
      </c>
      <c r="B640" s="37" t="n">
        <v>45924</v>
      </c>
      <c r="C640" s="37" t="n">
        <v>45928</v>
      </c>
      <c r="D640" s="38" t="s">
        <v>348</v>
      </c>
      <c r="E640" s="38" t="s">
        <v>120</v>
      </c>
      <c r="F640" s="38" t="s">
        <v>101</v>
      </c>
      <c r="G640" s="38" t="s">
        <v>173</v>
      </c>
      <c r="H640" s="0" t="n">
        <v>1</v>
      </c>
      <c r="I640" s="39" t="n">
        <v>400</v>
      </c>
      <c r="J640" s="40" t="n">
        <v>0.15</v>
      </c>
      <c r="K640" s="39" t="n">
        <v>340</v>
      </c>
      <c r="L640" s="39" t="n">
        <v>260</v>
      </c>
      <c r="M640" s="39" t="n">
        <v>80</v>
      </c>
      <c r="N640" s="38" t="s">
        <v>66</v>
      </c>
      <c r="O640" s="38" t="n">
        <f aca="false">YEAR(B640)</f>
        <v>2025</v>
      </c>
      <c r="P640" s="41" t="n">
        <f aca="false">DATE(YEAR(B640),MONTH(B640),1)</f>
        <v>45901</v>
      </c>
      <c r="Q640" s="0" t="str">
        <f aca="false">INDEX(Products!$C$2:$C$16,MATCH(E640,Products!$A$2:$A$16,0))</f>
        <v>Office Supplies</v>
      </c>
      <c r="R640" s="0" t="str">
        <f aca="false">INDEX(Customers!$F$2:$F$101,MATCH(D640,Customers!$A$2:$A$101,0))</f>
        <v>East</v>
      </c>
      <c r="S640" s="0" t="str">
        <f aca="false">INDEX(Customers!$C$2:$C$101,MATCH(D640,Customers!$A$2:$A$101,0))</f>
        <v>Corporate</v>
      </c>
      <c r="T640" s="0" t="str">
        <f aca="false">INDEX(Customers!$D$2:$D$101,MATCH(D640,Customers!$A$2:$A$101,0))</f>
        <v>Kolkata</v>
      </c>
    </row>
    <row r="641" customFormat="false" ht="15" hidden="false" customHeight="false" outlineLevel="0" collapsed="false">
      <c r="A641" s="0" t="s">
        <v>912</v>
      </c>
      <c r="B641" s="37" t="n">
        <v>46284</v>
      </c>
      <c r="C641" s="37" t="n">
        <v>46289</v>
      </c>
      <c r="D641" s="38" t="s">
        <v>331</v>
      </c>
      <c r="E641" s="38" t="s">
        <v>113</v>
      </c>
      <c r="F641" s="38" t="s">
        <v>101</v>
      </c>
      <c r="G641" s="38" t="s">
        <v>170</v>
      </c>
      <c r="H641" s="0" t="n">
        <v>1</v>
      </c>
      <c r="I641" s="39" t="n">
        <v>45000</v>
      </c>
      <c r="J641" s="40" t="n">
        <v>0</v>
      </c>
      <c r="K641" s="39" t="n">
        <v>45000</v>
      </c>
      <c r="L641" s="39" t="n">
        <v>36000</v>
      </c>
      <c r="M641" s="39" t="n">
        <v>9000</v>
      </c>
      <c r="N641" s="38" t="s">
        <v>66</v>
      </c>
      <c r="O641" s="38" t="n">
        <f aca="false">YEAR(B641)</f>
        <v>2026</v>
      </c>
      <c r="P641" s="41" t="n">
        <f aca="false">DATE(YEAR(B641),MONTH(B641),1)</f>
        <v>46266</v>
      </c>
      <c r="Q641" s="0" t="str">
        <f aca="false">INDEX(Products!$C$2:$C$16,MATCH(E641,Products!$A$2:$A$16,0))</f>
        <v>Technology</v>
      </c>
      <c r="R641" s="0" t="str">
        <f aca="false">INDEX(Customers!$F$2:$F$101,MATCH(D641,Customers!$A$2:$A$101,0))</f>
        <v>North</v>
      </c>
      <c r="S641" s="0" t="str">
        <f aca="false">INDEX(Customers!$C$2:$C$101,MATCH(D641,Customers!$A$2:$A$101,0))</f>
        <v>Corporate</v>
      </c>
      <c r="T641" s="0" t="str">
        <f aca="false">INDEX(Customers!$D$2:$D$101,MATCH(D641,Customers!$A$2:$A$101,0))</f>
        <v>Delhi</v>
      </c>
    </row>
    <row r="642" customFormat="false" ht="15" hidden="false" customHeight="false" outlineLevel="0" collapsed="false">
      <c r="A642" s="0" t="s">
        <v>913</v>
      </c>
      <c r="B642" s="37" t="n">
        <v>45300</v>
      </c>
      <c r="C642" s="37" t="n">
        <v>45302</v>
      </c>
      <c r="D642" s="38" t="s">
        <v>172</v>
      </c>
      <c r="E642" s="38" t="s">
        <v>124</v>
      </c>
      <c r="F642" s="38" t="s">
        <v>101</v>
      </c>
      <c r="G642" s="38" t="s">
        <v>173</v>
      </c>
      <c r="H642" s="0" t="n">
        <v>1</v>
      </c>
      <c r="I642" s="39" t="n">
        <v>3000</v>
      </c>
      <c r="J642" s="40" t="n">
        <v>0</v>
      </c>
      <c r="K642" s="39" t="n">
        <v>3000</v>
      </c>
      <c r="L642" s="39" t="n">
        <v>1900</v>
      </c>
      <c r="M642" s="39" t="n">
        <v>1100</v>
      </c>
      <c r="N642" s="38" t="s">
        <v>66</v>
      </c>
      <c r="O642" s="38" t="n">
        <f aca="false">YEAR(B642)</f>
        <v>2024</v>
      </c>
      <c r="P642" s="41" t="n">
        <f aca="false">DATE(YEAR(B642),MONTH(B642),1)</f>
        <v>45292</v>
      </c>
      <c r="Q642" s="0" t="str">
        <f aca="false">INDEX(Products!$C$2:$C$16,MATCH(E642,Products!$A$2:$A$16,0))</f>
        <v>Technology</v>
      </c>
      <c r="R642" s="0" t="str">
        <f aca="false">INDEX(Customers!$F$2:$F$101,MATCH(D642,Customers!$A$2:$A$101,0))</f>
        <v>East</v>
      </c>
      <c r="S642" s="0" t="str">
        <f aca="false">INDEX(Customers!$C$2:$C$101,MATCH(D642,Customers!$A$2:$A$101,0))</f>
        <v>Consumer</v>
      </c>
      <c r="T642" s="0" t="str">
        <f aca="false">INDEX(Customers!$D$2:$D$101,MATCH(D642,Customers!$A$2:$A$101,0))</f>
        <v>Bhubaneswar</v>
      </c>
    </row>
    <row r="643" customFormat="false" ht="15" hidden="false" customHeight="false" outlineLevel="0" collapsed="false">
      <c r="A643" s="0" t="s">
        <v>914</v>
      </c>
      <c r="B643" s="37" t="n">
        <v>46110</v>
      </c>
      <c r="C643" s="37" t="n">
        <v>46114</v>
      </c>
      <c r="D643" s="38" t="s">
        <v>257</v>
      </c>
      <c r="E643" s="38" t="s">
        <v>125</v>
      </c>
      <c r="F643" s="38" t="s">
        <v>102</v>
      </c>
      <c r="G643" s="38" t="s">
        <v>178</v>
      </c>
      <c r="H643" s="0" t="n">
        <v>10</v>
      </c>
      <c r="I643" s="39" t="n">
        <v>600</v>
      </c>
      <c r="J643" s="40" t="n">
        <v>0.1</v>
      </c>
      <c r="K643" s="39" t="n">
        <v>5400</v>
      </c>
      <c r="L643" s="39" t="n">
        <v>3500</v>
      </c>
      <c r="M643" s="39" t="n">
        <v>1900</v>
      </c>
      <c r="N643" s="38" t="s">
        <v>66</v>
      </c>
      <c r="O643" s="38" t="n">
        <f aca="false">YEAR(B643)</f>
        <v>2026</v>
      </c>
      <c r="P643" s="41" t="n">
        <f aca="false">DATE(YEAR(B643),MONTH(B643),1)</f>
        <v>46082</v>
      </c>
      <c r="Q643" s="0" t="str">
        <f aca="false">INDEX(Products!$C$2:$C$16,MATCH(E643,Products!$A$2:$A$16,0))</f>
        <v>Office Supplies</v>
      </c>
      <c r="R643" s="0" t="str">
        <f aca="false">INDEX(Customers!$F$2:$F$101,MATCH(D643,Customers!$A$2:$A$101,0))</f>
        <v>West</v>
      </c>
      <c r="S643" s="0" t="str">
        <f aca="false">INDEX(Customers!$C$2:$C$101,MATCH(D643,Customers!$A$2:$A$101,0))</f>
        <v>Consumer</v>
      </c>
      <c r="T643" s="0" t="str">
        <f aca="false">INDEX(Customers!$D$2:$D$101,MATCH(D643,Customers!$A$2:$A$101,0))</f>
        <v>Pune</v>
      </c>
    </row>
    <row r="644" customFormat="false" ht="15" hidden="false" customHeight="false" outlineLevel="0" collapsed="false">
      <c r="A644" s="0" t="s">
        <v>915</v>
      </c>
      <c r="B644" s="37" t="n">
        <v>45349</v>
      </c>
      <c r="C644" s="37" t="n">
        <v>45352</v>
      </c>
      <c r="D644" s="38" t="s">
        <v>192</v>
      </c>
      <c r="E644" s="38" t="s">
        <v>115</v>
      </c>
      <c r="F644" s="38" t="s">
        <v>102</v>
      </c>
      <c r="G644" s="38" t="s">
        <v>185</v>
      </c>
      <c r="H644" s="0" t="n">
        <v>4</v>
      </c>
      <c r="I644" s="39" t="n">
        <v>1500</v>
      </c>
      <c r="J644" s="40" t="n">
        <v>0</v>
      </c>
      <c r="K644" s="39" t="n">
        <v>6000</v>
      </c>
      <c r="L644" s="39" t="n">
        <v>3400</v>
      </c>
      <c r="M644" s="39" t="n">
        <v>2600</v>
      </c>
      <c r="N644" s="38" t="s">
        <v>66</v>
      </c>
      <c r="O644" s="38" t="n">
        <f aca="false">YEAR(B644)</f>
        <v>2024</v>
      </c>
      <c r="P644" s="41" t="n">
        <f aca="false">DATE(YEAR(B644),MONTH(B644),1)</f>
        <v>45323</v>
      </c>
      <c r="Q644" s="0" t="str">
        <f aca="false">INDEX(Products!$C$2:$C$16,MATCH(E644,Products!$A$2:$A$16,0))</f>
        <v>Technology</v>
      </c>
      <c r="R644" s="0" t="str">
        <f aca="false">INDEX(Customers!$F$2:$F$101,MATCH(D644,Customers!$A$2:$A$101,0))</f>
        <v>East</v>
      </c>
      <c r="S644" s="0" t="str">
        <f aca="false">INDEX(Customers!$C$2:$C$101,MATCH(D644,Customers!$A$2:$A$101,0))</f>
        <v>Small Business</v>
      </c>
      <c r="T644" s="0" t="str">
        <f aca="false">INDEX(Customers!$D$2:$D$101,MATCH(D644,Customers!$A$2:$A$101,0))</f>
        <v>Bhubaneswar</v>
      </c>
    </row>
    <row r="645" customFormat="false" ht="15" hidden="false" customHeight="false" outlineLevel="0" collapsed="false">
      <c r="A645" s="0" t="s">
        <v>916</v>
      </c>
      <c r="B645" s="37" t="n">
        <v>45682</v>
      </c>
      <c r="C645" s="37" t="n">
        <v>45689</v>
      </c>
      <c r="D645" s="38" t="s">
        <v>793</v>
      </c>
      <c r="E645" s="38" t="s">
        <v>126</v>
      </c>
      <c r="F645" s="38" t="s">
        <v>102</v>
      </c>
      <c r="G645" s="38" t="s">
        <v>173</v>
      </c>
      <c r="H645" s="0" t="n">
        <v>1</v>
      </c>
      <c r="I645" s="39" t="n">
        <v>1200</v>
      </c>
      <c r="J645" s="40" t="n">
        <v>0.25</v>
      </c>
      <c r="K645" s="39" t="n">
        <v>900</v>
      </c>
      <c r="L645" s="39" t="n">
        <v>700</v>
      </c>
      <c r="M645" s="39" t="n">
        <v>200</v>
      </c>
      <c r="N645" s="38" t="s">
        <v>66</v>
      </c>
      <c r="O645" s="38" t="n">
        <f aca="false">YEAR(B645)</f>
        <v>2025</v>
      </c>
      <c r="P645" s="41" t="n">
        <f aca="false">DATE(YEAR(B645),MONTH(B645),1)</f>
        <v>45658</v>
      </c>
      <c r="Q645" s="0" t="str">
        <f aca="false">INDEX(Products!$C$2:$C$16,MATCH(E645,Products!$A$2:$A$16,0))</f>
        <v>Furniture</v>
      </c>
      <c r="R645" s="0" t="str">
        <f aca="false">INDEX(Customers!$F$2:$F$101,MATCH(D645,Customers!$A$2:$A$101,0))</f>
        <v>North</v>
      </c>
      <c r="S645" s="0" t="str">
        <f aca="false">INDEX(Customers!$C$2:$C$101,MATCH(D645,Customers!$A$2:$A$101,0))</f>
        <v>Small Business</v>
      </c>
      <c r="T645" s="0" t="str">
        <f aca="false">INDEX(Customers!$D$2:$D$101,MATCH(D645,Customers!$A$2:$A$101,0))</f>
        <v>Jaipur</v>
      </c>
    </row>
    <row r="646" customFormat="false" ht="15" hidden="false" customHeight="false" outlineLevel="0" collapsed="false">
      <c r="A646" s="0" t="s">
        <v>917</v>
      </c>
      <c r="B646" s="37" t="n">
        <v>46047</v>
      </c>
      <c r="C646" s="37" t="n">
        <v>46048</v>
      </c>
      <c r="D646" s="38" t="s">
        <v>172</v>
      </c>
      <c r="E646" s="38" t="s">
        <v>116</v>
      </c>
      <c r="F646" s="38" t="s">
        <v>100</v>
      </c>
      <c r="G646" s="38" t="s">
        <v>188</v>
      </c>
      <c r="H646" s="0" t="n">
        <v>1</v>
      </c>
      <c r="I646" s="39" t="n">
        <v>12000</v>
      </c>
      <c r="J646" s="40" t="n">
        <v>0.2</v>
      </c>
      <c r="K646" s="39" t="n">
        <v>9600</v>
      </c>
      <c r="L646" s="39" t="n">
        <v>9000</v>
      </c>
      <c r="M646" s="39" t="n">
        <v>600</v>
      </c>
      <c r="N646" s="38" t="s">
        <v>66</v>
      </c>
      <c r="O646" s="38" t="n">
        <f aca="false">YEAR(B646)</f>
        <v>2026</v>
      </c>
      <c r="P646" s="41" t="n">
        <f aca="false">DATE(YEAR(B646),MONTH(B646),1)</f>
        <v>46023</v>
      </c>
      <c r="Q646" s="0" t="str">
        <f aca="false">INDEX(Products!$C$2:$C$16,MATCH(E646,Products!$A$2:$A$16,0))</f>
        <v>Technology</v>
      </c>
      <c r="R646" s="0" t="str">
        <f aca="false">INDEX(Customers!$F$2:$F$101,MATCH(D646,Customers!$A$2:$A$101,0))</f>
        <v>East</v>
      </c>
      <c r="S646" s="0" t="str">
        <f aca="false">INDEX(Customers!$C$2:$C$101,MATCH(D646,Customers!$A$2:$A$101,0))</f>
        <v>Consumer</v>
      </c>
      <c r="T646" s="0" t="str">
        <f aca="false">INDEX(Customers!$D$2:$D$101,MATCH(D646,Customers!$A$2:$A$101,0))</f>
        <v>Bhubaneswar</v>
      </c>
    </row>
    <row r="647" customFormat="false" ht="15" hidden="false" customHeight="false" outlineLevel="0" collapsed="false">
      <c r="A647" s="0" t="s">
        <v>918</v>
      </c>
      <c r="B647" s="37" t="n">
        <v>45690</v>
      </c>
      <c r="C647" s="37" t="n">
        <v>45696</v>
      </c>
      <c r="D647" s="38" t="s">
        <v>280</v>
      </c>
      <c r="E647" s="38" t="s">
        <v>120</v>
      </c>
      <c r="F647" s="38" t="s">
        <v>100</v>
      </c>
      <c r="G647" s="38" t="s">
        <v>178</v>
      </c>
      <c r="H647" s="0" t="n">
        <v>8</v>
      </c>
      <c r="I647" s="39" t="n">
        <v>400</v>
      </c>
      <c r="J647" s="40" t="n">
        <v>0.05</v>
      </c>
      <c r="K647" s="39" t="n">
        <v>3040</v>
      </c>
      <c r="L647" s="39" t="n">
        <v>2080</v>
      </c>
      <c r="M647" s="39" t="n">
        <v>960</v>
      </c>
      <c r="N647" s="38" t="s">
        <v>66</v>
      </c>
      <c r="O647" s="38" t="n">
        <f aca="false">YEAR(B647)</f>
        <v>2025</v>
      </c>
      <c r="P647" s="41" t="n">
        <f aca="false">DATE(YEAR(B647),MONTH(B647),1)</f>
        <v>45689</v>
      </c>
      <c r="Q647" s="0" t="str">
        <f aca="false">INDEX(Products!$C$2:$C$16,MATCH(E647,Products!$A$2:$A$16,0))</f>
        <v>Office Supplies</v>
      </c>
      <c r="R647" s="0" t="str">
        <f aca="false">INDEX(Customers!$F$2:$F$101,MATCH(D647,Customers!$A$2:$A$101,0))</f>
        <v>North</v>
      </c>
      <c r="S647" s="0" t="str">
        <f aca="false">INDEX(Customers!$C$2:$C$101,MATCH(D647,Customers!$A$2:$A$101,0))</f>
        <v>Corporate</v>
      </c>
      <c r="T647" s="0" t="str">
        <f aca="false">INDEX(Customers!$D$2:$D$101,MATCH(D647,Customers!$A$2:$A$101,0))</f>
        <v>Jaipur</v>
      </c>
    </row>
    <row r="648" customFormat="false" ht="15" hidden="false" customHeight="false" outlineLevel="0" collapsed="false">
      <c r="A648" s="0" t="s">
        <v>919</v>
      </c>
      <c r="B648" s="37" t="n">
        <v>45417</v>
      </c>
      <c r="C648" s="37" t="n">
        <v>45420</v>
      </c>
      <c r="D648" s="38" t="s">
        <v>287</v>
      </c>
      <c r="E648" s="38" t="s">
        <v>121</v>
      </c>
      <c r="F648" s="38" t="s">
        <v>100</v>
      </c>
      <c r="G648" s="38" t="s">
        <v>170</v>
      </c>
      <c r="H648" s="0" t="n">
        <v>2</v>
      </c>
      <c r="I648" s="39" t="n">
        <v>180</v>
      </c>
      <c r="J648" s="40" t="n">
        <v>0.05</v>
      </c>
      <c r="K648" s="39" t="n">
        <v>342</v>
      </c>
      <c r="L648" s="39" t="n">
        <v>140</v>
      </c>
      <c r="M648" s="39" t="n">
        <v>202</v>
      </c>
      <c r="N648" s="38" t="s">
        <v>66</v>
      </c>
      <c r="O648" s="38" t="n">
        <f aca="false">YEAR(B648)</f>
        <v>2024</v>
      </c>
      <c r="P648" s="41" t="n">
        <f aca="false">DATE(YEAR(B648),MONTH(B648),1)</f>
        <v>45413</v>
      </c>
      <c r="Q648" s="0" t="str">
        <f aca="false">INDEX(Products!$C$2:$C$16,MATCH(E648,Products!$A$2:$A$16,0))</f>
        <v>Office Supplies</v>
      </c>
      <c r="R648" s="0" t="str">
        <f aca="false">INDEX(Customers!$F$2:$F$101,MATCH(D648,Customers!$A$2:$A$101,0))</f>
        <v>South</v>
      </c>
      <c r="S648" s="0" t="str">
        <f aca="false">INDEX(Customers!$C$2:$C$101,MATCH(D648,Customers!$A$2:$A$101,0))</f>
        <v>Small Business</v>
      </c>
      <c r="T648" s="0" t="str">
        <f aca="false">INDEX(Customers!$D$2:$D$101,MATCH(D648,Customers!$A$2:$A$101,0))</f>
        <v>Chennai</v>
      </c>
    </row>
    <row r="649" customFormat="false" ht="15" hidden="false" customHeight="false" outlineLevel="0" collapsed="false">
      <c r="A649" s="0" t="s">
        <v>920</v>
      </c>
      <c r="B649" s="37" t="n">
        <v>46288</v>
      </c>
      <c r="C649" s="37" t="n">
        <v>46289</v>
      </c>
      <c r="D649" s="38" t="s">
        <v>232</v>
      </c>
      <c r="E649" s="38" t="s">
        <v>116</v>
      </c>
      <c r="F649" s="38" t="s">
        <v>101</v>
      </c>
      <c r="G649" s="38" t="s">
        <v>178</v>
      </c>
      <c r="H649" s="0" t="n">
        <v>1</v>
      </c>
      <c r="I649" s="39" t="n">
        <v>12000</v>
      </c>
      <c r="J649" s="40" t="n">
        <v>0.1</v>
      </c>
      <c r="K649" s="39" t="n">
        <v>10800</v>
      </c>
      <c r="L649" s="39" t="n">
        <v>9000</v>
      </c>
      <c r="M649" s="39" t="n">
        <v>1800</v>
      </c>
      <c r="N649" s="38" t="s">
        <v>66</v>
      </c>
      <c r="O649" s="38" t="n">
        <f aca="false">YEAR(B649)</f>
        <v>2026</v>
      </c>
      <c r="P649" s="41" t="n">
        <f aca="false">DATE(YEAR(B649),MONTH(B649),1)</f>
        <v>46266</v>
      </c>
      <c r="Q649" s="0" t="str">
        <f aca="false">INDEX(Products!$C$2:$C$16,MATCH(E649,Products!$A$2:$A$16,0))</f>
        <v>Technology</v>
      </c>
      <c r="R649" s="0" t="str">
        <f aca="false">INDEX(Customers!$F$2:$F$101,MATCH(D649,Customers!$A$2:$A$101,0))</f>
        <v>West</v>
      </c>
      <c r="S649" s="0" t="str">
        <f aca="false">INDEX(Customers!$C$2:$C$101,MATCH(D649,Customers!$A$2:$A$101,0))</f>
        <v>Consumer</v>
      </c>
      <c r="T649" s="0" t="str">
        <f aca="false">INDEX(Customers!$D$2:$D$101,MATCH(D649,Customers!$A$2:$A$101,0))</f>
        <v>Ahmedabad</v>
      </c>
    </row>
    <row r="650" customFormat="false" ht="15" hidden="false" customHeight="false" outlineLevel="0" collapsed="false">
      <c r="A650" s="0" t="s">
        <v>921</v>
      </c>
      <c r="B650" s="37" t="n">
        <v>45414</v>
      </c>
      <c r="C650" s="37" t="n">
        <v>45418</v>
      </c>
      <c r="D650" s="38" t="s">
        <v>194</v>
      </c>
      <c r="E650" s="38" t="s">
        <v>122</v>
      </c>
      <c r="F650" s="38" t="s">
        <v>100</v>
      </c>
      <c r="G650" s="38" t="s">
        <v>188</v>
      </c>
      <c r="H650" s="0" t="n">
        <v>4</v>
      </c>
      <c r="I650" s="39" t="n">
        <v>5500</v>
      </c>
      <c r="J650" s="40" t="n">
        <v>0</v>
      </c>
      <c r="K650" s="39" t="n">
        <v>22000</v>
      </c>
      <c r="L650" s="39" t="n">
        <v>14800</v>
      </c>
      <c r="M650" s="39" t="n">
        <v>7200</v>
      </c>
      <c r="N650" s="38" t="s">
        <v>66</v>
      </c>
      <c r="O650" s="38" t="n">
        <f aca="false">YEAR(B650)</f>
        <v>2024</v>
      </c>
      <c r="P650" s="41" t="n">
        <f aca="false">DATE(YEAR(B650),MONTH(B650),1)</f>
        <v>45413</v>
      </c>
      <c r="Q650" s="0" t="str">
        <f aca="false">INDEX(Products!$C$2:$C$16,MATCH(E650,Products!$A$2:$A$16,0))</f>
        <v>Furniture</v>
      </c>
      <c r="R650" s="0" t="str">
        <f aca="false">INDEX(Customers!$F$2:$F$101,MATCH(D650,Customers!$A$2:$A$101,0))</f>
        <v>North</v>
      </c>
      <c r="S650" s="0" t="str">
        <f aca="false">INDEX(Customers!$C$2:$C$101,MATCH(D650,Customers!$A$2:$A$101,0))</f>
        <v>Small Business</v>
      </c>
      <c r="T650" s="0" t="str">
        <f aca="false">INDEX(Customers!$D$2:$D$101,MATCH(D650,Customers!$A$2:$A$101,0))</f>
        <v>Gurugram</v>
      </c>
    </row>
    <row r="651" customFormat="false" ht="15" hidden="false" customHeight="false" outlineLevel="0" collapsed="false">
      <c r="A651" s="0" t="s">
        <v>922</v>
      </c>
      <c r="B651" s="37" t="n">
        <v>45902</v>
      </c>
      <c r="C651" s="37" t="n">
        <v>45904</v>
      </c>
      <c r="D651" s="38" t="s">
        <v>213</v>
      </c>
      <c r="E651" s="38" t="s">
        <v>124</v>
      </c>
      <c r="F651" s="38" t="s">
        <v>100</v>
      </c>
      <c r="G651" s="38" t="s">
        <v>173</v>
      </c>
      <c r="H651" s="0" t="n">
        <v>2</v>
      </c>
      <c r="I651" s="39" t="n">
        <v>3000</v>
      </c>
      <c r="J651" s="40" t="n">
        <v>0</v>
      </c>
      <c r="K651" s="39" t="n">
        <v>6000</v>
      </c>
      <c r="L651" s="39" t="n">
        <v>3800</v>
      </c>
      <c r="M651" s="39" t="n">
        <v>2200</v>
      </c>
      <c r="N651" s="38" t="s">
        <v>66</v>
      </c>
      <c r="O651" s="38" t="n">
        <f aca="false">YEAR(B651)</f>
        <v>2025</v>
      </c>
      <c r="P651" s="41" t="n">
        <f aca="false">DATE(YEAR(B651),MONTH(B651),1)</f>
        <v>45901</v>
      </c>
      <c r="Q651" s="0" t="str">
        <f aca="false">INDEX(Products!$C$2:$C$16,MATCH(E651,Products!$A$2:$A$16,0))</f>
        <v>Technology</v>
      </c>
      <c r="R651" s="0" t="str">
        <f aca="false">INDEX(Customers!$F$2:$F$101,MATCH(D651,Customers!$A$2:$A$101,0))</f>
        <v>North</v>
      </c>
      <c r="S651" s="0" t="str">
        <f aca="false">INDEX(Customers!$C$2:$C$101,MATCH(D651,Customers!$A$2:$A$101,0))</f>
        <v>Small Business</v>
      </c>
      <c r="T651" s="0" t="str">
        <f aca="false">INDEX(Customers!$D$2:$D$101,MATCH(D651,Customers!$A$2:$A$101,0))</f>
        <v>Gurugram</v>
      </c>
    </row>
    <row r="652" customFormat="false" ht="15" hidden="false" customHeight="false" outlineLevel="0" collapsed="false">
      <c r="A652" s="0" t="s">
        <v>923</v>
      </c>
      <c r="B652" s="37" t="n">
        <v>45638</v>
      </c>
      <c r="C652" s="37" t="n">
        <v>45645</v>
      </c>
      <c r="D652" s="38" t="s">
        <v>312</v>
      </c>
      <c r="E652" s="38" t="s">
        <v>122</v>
      </c>
      <c r="F652" s="38" t="s">
        <v>101</v>
      </c>
      <c r="G652" s="38" t="s">
        <v>173</v>
      </c>
      <c r="H652" s="0" t="n">
        <v>3</v>
      </c>
      <c r="I652" s="39" t="n">
        <v>5500</v>
      </c>
      <c r="J652" s="40" t="n">
        <v>0</v>
      </c>
      <c r="K652" s="39" t="n">
        <v>16500</v>
      </c>
      <c r="L652" s="39" t="n">
        <v>11100</v>
      </c>
      <c r="M652" s="39" t="n">
        <v>5400</v>
      </c>
      <c r="N652" s="38" t="s">
        <v>66</v>
      </c>
      <c r="O652" s="38" t="n">
        <f aca="false">YEAR(B652)</f>
        <v>2024</v>
      </c>
      <c r="P652" s="41" t="n">
        <f aca="false">DATE(YEAR(B652),MONTH(B652),1)</f>
        <v>45627</v>
      </c>
      <c r="Q652" s="0" t="str">
        <f aca="false">INDEX(Products!$C$2:$C$16,MATCH(E652,Products!$A$2:$A$16,0))</f>
        <v>Furniture</v>
      </c>
      <c r="R652" s="0" t="str">
        <f aca="false">INDEX(Customers!$F$2:$F$101,MATCH(D652,Customers!$A$2:$A$101,0))</f>
        <v>North</v>
      </c>
      <c r="S652" s="0" t="str">
        <f aca="false">INDEX(Customers!$C$2:$C$101,MATCH(D652,Customers!$A$2:$A$101,0))</f>
        <v>Corporate</v>
      </c>
      <c r="T652" s="0" t="str">
        <f aca="false">INDEX(Customers!$D$2:$D$101,MATCH(D652,Customers!$A$2:$A$101,0))</f>
        <v>Delhi</v>
      </c>
    </row>
    <row r="653" customFormat="false" ht="15" hidden="false" customHeight="false" outlineLevel="0" collapsed="false">
      <c r="A653" s="0" t="s">
        <v>924</v>
      </c>
      <c r="B653" s="37" t="n">
        <v>45791</v>
      </c>
      <c r="C653" s="37" t="n">
        <v>45793</v>
      </c>
      <c r="D653" s="38" t="s">
        <v>343</v>
      </c>
      <c r="E653" s="38" t="s">
        <v>115</v>
      </c>
      <c r="F653" s="38" t="s">
        <v>102</v>
      </c>
      <c r="G653" s="38" t="s">
        <v>170</v>
      </c>
      <c r="H653" s="0" t="n">
        <v>2</v>
      </c>
      <c r="I653" s="39" t="n">
        <v>1500</v>
      </c>
      <c r="J653" s="40" t="n">
        <v>0.15</v>
      </c>
      <c r="K653" s="39" t="n">
        <v>2550</v>
      </c>
      <c r="L653" s="39" t="n">
        <v>1700</v>
      </c>
      <c r="M653" s="39" t="n">
        <v>850</v>
      </c>
      <c r="N653" s="38" t="s">
        <v>66</v>
      </c>
      <c r="O653" s="38" t="n">
        <f aca="false">YEAR(B653)</f>
        <v>2025</v>
      </c>
      <c r="P653" s="41" t="n">
        <f aca="false">DATE(YEAR(B653),MONTH(B653),1)</f>
        <v>45778</v>
      </c>
      <c r="Q653" s="0" t="str">
        <f aca="false">INDEX(Products!$C$2:$C$16,MATCH(E653,Products!$A$2:$A$16,0))</f>
        <v>Technology</v>
      </c>
      <c r="R653" s="0" t="str">
        <f aca="false">INDEX(Customers!$F$2:$F$101,MATCH(D653,Customers!$A$2:$A$101,0))</f>
        <v>West</v>
      </c>
      <c r="S653" s="0" t="str">
        <f aca="false">INDEX(Customers!$C$2:$C$101,MATCH(D653,Customers!$A$2:$A$101,0))</f>
        <v>Consumer</v>
      </c>
      <c r="T653" s="0" t="str">
        <f aca="false">INDEX(Customers!$D$2:$D$101,MATCH(D653,Customers!$A$2:$A$101,0))</f>
        <v>Mumbai</v>
      </c>
    </row>
    <row r="654" customFormat="false" ht="15" hidden="false" customHeight="false" outlineLevel="0" collapsed="false">
      <c r="A654" s="0" t="s">
        <v>925</v>
      </c>
      <c r="B654" s="37" t="n">
        <v>45489</v>
      </c>
      <c r="C654" s="37" t="n">
        <v>45490</v>
      </c>
      <c r="D654" s="38" t="s">
        <v>172</v>
      </c>
      <c r="E654" s="38" t="s">
        <v>124</v>
      </c>
      <c r="F654" s="38" t="s">
        <v>102</v>
      </c>
      <c r="G654" s="38" t="s">
        <v>173</v>
      </c>
      <c r="H654" s="0" t="n">
        <v>3</v>
      </c>
      <c r="I654" s="39" t="n">
        <v>3000</v>
      </c>
      <c r="J654" s="40" t="n">
        <v>0.05</v>
      </c>
      <c r="K654" s="39" t="n">
        <v>8550</v>
      </c>
      <c r="L654" s="39" t="n">
        <v>5700</v>
      </c>
      <c r="M654" s="39" t="n">
        <v>2850</v>
      </c>
      <c r="N654" s="38" t="s">
        <v>66</v>
      </c>
      <c r="O654" s="38" t="n">
        <f aca="false">YEAR(B654)</f>
        <v>2024</v>
      </c>
      <c r="P654" s="41" t="n">
        <f aca="false">DATE(YEAR(B654),MONTH(B654),1)</f>
        <v>45474</v>
      </c>
      <c r="Q654" s="0" t="str">
        <f aca="false">INDEX(Products!$C$2:$C$16,MATCH(E654,Products!$A$2:$A$16,0))</f>
        <v>Technology</v>
      </c>
      <c r="R654" s="0" t="str">
        <f aca="false">INDEX(Customers!$F$2:$F$101,MATCH(D654,Customers!$A$2:$A$101,0))</f>
        <v>East</v>
      </c>
      <c r="S654" s="0" t="str">
        <f aca="false">INDEX(Customers!$C$2:$C$101,MATCH(D654,Customers!$A$2:$A$101,0))</f>
        <v>Consumer</v>
      </c>
      <c r="T654" s="0" t="str">
        <f aca="false">INDEX(Customers!$D$2:$D$101,MATCH(D654,Customers!$A$2:$A$101,0))</f>
        <v>Bhubaneswar</v>
      </c>
    </row>
    <row r="655" customFormat="false" ht="15" hidden="false" customHeight="false" outlineLevel="0" collapsed="false">
      <c r="A655" s="0" t="s">
        <v>926</v>
      </c>
      <c r="B655" s="37" t="n">
        <v>46015</v>
      </c>
      <c r="C655" s="37" t="n">
        <v>46019</v>
      </c>
      <c r="D655" s="38" t="s">
        <v>302</v>
      </c>
      <c r="E655" s="38" t="s">
        <v>120</v>
      </c>
      <c r="F655" s="38" t="s">
        <v>102</v>
      </c>
      <c r="G655" s="38" t="s">
        <v>185</v>
      </c>
      <c r="H655" s="0" t="n">
        <v>3</v>
      </c>
      <c r="I655" s="39" t="n">
        <v>400</v>
      </c>
      <c r="J655" s="40" t="n">
        <v>0.15</v>
      </c>
      <c r="K655" s="39" t="n">
        <v>1020</v>
      </c>
      <c r="L655" s="39" t="n">
        <v>780</v>
      </c>
      <c r="M655" s="39" t="n">
        <v>240</v>
      </c>
      <c r="N655" s="38" t="s">
        <v>66</v>
      </c>
      <c r="O655" s="38" t="n">
        <f aca="false">YEAR(B655)</f>
        <v>2025</v>
      </c>
      <c r="P655" s="41" t="n">
        <f aca="false">DATE(YEAR(B655),MONTH(B655),1)</f>
        <v>45992</v>
      </c>
      <c r="Q655" s="0" t="str">
        <f aca="false">INDEX(Products!$C$2:$C$16,MATCH(E655,Products!$A$2:$A$16,0))</f>
        <v>Office Supplies</v>
      </c>
      <c r="R655" s="0" t="str">
        <f aca="false">INDEX(Customers!$F$2:$F$101,MATCH(D655,Customers!$A$2:$A$101,0))</f>
        <v>East</v>
      </c>
      <c r="S655" s="0" t="str">
        <f aca="false">INDEX(Customers!$C$2:$C$101,MATCH(D655,Customers!$A$2:$A$101,0))</f>
        <v>Consumer</v>
      </c>
      <c r="T655" s="0" t="str">
        <f aca="false">INDEX(Customers!$D$2:$D$101,MATCH(D655,Customers!$A$2:$A$101,0))</f>
        <v>Bhubaneswar</v>
      </c>
    </row>
    <row r="656" customFormat="false" ht="15" hidden="false" customHeight="false" outlineLevel="0" collapsed="false">
      <c r="A656" s="0" t="s">
        <v>927</v>
      </c>
      <c r="B656" s="37" t="n">
        <v>45648</v>
      </c>
      <c r="C656" s="37" t="n">
        <v>45651</v>
      </c>
      <c r="D656" s="38" t="s">
        <v>435</v>
      </c>
      <c r="E656" s="38" t="s">
        <v>121</v>
      </c>
      <c r="F656" s="38" t="s">
        <v>102</v>
      </c>
      <c r="G656" s="38" t="s">
        <v>188</v>
      </c>
      <c r="H656" s="0" t="n">
        <v>4</v>
      </c>
      <c r="I656" s="39" t="n">
        <v>180</v>
      </c>
      <c r="J656" s="40" t="n">
        <v>0.05</v>
      </c>
      <c r="K656" s="39" t="n">
        <v>684</v>
      </c>
      <c r="L656" s="39" t="n">
        <v>280</v>
      </c>
      <c r="M656" s="39" t="n">
        <v>404</v>
      </c>
      <c r="N656" s="38" t="s">
        <v>66</v>
      </c>
      <c r="O656" s="38" t="n">
        <f aca="false">YEAR(B656)</f>
        <v>2024</v>
      </c>
      <c r="P656" s="41" t="n">
        <f aca="false">DATE(YEAR(B656),MONTH(B656),1)</f>
        <v>45627</v>
      </c>
      <c r="Q656" s="0" t="str">
        <f aca="false">INDEX(Products!$C$2:$C$16,MATCH(E656,Products!$A$2:$A$16,0))</f>
        <v>Office Supplies</v>
      </c>
      <c r="R656" s="0" t="str">
        <f aca="false">INDEX(Customers!$F$2:$F$101,MATCH(D656,Customers!$A$2:$A$101,0))</f>
        <v>South</v>
      </c>
      <c r="S656" s="0" t="str">
        <f aca="false">INDEX(Customers!$C$2:$C$101,MATCH(D656,Customers!$A$2:$A$101,0))</f>
        <v>Small Business</v>
      </c>
      <c r="T656" s="0" t="str">
        <f aca="false">INDEX(Customers!$D$2:$D$101,MATCH(D656,Customers!$A$2:$A$101,0))</f>
        <v>Chennai</v>
      </c>
    </row>
    <row r="657" customFormat="false" ht="15" hidden="false" customHeight="false" outlineLevel="0" collapsed="false">
      <c r="A657" s="0" t="s">
        <v>928</v>
      </c>
      <c r="B657" s="37" t="n">
        <v>45752</v>
      </c>
      <c r="C657" s="37" t="n">
        <v>45755</v>
      </c>
      <c r="D657" s="38" t="s">
        <v>379</v>
      </c>
      <c r="E657" s="38" t="s">
        <v>115</v>
      </c>
      <c r="F657" s="38" t="s">
        <v>101</v>
      </c>
      <c r="G657" s="38" t="s">
        <v>185</v>
      </c>
      <c r="H657" s="0" t="n">
        <v>5</v>
      </c>
      <c r="I657" s="39" t="n">
        <v>1500</v>
      </c>
      <c r="J657" s="40" t="n">
        <v>0.15</v>
      </c>
      <c r="K657" s="39" t="n">
        <v>6375</v>
      </c>
      <c r="L657" s="39" t="n">
        <v>4250</v>
      </c>
      <c r="M657" s="39" t="n">
        <v>2125</v>
      </c>
      <c r="N657" s="38" t="s">
        <v>66</v>
      </c>
      <c r="O657" s="38" t="n">
        <f aca="false">YEAR(B657)</f>
        <v>2025</v>
      </c>
      <c r="P657" s="41" t="n">
        <f aca="false">DATE(YEAR(B657),MONTH(B657),1)</f>
        <v>45748</v>
      </c>
      <c r="Q657" s="0" t="str">
        <f aca="false">INDEX(Products!$C$2:$C$16,MATCH(E657,Products!$A$2:$A$16,0))</f>
        <v>Technology</v>
      </c>
      <c r="R657" s="0" t="str">
        <f aca="false">INDEX(Customers!$F$2:$F$101,MATCH(D657,Customers!$A$2:$A$101,0))</f>
        <v>North</v>
      </c>
      <c r="S657" s="0" t="str">
        <f aca="false">INDEX(Customers!$C$2:$C$101,MATCH(D657,Customers!$A$2:$A$101,0))</f>
        <v>Consumer</v>
      </c>
      <c r="T657" s="0" t="str">
        <f aca="false">INDEX(Customers!$D$2:$D$101,MATCH(D657,Customers!$A$2:$A$101,0))</f>
        <v>Lucknow</v>
      </c>
    </row>
    <row r="658" customFormat="false" ht="15" hidden="false" customHeight="false" outlineLevel="0" collapsed="false">
      <c r="A658" s="0" t="s">
        <v>929</v>
      </c>
      <c r="B658" s="37" t="n">
        <v>45680</v>
      </c>
      <c r="C658" s="37" t="n">
        <v>45686</v>
      </c>
      <c r="D658" s="38" t="s">
        <v>348</v>
      </c>
      <c r="E658" s="38" t="s">
        <v>121</v>
      </c>
      <c r="F658" s="38" t="s">
        <v>102</v>
      </c>
      <c r="G658" s="38" t="s">
        <v>170</v>
      </c>
      <c r="H658" s="0" t="n">
        <v>1</v>
      </c>
      <c r="I658" s="39" t="n">
        <v>180</v>
      </c>
      <c r="J658" s="40" t="n">
        <v>0</v>
      </c>
      <c r="K658" s="39" t="n">
        <v>180</v>
      </c>
      <c r="L658" s="39" t="n">
        <v>70</v>
      </c>
      <c r="M658" s="39" t="n">
        <v>110</v>
      </c>
      <c r="N658" s="38" t="s">
        <v>66</v>
      </c>
      <c r="O658" s="38" t="n">
        <f aca="false">YEAR(B658)</f>
        <v>2025</v>
      </c>
      <c r="P658" s="41" t="n">
        <f aca="false">DATE(YEAR(B658),MONTH(B658),1)</f>
        <v>45658</v>
      </c>
      <c r="Q658" s="0" t="str">
        <f aca="false">INDEX(Products!$C$2:$C$16,MATCH(E658,Products!$A$2:$A$16,0))</f>
        <v>Office Supplies</v>
      </c>
      <c r="R658" s="0" t="str">
        <f aca="false">INDEX(Customers!$F$2:$F$101,MATCH(D658,Customers!$A$2:$A$101,0))</f>
        <v>East</v>
      </c>
      <c r="S658" s="0" t="str">
        <f aca="false">INDEX(Customers!$C$2:$C$101,MATCH(D658,Customers!$A$2:$A$101,0))</f>
        <v>Corporate</v>
      </c>
      <c r="T658" s="0" t="str">
        <f aca="false">INDEX(Customers!$D$2:$D$101,MATCH(D658,Customers!$A$2:$A$101,0))</f>
        <v>Kolkata</v>
      </c>
    </row>
    <row r="659" customFormat="false" ht="15" hidden="false" customHeight="false" outlineLevel="0" collapsed="false">
      <c r="A659" s="0" t="s">
        <v>930</v>
      </c>
      <c r="B659" s="37" t="n">
        <v>46030</v>
      </c>
      <c r="C659" s="37" t="n">
        <v>46031</v>
      </c>
      <c r="D659" s="38" t="s">
        <v>407</v>
      </c>
      <c r="E659" s="38" t="s">
        <v>118</v>
      </c>
      <c r="F659" s="38" t="s">
        <v>101</v>
      </c>
      <c r="G659" s="38" t="s">
        <v>173</v>
      </c>
      <c r="H659" s="0" t="n">
        <v>3</v>
      </c>
      <c r="I659" s="39" t="n">
        <v>9000</v>
      </c>
      <c r="J659" s="40" t="n">
        <v>0.15</v>
      </c>
      <c r="K659" s="39" t="n">
        <v>22950</v>
      </c>
      <c r="L659" s="39" t="n">
        <v>19500</v>
      </c>
      <c r="M659" s="39" t="n">
        <v>3450</v>
      </c>
      <c r="N659" s="38" t="s">
        <v>66</v>
      </c>
      <c r="O659" s="38" t="n">
        <f aca="false">YEAR(B659)</f>
        <v>2026</v>
      </c>
      <c r="P659" s="41" t="n">
        <f aca="false">DATE(YEAR(B659),MONTH(B659),1)</f>
        <v>46023</v>
      </c>
      <c r="Q659" s="0" t="str">
        <f aca="false">INDEX(Products!$C$2:$C$16,MATCH(E659,Products!$A$2:$A$16,0))</f>
        <v>Furniture</v>
      </c>
      <c r="R659" s="0" t="str">
        <f aca="false">INDEX(Customers!$F$2:$F$101,MATCH(D659,Customers!$A$2:$A$101,0))</f>
        <v>North</v>
      </c>
      <c r="S659" s="0" t="str">
        <f aca="false">INDEX(Customers!$C$2:$C$101,MATCH(D659,Customers!$A$2:$A$101,0))</f>
        <v>Small Business</v>
      </c>
      <c r="T659" s="0" t="str">
        <f aca="false">INDEX(Customers!$D$2:$D$101,MATCH(D659,Customers!$A$2:$A$101,0))</f>
        <v>Delhi</v>
      </c>
    </row>
    <row r="660" customFormat="false" ht="15" hidden="false" customHeight="false" outlineLevel="0" collapsed="false">
      <c r="A660" s="0" t="s">
        <v>931</v>
      </c>
      <c r="B660" s="37" t="n">
        <v>45856</v>
      </c>
      <c r="C660" s="37" t="n">
        <v>45858</v>
      </c>
      <c r="D660" s="38" t="s">
        <v>467</v>
      </c>
      <c r="E660" s="38" t="s">
        <v>125</v>
      </c>
      <c r="F660" s="38" t="s">
        <v>101</v>
      </c>
      <c r="G660" s="38" t="s">
        <v>170</v>
      </c>
      <c r="H660" s="0" t="n">
        <v>3</v>
      </c>
      <c r="I660" s="39" t="n">
        <v>600</v>
      </c>
      <c r="J660" s="40" t="n">
        <v>0.05</v>
      </c>
      <c r="K660" s="39" t="n">
        <v>1710</v>
      </c>
      <c r="L660" s="39" t="n">
        <v>1050</v>
      </c>
      <c r="M660" s="39" t="n">
        <v>660</v>
      </c>
      <c r="N660" s="38" t="s">
        <v>66</v>
      </c>
      <c r="O660" s="38" t="n">
        <f aca="false">YEAR(B660)</f>
        <v>2025</v>
      </c>
      <c r="P660" s="41" t="n">
        <f aca="false">DATE(YEAR(B660),MONTH(B660),1)</f>
        <v>45839</v>
      </c>
      <c r="Q660" s="0" t="str">
        <f aca="false">INDEX(Products!$C$2:$C$16,MATCH(E660,Products!$A$2:$A$16,0))</f>
        <v>Office Supplies</v>
      </c>
      <c r="R660" s="0" t="str">
        <f aca="false">INDEX(Customers!$F$2:$F$101,MATCH(D660,Customers!$A$2:$A$101,0))</f>
        <v>West</v>
      </c>
      <c r="S660" s="0" t="str">
        <f aca="false">INDEX(Customers!$C$2:$C$101,MATCH(D660,Customers!$A$2:$A$101,0))</f>
        <v>Corporate</v>
      </c>
      <c r="T660" s="0" t="str">
        <f aca="false">INDEX(Customers!$D$2:$D$101,MATCH(D660,Customers!$A$2:$A$101,0))</f>
        <v>Ahmedabad</v>
      </c>
    </row>
    <row r="661" customFormat="false" ht="15" hidden="false" customHeight="false" outlineLevel="0" collapsed="false">
      <c r="A661" s="0" t="s">
        <v>932</v>
      </c>
      <c r="B661" s="37" t="n">
        <v>45360</v>
      </c>
      <c r="C661" s="37" t="n">
        <v>45361</v>
      </c>
      <c r="D661" s="38" t="s">
        <v>433</v>
      </c>
      <c r="E661" s="38" t="s">
        <v>123</v>
      </c>
      <c r="F661" s="38" t="s">
        <v>100</v>
      </c>
      <c r="G661" s="38" t="s">
        <v>178</v>
      </c>
      <c r="H661" s="0" t="n">
        <v>5</v>
      </c>
      <c r="I661" s="39" t="n">
        <v>2200</v>
      </c>
      <c r="J661" s="40" t="n">
        <v>0</v>
      </c>
      <c r="K661" s="39" t="n">
        <v>11000</v>
      </c>
      <c r="L661" s="39" t="n">
        <v>6500</v>
      </c>
      <c r="M661" s="39" t="n">
        <v>4500</v>
      </c>
      <c r="N661" s="38" t="s">
        <v>66</v>
      </c>
      <c r="O661" s="38" t="n">
        <f aca="false">YEAR(B661)</f>
        <v>2024</v>
      </c>
      <c r="P661" s="41" t="n">
        <f aca="false">DATE(YEAR(B661),MONTH(B661),1)</f>
        <v>45352</v>
      </c>
      <c r="Q661" s="0" t="str">
        <f aca="false">INDEX(Products!$C$2:$C$16,MATCH(E661,Products!$A$2:$A$16,0))</f>
        <v>Technology</v>
      </c>
      <c r="R661" s="0" t="str">
        <f aca="false">INDEX(Customers!$F$2:$F$101,MATCH(D661,Customers!$A$2:$A$101,0))</f>
        <v>North</v>
      </c>
      <c r="S661" s="0" t="str">
        <f aca="false">INDEX(Customers!$C$2:$C$101,MATCH(D661,Customers!$A$2:$A$101,0))</f>
        <v>Consumer</v>
      </c>
      <c r="T661" s="0" t="str">
        <f aca="false">INDEX(Customers!$D$2:$D$101,MATCH(D661,Customers!$A$2:$A$101,0))</f>
        <v>Delhi</v>
      </c>
    </row>
    <row r="662" customFormat="false" ht="15" hidden="false" customHeight="false" outlineLevel="0" collapsed="false">
      <c r="A662" s="0" t="s">
        <v>933</v>
      </c>
      <c r="B662" s="37" t="n">
        <v>45393</v>
      </c>
      <c r="C662" s="37" t="n">
        <v>45394</v>
      </c>
      <c r="D662" s="38" t="s">
        <v>238</v>
      </c>
      <c r="E662" s="38" t="s">
        <v>116</v>
      </c>
      <c r="F662" s="38" t="s">
        <v>101</v>
      </c>
      <c r="G662" s="38" t="s">
        <v>185</v>
      </c>
      <c r="H662" s="0" t="n">
        <v>3</v>
      </c>
      <c r="I662" s="39" t="n">
        <v>12000</v>
      </c>
      <c r="J662" s="40" t="n">
        <v>0.25</v>
      </c>
      <c r="K662" s="39" t="n">
        <v>27000</v>
      </c>
      <c r="L662" s="39" t="n">
        <v>27000</v>
      </c>
      <c r="M662" s="39" t="n">
        <v>0</v>
      </c>
      <c r="N662" s="38" t="s">
        <v>66</v>
      </c>
      <c r="O662" s="38" t="n">
        <f aca="false">YEAR(B662)</f>
        <v>2024</v>
      </c>
      <c r="P662" s="41" t="n">
        <f aca="false">DATE(YEAR(B662),MONTH(B662),1)</f>
        <v>45383</v>
      </c>
      <c r="Q662" s="0" t="str">
        <f aca="false">INDEX(Products!$C$2:$C$16,MATCH(E662,Products!$A$2:$A$16,0))</f>
        <v>Technology</v>
      </c>
      <c r="R662" s="0" t="str">
        <f aca="false">INDEX(Customers!$F$2:$F$101,MATCH(D662,Customers!$A$2:$A$101,0))</f>
        <v>North</v>
      </c>
      <c r="S662" s="0" t="str">
        <f aca="false">INDEX(Customers!$C$2:$C$101,MATCH(D662,Customers!$A$2:$A$101,0))</f>
        <v>Small Business</v>
      </c>
      <c r="T662" s="0" t="str">
        <f aca="false">INDEX(Customers!$D$2:$D$101,MATCH(D662,Customers!$A$2:$A$101,0))</f>
        <v>Lucknow</v>
      </c>
    </row>
    <row r="663" customFormat="false" ht="15" hidden="false" customHeight="false" outlineLevel="0" collapsed="false">
      <c r="A663" s="0" t="s">
        <v>934</v>
      </c>
      <c r="B663" s="37" t="n">
        <v>45554</v>
      </c>
      <c r="C663" s="37" t="n">
        <v>45555</v>
      </c>
      <c r="D663" s="38" t="s">
        <v>184</v>
      </c>
      <c r="E663" s="38" t="s">
        <v>122</v>
      </c>
      <c r="F663" s="38" t="s">
        <v>102</v>
      </c>
      <c r="G663" s="38" t="s">
        <v>178</v>
      </c>
      <c r="H663" s="0" t="n">
        <v>2</v>
      </c>
      <c r="I663" s="39" t="n">
        <v>5500</v>
      </c>
      <c r="J663" s="40" t="n">
        <v>0.15</v>
      </c>
      <c r="K663" s="39" t="n">
        <v>9350</v>
      </c>
      <c r="L663" s="39" t="n">
        <v>7400</v>
      </c>
      <c r="M663" s="39" t="n">
        <v>1950</v>
      </c>
      <c r="N663" s="38" t="s">
        <v>66</v>
      </c>
      <c r="O663" s="38" t="n">
        <f aca="false">YEAR(B663)</f>
        <v>2024</v>
      </c>
      <c r="P663" s="41" t="n">
        <f aca="false">DATE(YEAR(B663),MONTH(B663),1)</f>
        <v>45536</v>
      </c>
      <c r="Q663" s="0" t="str">
        <f aca="false">INDEX(Products!$C$2:$C$16,MATCH(E663,Products!$A$2:$A$16,0))</f>
        <v>Furniture</v>
      </c>
      <c r="R663" s="0" t="str">
        <f aca="false">INDEX(Customers!$F$2:$F$101,MATCH(D663,Customers!$A$2:$A$101,0))</f>
        <v>West</v>
      </c>
      <c r="S663" s="0" t="str">
        <f aca="false">INDEX(Customers!$C$2:$C$101,MATCH(D663,Customers!$A$2:$A$101,0))</f>
        <v>Consumer</v>
      </c>
      <c r="T663" s="0" t="str">
        <f aca="false">INDEX(Customers!$D$2:$D$101,MATCH(D663,Customers!$A$2:$A$101,0))</f>
        <v>Ahmedabad</v>
      </c>
    </row>
    <row r="664" customFormat="false" ht="15" hidden="false" customHeight="false" outlineLevel="0" collapsed="false">
      <c r="A664" s="0" t="s">
        <v>935</v>
      </c>
      <c r="B664" s="37" t="n">
        <v>45795</v>
      </c>
      <c r="C664" s="37" t="n">
        <v>45802</v>
      </c>
      <c r="D664" s="38" t="s">
        <v>280</v>
      </c>
      <c r="E664" s="38" t="s">
        <v>123</v>
      </c>
      <c r="F664" s="38" t="s">
        <v>102</v>
      </c>
      <c r="G664" s="38" t="s">
        <v>178</v>
      </c>
      <c r="H664" s="0" t="n">
        <v>1</v>
      </c>
      <c r="I664" s="39" t="n">
        <v>2200</v>
      </c>
      <c r="J664" s="40" t="n">
        <v>0.25</v>
      </c>
      <c r="K664" s="39" t="n">
        <v>1650</v>
      </c>
      <c r="L664" s="39" t="n">
        <v>1300</v>
      </c>
      <c r="M664" s="39" t="n">
        <v>350</v>
      </c>
      <c r="N664" s="38" t="s">
        <v>66</v>
      </c>
      <c r="O664" s="38" t="n">
        <f aca="false">YEAR(B664)</f>
        <v>2025</v>
      </c>
      <c r="P664" s="41" t="n">
        <f aca="false">DATE(YEAR(B664),MONTH(B664),1)</f>
        <v>45778</v>
      </c>
      <c r="Q664" s="0" t="str">
        <f aca="false">INDEX(Products!$C$2:$C$16,MATCH(E664,Products!$A$2:$A$16,0))</f>
        <v>Technology</v>
      </c>
      <c r="R664" s="0" t="str">
        <f aca="false">INDEX(Customers!$F$2:$F$101,MATCH(D664,Customers!$A$2:$A$101,0))</f>
        <v>North</v>
      </c>
      <c r="S664" s="0" t="str">
        <f aca="false">INDEX(Customers!$C$2:$C$101,MATCH(D664,Customers!$A$2:$A$101,0))</f>
        <v>Corporate</v>
      </c>
      <c r="T664" s="0" t="str">
        <f aca="false">INDEX(Customers!$D$2:$D$101,MATCH(D664,Customers!$A$2:$A$101,0))</f>
        <v>Jaipur</v>
      </c>
    </row>
    <row r="665" customFormat="false" ht="15" hidden="false" customHeight="false" outlineLevel="0" collapsed="false">
      <c r="A665" s="0" t="s">
        <v>936</v>
      </c>
      <c r="B665" s="37" t="n">
        <v>45717</v>
      </c>
      <c r="C665" s="37" t="n">
        <v>45724</v>
      </c>
      <c r="D665" s="38" t="s">
        <v>242</v>
      </c>
      <c r="E665" s="38" t="s">
        <v>127</v>
      </c>
      <c r="F665" s="38" t="s">
        <v>100</v>
      </c>
      <c r="G665" s="38" t="s">
        <v>188</v>
      </c>
      <c r="H665" s="0" t="n">
        <v>2</v>
      </c>
      <c r="I665" s="39" t="n">
        <v>18000</v>
      </c>
      <c r="J665" s="40" t="n">
        <v>0.2</v>
      </c>
      <c r="K665" s="39" t="n">
        <v>28800</v>
      </c>
      <c r="L665" s="39" t="n">
        <v>28000</v>
      </c>
      <c r="M665" s="39" t="n">
        <v>800</v>
      </c>
      <c r="N665" s="38" t="s">
        <v>66</v>
      </c>
      <c r="O665" s="38" t="n">
        <f aca="false">YEAR(B665)</f>
        <v>2025</v>
      </c>
      <c r="P665" s="41" t="n">
        <f aca="false">DATE(YEAR(B665),MONTH(B665),1)</f>
        <v>45717</v>
      </c>
      <c r="Q665" s="0" t="str">
        <f aca="false">INDEX(Products!$C$2:$C$16,MATCH(E665,Products!$A$2:$A$16,0))</f>
        <v>Technology</v>
      </c>
      <c r="R665" s="0" t="str">
        <f aca="false">INDEX(Customers!$F$2:$F$101,MATCH(D665,Customers!$A$2:$A$101,0))</f>
        <v>North</v>
      </c>
      <c r="S665" s="0" t="str">
        <f aca="false">INDEX(Customers!$C$2:$C$101,MATCH(D665,Customers!$A$2:$A$101,0))</f>
        <v>Small Business</v>
      </c>
      <c r="T665" s="0" t="str">
        <f aca="false">INDEX(Customers!$D$2:$D$101,MATCH(D665,Customers!$A$2:$A$101,0))</f>
        <v>Gurugram</v>
      </c>
    </row>
    <row r="666" customFormat="false" ht="15" hidden="false" customHeight="false" outlineLevel="0" collapsed="false">
      <c r="A666" s="0" t="s">
        <v>937</v>
      </c>
      <c r="B666" s="37" t="n">
        <v>45364</v>
      </c>
      <c r="C666" s="37" t="n">
        <v>45371</v>
      </c>
      <c r="D666" s="38" t="s">
        <v>302</v>
      </c>
      <c r="E666" s="38" t="s">
        <v>124</v>
      </c>
      <c r="F666" s="38" t="s">
        <v>102</v>
      </c>
      <c r="G666" s="38" t="s">
        <v>178</v>
      </c>
      <c r="H666" s="0" t="n">
        <v>2</v>
      </c>
      <c r="I666" s="39" t="n">
        <v>3000</v>
      </c>
      <c r="J666" s="40" t="n">
        <v>0</v>
      </c>
      <c r="K666" s="39" t="n">
        <v>6000</v>
      </c>
      <c r="L666" s="39" t="n">
        <v>3800</v>
      </c>
      <c r="M666" s="39" t="n">
        <v>2200</v>
      </c>
      <c r="N666" s="38" t="s">
        <v>66</v>
      </c>
      <c r="O666" s="38" t="n">
        <f aca="false">YEAR(B666)</f>
        <v>2024</v>
      </c>
      <c r="P666" s="41" t="n">
        <f aca="false">DATE(YEAR(B666),MONTH(B666),1)</f>
        <v>45352</v>
      </c>
      <c r="Q666" s="0" t="str">
        <f aca="false">INDEX(Products!$C$2:$C$16,MATCH(E666,Products!$A$2:$A$16,0))</f>
        <v>Technology</v>
      </c>
      <c r="R666" s="0" t="str">
        <f aca="false">INDEX(Customers!$F$2:$F$101,MATCH(D666,Customers!$A$2:$A$101,0))</f>
        <v>East</v>
      </c>
      <c r="S666" s="0" t="str">
        <f aca="false">INDEX(Customers!$C$2:$C$101,MATCH(D666,Customers!$A$2:$A$101,0))</f>
        <v>Consumer</v>
      </c>
      <c r="T666" s="0" t="str">
        <f aca="false">INDEX(Customers!$D$2:$D$101,MATCH(D666,Customers!$A$2:$A$101,0))</f>
        <v>Bhubaneswar</v>
      </c>
    </row>
    <row r="667" customFormat="false" ht="15" hidden="false" customHeight="false" outlineLevel="0" collapsed="false">
      <c r="A667" s="0" t="s">
        <v>938</v>
      </c>
      <c r="B667" s="37" t="n">
        <v>45686</v>
      </c>
      <c r="C667" s="37" t="n">
        <v>45688</v>
      </c>
      <c r="D667" s="38" t="s">
        <v>314</v>
      </c>
      <c r="E667" s="38" t="s">
        <v>121</v>
      </c>
      <c r="F667" s="38" t="s">
        <v>100</v>
      </c>
      <c r="G667" s="38" t="s">
        <v>188</v>
      </c>
      <c r="H667" s="0" t="n">
        <v>1</v>
      </c>
      <c r="I667" s="39" t="n">
        <v>180</v>
      </c>
      <c r="J667" s="40" t="n">
        <v>0.2</v>
      </c>
      <c r="K667" s="39" t="n">
        <v>144</v>
      </c>
      <c r="L667" s="39" t="n">
        <v>70</v>
      </c>
      <c r="M667" s="39" t="n">
        <v>74</v>
      </c>
      <c r="N667" s="38" t="s">
        <v>66</v>
      </c>
      <c r="O667" s="38" t="n">
        <f aca="false">YEAR(B667)</f>
        <v>2025</v>
      </c>
      <c r="P667" s="41" t="n">
        <f aca="false">DATE(YEAR(B667),MONTH(B667),1)</f>
        <v>45658</v>
      </c>
      <c r="Q667" s="0" t="str">
        <f aca="false">INDEX(Products!$C$2:$C$16,MATCH(E667,Products!$A$2:$A$16,0))</f>
        <v>Office Supplies</v>
      </c>
      <c r="R667" s="0" t="str">
        <f aca="false">INDEX(Customers!$F$2:$F$101,MATCH(D667,Customers!$A$2:$A$101,0))</f>
        <v>North</v>
      </c>
      <c r="S667" s="0" t="str">
        <f aca="false">INDEX(Customers!$C$2:$C$101,MATCH(D667,Customers!$A$2:$A$101,0))</f>
        <v>Consumer</v>
      </c>
      <c r="T667" s="0" t="str">
        <f aca="false">INDEX(Customers!$D$2:$D$101,MATCH(D667,Customers!$A$2:$A$101,0))</f>
        <v>Gurugram</v>
      </c>
    </row>
    <row r="668" customFormat="false" ht="15" hidden="false" customHeight="false" outlineLevel="0" collapsed="false">
      <c r="A668" s="0" t="s">
        <v>939</v>
      </c>
      <c r="B668" s="37" t="n">
        <v>46059</v>
      </c>
      <c r="C668" s="37" t="n">
        <v>46064</v>
      </c>
      <c r="D668" s="38" t="s">
        <v>246</v>
      </c>
      <c r="E668" s="38" t="s">
        <v>121</v>
      </c>
      <c r="F668" s="38" t="s">
        <v>102</v>
      </c>
      <c r="G668" s="38" t="s">
        <v>188</v>
      </c>
      <c r="H668" s="0" t="n">
        <v>2</v>
      </c>
      <c r="I668" s="39" t="n">
        <v>180</v>
      </c>
      <c r="J668" s="40" t="n">
        <v>0</v>
      </c>
      <c r="K668" s="39" t="n">
        <v>360</v>
      </c>
      <c r="L668" s="39" t="n">
        <v>140</v>
      </c>
      <c r="M668" s="39" t="n">
        <v>220</v>
      </c>
      <c r="N668" s="38" t="s">
        <v>66</v>
      </c>
      <c r="O668" s="38" t="n">
        <f aca="false">YEAR(B668)</f>
        <v>2026</v>
      </c>
      <c r="P668" s="41" t="n">
        <f aca="false">DATE(YEAR(B668),MONTH(B668),1)</f>
        <v>46054</v>
      </c>
      <c r="Q668" s="0" t="str">
        <f aca="false">INDEX(Products!$C$2:$C$16,MATCH(E668,Products!$A$2:$A$16,0))</f>
        <v>Office Supplies</v>
      </c>
      <c r="R668" s="0" t="str">
        <f aca="false">INDEX(Customers!$F$2:$F$101,MATCH(D668,Customers!$A$2:$A$101,0))</f>
        <v>North</v>
      </c>
      <c r="S668" s="0" t="str">
        <f aca="false">INDEX(Customers!$C$2:$C$101,MATCH(D668,Customers!$A$2:$A$101,0))</f>
        <v>Consumer</v>
      </c>
      <c r="T668" s="0" t="str">
        <f aca="false">INDEX(Customers!$D$2:$D$101,MATCH(D668,Customers!$A$2:$A$101,0))</f>
        <v>Jaipur</v>
      </c>
    </row>
    <row r="669" customFormat="false" ht="15" hidden="false" customHeight="false" outlineLevel="0" collapsed="false">
      <c r="A669" s="0" t="s">
        <v>940</v>
      </c>
      <c r="B669" s="37" t="n">
        <v>45973</v>
      </c>
      <c r="C669" s="37" t="n">
        <v>45977</v>
      </c>
      <c r="D669" s="38" t="s">
        <v>227</v>
      </c>
      <c r="E669" s="38" t="s">
        <v>124</v>
      </c>
      <c r="F669" s="38" t="s">
        <v>100</v>
      </c>
      <c r="G669" s="38" t="s">
        <v>188</v>
      </c>
      <c r="H669" s="0" t="n">
        <v>5</v>
      </c>
      <c r="I669" s="39" t="n">
        <v>3000</v>
      </c>
      <c r="J669" s="40" t="n">
        <v>0</v>
      </c>
      <c r="K669" s="39" t="n">
        <v>15000</v>
      </c>
      <c r="L669" s="39" t="n">
        <v>9500</v>
      </c>
      <c r="M669" s="39" t="n">
        <v>5500</v>
      </c>
      <c r="N669" s="38" t="s">
        <v>66</v>
      </c>
      <c r="O669" s="38" t="n">
        <f aca="false">YEAR(B669)</f>
        <v>2025</v>
      </c>
      <c r="P669" s="41" t="n">
        <f aca="false">DATE(YEAR(B669),MONTH(B669),1)</f>
        <v>45962</v>
      </c>
      <c r="Q669" s="0" t="str">
        <f aca="false">INDEX(Products!$C$2:$C$16,MATCH(E669,Products!$A$2:$A$16,0))</f>
        <v>Technology</v>
      </c>
      <c r="R669" s="0" t="str">
        <f aca="false">INDEX(Customers!$F$2:$F$101,MATCH(D669,Customers!$A$2:$A$101,0))</f>
        <v>North</v>
      </c>
      <c r="S669" s="0" t="str">
        <f aca="false">INDEX(Customers!$C$2:$C$101,MATCH(D669,Customers!$A$2:$A$101,0))</f>
        <v>Consumer</v>
      </c>
      <c r="T669" s="0" t="str">
        <f aca="false">INDEX(Customers!$D$2:$D$101,MATCH(D669,Customers!$A$2:$A$101,0))</f>
        <v>Delhi</v>
      </c>
    </row>
    <row r="670" customFormat="false" ht="15" hidden="false" customHeight="false" outlineLevel="0" collapsed="false">
      <c r="A670" s="0" t="s">
        <v>941</v>
      </c>
      <c r="B670" s="37" t="n">
        <v>45453</v>
      </c>
      <c r="C670" s="37" t="n">
        <v>45458</v>
      </c>
      <c r="D670" s="38" t="s">
        <v>206</v>
      </c>
      <c r="E670" s="38" t="s">
        <v>123</v>
      </c>
      <c r="F670" s="38" t="s">
        <v>101</v>
      </c>
      <c r="G670" s="38" t="s">
        <v>170</v>
      </c>
      <c r="H670" s="0" t="n">
        <v>10</v>
      </c>
      <c r="I670" s="39" t="n">
        <v>2200</v>
      </c>
      <c r="J670" s="40" t="n">
        <v>0.1</v>
      </c>
      <c r="K670" s="39" t="n">
        <v>19800</v>
      </c>
      <c r="L670" s="39" t="n">
        <v>13000</v>
      </c>
      <c r="M670" s="39" t="n">
        <v>6800</v>
      </c>
      <c r="N670" s="38" t="s">
        <v>66</v>
      </c>
      <c r="O670" s="38" t="n">
        <f aca="false">YEAR(B670)</f>
        <v>2024</v>
      </c>
      <c r="P670" s="41" t="n">
        <f aca="false">DATE(YEAR(B670),MONTH(B670),1)</f>
        <v>45444</v>
      </c>
      <c r="Q670" s="0" t="str">
        <f aca="false">INDEX(Products!$C$2:$C$16,MATCH(E670,Products!$A$2:$A$16,0))</f>
        <v>Technology</v>
      </c>
      <c r="R670" s="0" t="str">
        <f aca="false">INDEX(Customers!$F$2:$F$101,MATCH(D670,Customers!$A$2:$A$101,0))</f>
        <v>West</v>
      </c>
      <c r="S670" s="0" t="str">
        <f aca="false">INDEX(Customers!$C$2:$C$101,MATCH(D670,Customers!$A$2:$A$101,0))</f>
        <v>Corporate</v>
      </c>
      <c r="T670" s="0" t="str">
        <f aca="false">INDEX(Customers!$D$2:$D$101,MATCH(D670,Customers!$A$2:$A$101,0))</f>
        <v>Pune</v>
      </c>
    </row>
    <row r="671" customFormat="false" ht="15" hidden="false" customHeight="false" outlineLevel="0" collapsed="false">
      <c r="A671" s="0" t="s">
        <v>942</v>
      </c>
      <c r="B671" s="37" t="n">
        <v>45672</v>
      </c>
      <c r="C671" s="37" t="n">
        <v>45676</v>
      </c>
      <c r="D671" s="38" t="s">
        <v>390</v>
      </c>
      <c r="E671" s="38" t="s">
        <v>126</v>
      </c>
      <c r="F671" s="38" t="s">
        <v>102</v>
      </c>
      <c r="G671" s="38" t="s">
        <v>170</v>
      </c>
      <c r="H671" s="0" t="n">
        <v>4</v>
      </c>
      <c r="I671" s="39" t="n">
        <v>1200</v>
      </c>
      <c r="J671" s="40" t="n">
        <v>0.1</v>
      </c>
      <c r="K671" s="39" t="n">
        <v>4320</v>
      </c>
      <c r="L671" s="39" t="n">
        <v>2800</v>
      </c>
      <c r="M671" s="39" t="n">
        <v>1520</v>
      </c>
      <c r="N671" s="38" t="s">
        <v>66</v>
      </c>
      <c r="O671" s="38" t="n">
        <f aca="false">YEAR(B671)</f>
        <v>2025</v>
      </c>
      <c r="P671" s="41" t="n">
        <f aca="false">DATE(YEAR(B671),MONTH(B671),1)</f>
        <v>45658</v>
      </c>
      <c r="Q671" s="0" t="str">
        <f aca="false">INDEX(Products!$C$2:$C$16,MATCH(E671,Products!$A$2:$A$16,0))</f>
        <v>Furniture</v>
      </c>
      <c r="R671" s="0" t="str">
        <f aca="false">INDEX(Customers!$F$2:$F$101,MATCH(D671,Customers!$A$2:$A$101,0))</f>
        <v>South</v>
      </c>
      <c r="S671" s="0" t="str">
        <f aca="false">INDEX(Customers!$C$2:$C$101,MATCH(D671,Customers!$A$2:$A$101,0))</f>
        <v>Consumer</v>
      </c>
      <c r="T671" s="0" t="str">
        <f aca="false">INDEX(Customers!$D$2:$D$101,MATCH(D671,Customers!$A$2:$A$101,0))</f>
        <v>Chennai</v>
      </c>
    </row>
    <row r="672" customFormat="false" ht="15" hidden="false" customHeight="false" outlineLevel="0" collapsed="false">
      <c r="A672" s="0" t="s">
        <v>943</v>
      </c>
      <c r="B672" s="37" t="n">
        <v>45511</v>
      </c>
      <c r="C672" s="37" t="n">
        <v>45515</v>
      </c>
      <c r="D672" s="38" t="s">
        <v>224</v>
      </c>
      <c r="E672" s="38" t="s">
        <v>121</v>
      </c>
      <c r="F672" s="38" t="s">
        <v>101</v>
      </c>
      <c r="G672" s="38" t="s">
        <v>170</v>
      </c>
      <c r="H672" s="0" t="n">
        <v>4</v>
      </c>
      <c r="I672" s="39" t="n">
        <v>180</v>
      </c>
      <c r="J672" s="40" t="n">
        <v>0.2</v>
      </c>
      <c r="K672" s="39" t="n">
        <v>576</v>
      </c>
      <c r="L672" s="39" t="n">
        <v>280</v>
      </c>
      <c r="M672" s="39" t="n">
        <v>296</v>
      </c>
      <c r="N672" s="38" t="s">
        <v>146</v>
      </c>
      <c r="O672" s="38" t="n">
        <f aca="false">YEAR(B672)</f>
        <v>2024</v>
      </c>
      <c r="P672" s="41" t="n">
        <f aca="false">DATE(YEAR(B672),MONTH(B672),1)</f>
        <v>45505</v>
      </c>
      <c r="Q672" s="0" t="str">
        <f aca="false">INDEX(Products!$C$2:$C$16,MATCH(E672,Products!$A$2:$A$16,0))</f>
        <v>Office Supplies</v>
      </c>
      <c r="R672" s="0" t="str">
        <f aca="false">INDEX(Customers!$F$2:$F$101,MATCH(D672,Customers!$A$2:$A$101,0))</f>
        <v>North</v>
      </c>
      <c r="S672" s="0" t="str">
        <f aca="false">INDEX(Customers!$C$2:$C$101,MATCH(D672,Customers!$A$2:$A$101,0))</f>
        <v>Small Business</v>
      </c>
      <c r="T672" s="0" t="str">
        <f aca="false">INDEX(Customers!$D$2:$D$101,MATCH(D672,Customers!$A$2:$A$101,0))</f>
        <v>Jaipur</v>
      </c>
    </row>
    <row r="673" customFormat="false" ht="15" hidden="false" customHeight="false" outlineLevel="0" collapsed="false">
      <c r="A673" s="0" t="s">
        <v>944</v>
      </c>
      <c r="B673" s="37" t="n">
        <v>45292</v>
      </c>
      <c r="C673" s="37" t="n">
        <v>45298</v>
      </c>
      <c r="D673" s="38" t="s">
        <v>260</v>
      </c>
      <c r="E673" s="38" t="s">
        <v>119</v>
      </c>
      <c r="F673" s="38" t="s">
        <v>102</v>
      </c>
      <c r="G673" s="38" t="s">
        <v>178</v>
      </c>
      <c r="H673" s="0" t="n">
        <v>1</v>
      </c>
      <c r="I673" s="39" t="n">
        <v>250</v>
      </c>
      <c r="J673" s="40" t="n">
        <v>0.05</v>
      </c>
      <c r="K673" s="39" t="n">
        <v>237.5</v>
      </c>
      <c r="L673" s="39" t="n">
        <v>120</v>
      </c>
      <c r="M673" s="39" t="n">
        <v>117.5</v>
      </c>
      <c r="N673" s="38" t="s">
        <v>66</v>
      </c>
      <c r="O673" s="38" t="n">
        <f aca="false">YEAR(B673)</f>
        <v>2024</v>
      </c>
      <c r="P673" s="41" t="n">
        <f aca="false">DATE(YEAR(B673),MONTH(B673),1)</f>
        <v>45292</v>
      </c>
      <c r="Q673" s="0" t="str">
        <f aca="false">INDEX(Products!$C$2:$C$16,MATCH(E673,Products!$A$2:$A$16,0))</f>
        <v>Office Supplies</v>
      </c>
      <c r="R673" s="0" t="str">
        <f aca="false">INDEX(Customers!$F$2:$F$101,MATCH(D673,Customers!$A$2:$A$101,0))</f>
        <v>West</v>
      </c>
      <c r="S673" s="0" t="str">
        <f aca="false">INDEX(Customers!$C$2:$C$101,MATCH(D673,Customers!$A$2:$A$101,0))</f>
        <v>Small Business</v>
      </c>
      <c r="T673" s="0" t="str">
        <f aca="false">INDEX(Customers!$D$2:$D$101,MATCH(D673,Customers!$A$2:$A$101,0))</f>
        <v>Mumbai</v>
      </c>
    </row>
    <row r="674" customFormat="false" ht="15" hidden="false" customHeight="false" outlineLevel="0" collapsed="false">
      <c r="A674" s="0" t="s">
        <v>945</v>
      </c>
      <c r="B674" s="37" t="n">
        <v>45599</v>
      </c>
      <c r="C674" s="37" t="n">
        <v>45601</v>
      </c>
      <c r="D674" s="38" t="s">
        <v>253</v>
      </c>
      <c r="E674" s="38" t="s">
        <v>113</v>
      </c>
      <c r="F674" s="38" t="s">
        <v>100</v>
      </c>
      <c r="G674" s="38" t="s">
        <v>170</v>
      </c>
      <c r="H674" s="0" t="n">
        <v>1</v>
      </c>
      <c r="I674" s="39" t="n">
        <v>45000</v>
      </c>
      <c r="J674" s="40" t="n">
        <v>0.05</v>
      </c>
      <c r="K674" s="39" t="n">
        <v>42750</v>
      </c>
      <c r="L674" s="39" t="n">
        <v>36000</v>
      </c>
      <c r="M674" s="39" t="n">
        <v>6750</v>
      </c>
      <c r="N674" s="38" t="s">
        <v>146</v>
      </c>
      <c r="O674" s="38" t="n">
        <f aca="false">YEAR(B674)</f>
        <v>2024</v>
      </c>
      <c r="P674" s="41" t="n">
        <f aca="false">DATE(YEAR(B674),MONTH(B674),1)</f>
        <v>45597</v>
      </c>
      <c r="Q674" s="0" t="str">
        <f aca="false">INDEX(Products!$C$2:$C$16,MATCH(E674,Products!$A$2:$A$16,0))</f>
        <v>Technology</v>
      </c>
      <c r="R674" s="0" t="str">
        <f aca="false">INDEX(Customers!$F$2:$F$101,MATCH(D674,Customers!$A$2:$A$101,0))</f>
        <v>East</v>
      </c>
      <c r="S674" s="0" t="str">
        <f aca="false">INDEX(Customers!$C$2:$C$101,MATCH(D674,Customers!$A$2:$A$101,0))</f>
        <v>Small Business</v>
      </c>
      <c r="T674" s="0" t="str">
        <f aca="false">INDEX(Customers!$D$2:$D$101,MATCH(D674,Customers!$A$2:$A$101,0))</f>
        <v>Bhubaneswar</v>
      </c>
    </row>
    <row r="675" customFormat="false" ht="15" hidden="false" customHeight="false" outlineLevel="0" collapsed="false">
      <c r="A675" s="0" t="s">
        <v>946</v>
      </c>
      <c r="B675" s="37" t="n">
        <v>45876</v>
      </c>
      <c r="C675" s="37" t="n">
        <v>45881</v>
      </c>
      <c r="D675" s="38" t="s">
        <v>447</v>
      </c>
      <c r="E675" s="38" t="s">
        <v>121</v>
      </c>
      <c r="F675" s="38" t="s">
        <v>101</v>
      </c>
      <c r="G675" s="38" t="s">
        <v>170</v>
      </c>
      <c r="H675" s="0" t="n">
        <v>1</v>
      </c>
      <c r="I675" s="39" t="n">
        <v>180</v>
      </c>
      <c r="J675" s="40" t="n">
        <v>0</v>
      </c>
      <c r="K675" s="39" t="n">
        <v>180</v>
      </c>
      <c r="L675" s="39" t="n">
        <v>70</v>
      </c>
      <c r="M675" s="39" t="n">
        <v>110</v>
      </c>
      <c r="N675" s="38" t="s">
        <v>66</v>
      </c>
      <c r="O675" s="38" t="n">
        <f aca="false">YEAR(B675)</f>
        <v>2025</v>
      </c>
      <c r="P675" s="41" t="n">
        <f aca="false">DATE(YEAR(B675),MONTH(B675),1)</f>
        <v>45870</v>
      </c>
      <c r="Q675" s="0" t="str">
        <f aca="false">INDEX(Products!$C$2:$C$16,MATCH(E675,Products!$A$2:$A$16,0))</f>
        <v>Office Supplies</v>
      </c>
      <c r="R675" s="0" t="str">
        <f aca="false">INDEX(Customers!$F$2:$F$101,MATCH(D675,Customers!$A$2:$A$101,0))</f>
        <v>North</v>
      </c>
      <c r="S675" s="0" t="str">
        <f aca="false">INDEX(Customers!$C$2:$C$101,MATCH(D675,Customers!$A$2:$A$101,0))</f>
        <v>Corporate</v>
      </c>
      <c r="T675" s="0" t="str">
        <f aca="false">INDEX(Customers!$D$2:$D$101,MATCH(D675,Customers!$A$2:$A$101,0))</f>
        <v>Jaipur</v>
      </c>
    </row>
    <row r="676" customFormat="false" ht="15" hidden="false" customHeight="false" outlineLevel="0" collapsed="false">
      <c r="A676" s="0" t="s">
        <v>947</v>
      </c>
      <c r="B676" s="37" t="n">
        <v>46202</v>
      </c>
      <c r="C676" s="37" t="n">
        <v>46207</v>
      </c>
      <c r="D676" s="38" t="s">
        <v>234</v>
      </c>
      <c r="E676" s="38" t="s">
        <v>118</v>
      </c>
      <c r="F676" s="38" t="s">
        <v>101</v>
      </c>
      <c r="G676" s="38" t="s">
        <v>178</v>
      </c>
      <c r="H676" s="0" t="n">
        <v>1</v>
      </c>
      <c r="I676" s="39" t="n">
        <v>9000</v>
      </c>
      <c r="J676" s="40" t="n">
        <v>0.05</v>
      </c>
      <c r="K676" s="39" t="n">
        <v>8550</v>
      </c>
      <c r="L676" s="39" t="n">
        <v>6500</v>
      </c>
      <c r="M676" s="39" t="n">
        <v>2050</v>
      </c>
      <c r="N676" s="38" t="s">
        <v>66</v>
      </c>
      <c r="O676" s="38" t="n">
        <f aca="false">YEAR(B676)</f>
        <v>2026</v>
      </c>
      <c r="P676" s="41" t="n">
        <f aca="false">DATE(YEAR(B676),MONTH(B676),1)</f>
        <v>46174</v>
      </c>
      <c r="Q676" s="0" t="str">
        <f aca="false">INDEX(Products!$C$2:$C$16,MATCH(E676,Products!$A$2:$A$16,0))</f>
        <v>Furniture</v>
      </c>
      <c r="R676" s="0" t="str">
        <f aca="false">INDEX(Customers!$F$2:$F$101,MATCH(D676,Customers!$A$2:$A$101,0))</f>
        <v>South</v>
      </c>
      <c r="S676" s="0" t="str">
        <f aca="false">INDEX(Customers!$C$2:$C$101,MATCH(D676,Customers!$A$2:$A$101,0))</f>
        <v>Corporate</v>
      </c>
      <c r="T676" s="0" t="str">
        <f aca="false">INDEX(Customers!$D$2:$D$101,MATCH(D676,Customers!$A$2:$A$101,0))</f>
        <v>Bengaluru</v>
      </c>
    </row>
    <row r="677" customFormat="false" ht="15" hidden="false" customHeight="false" outlineLevel="0" collapsed="false">
      <c r="A677" s="0" t="s">
        <v>948</v>
      </c>
      <c r="B677" s="37" t="n">
        <v>45514</v>
      </c>
      <c r="C677" s="37" t="n">
        <v>45520</v>
      </c>
      <c r="D677" s="38" t="s">
        <v>224</v>
      </c>
      <c r="E677" s="38" t="s">
        <v>127</v>
      </c>
      <c r="F677" s="38" t="s">
        <v>101</v>
      </c>
      <c r="G677" s="38" t="s">
        <v>173</v>
      </c>
      <c r="H677" s="0" t="n">
        <v>1</v>
      </c>
      <c r="I677" s="39" t="n">
        <v>18000</v>
      </c>
      <c r="J677" s="40" t="n">
        <v>0.05</v>
      </c>
      <c r="K677" s="39" t="n">
        <v>17100</v>
      </c>
      <c r="L677" s="39" t="n">
        <v>14000</v>
      </c>
      <c r="M677" s="39" t="n">
        <v>3100</v>
      </c>
      <c r="N677" s="38" t="s">
        <v>66</v>
      </c>
      <c r="O677" s="38" t="n">
        <f aca="false">YEAR(B677)</f>
        <v>2024</v>
      </c>
      <c r="P677" s="41" t="n">
        <f aca="false">DATE(YEAR(B677),MONTH(B677),1)</f>
        <v>45505</v>
      </c>
      <c r="Q677" s="0" t="str">
        <f aca="false">INDEX(Products!$C$2:$C$16,MATCH(E677,Products!$A$2:$A$16,0))</f>
        <v>Technology</v>
      </c>
      <c r="R677" s="0" t="str">
        <f aca="false">INDEX(Customers!$F$2:$F$101,MATCH(D677,Customers!$A$2:$A$101,0))</f>
        <v>North</v>
      </c>
      <c r="S677" s="0" t="str">
        <f aca="false">INDEX(Customers!$C$2:$C$101,MATCH(D677,Customers!$A$2:$A$101,0))</f>
        <v>Small Business</v>
      </c>
      <c r="T677" s="0" t="str">
        <f aca="false">INDEX(Customers!$D$2:$D$101,MATCH(D677,Customers!$A$2:$A$101,0))</f>
        <v>Jaipur</v>
      </c>
    </row>
    <row r="678" customFormat="false" ht="15" hidden="false" customHeight="false" outlineLevel="0" collapsed="false">
      <c r="A678" s="0" t="s">
        <v>949</v>
      </c>
      <c r="B678" s="37" t="n">
        <v>45882</v>
      </c>
      <c r="C678" s="37" t="n">
        <v>45889</v>
      </c>
      <c r="D678" s="38" t="s">
        <v>182</v>
      </c>
      <c r="E678" s="38" t="s">
        <v>124</v>
      </c>
      <c r="F678" s="38" t="s">
        <v>102</v>
      </c>
      <c r="G678" s="38" t="s">
        <v>170</v>
      </c>
      <c r="H678" s="0" t="n">
        <v>6</v>
      </c>
      <c r="I678" s="39" t="n">
        <v>3000</v>
      </c>
      <c r="J678" s="40" t="n">
        <v>0.15</v>
      </c>
      <c r="K678" s="39" t="n">
        <v>15300</v>
      </c>
      <c r="L678" s="39" t="n">
        <v>11400</v>
      </c>
      <c r="M678" s="39" t="n">
        <v>3900</v>
      </c>
      <c r="N678" s="38" t="s">
        <v>66</v>
      </c>
      <c r="O678" s="38" t="n">
        <f aca="false">YEAR(B678)</f>
        <v>2025</v>
      </c>
      <c r="P678" s="41" t="n">
        <f aca="false">DATE(YEAR(B678),MONTH(B678),1)</f>
        <v>45870</v>
      </c>
      <c r="Q678" s="0" t="str">
        <f aca="false">INDEX(Products!$C$2:$C$16,MATCH(E678,Products!$A$2:$A$16,0))</f>
        <v>Technology</v>
      </c>
      <c r="R678" s="0" t="str">
        <f aca="false">INDEX(Customers!$F$2:$F$101,MATCH(D678,Customers!$A$2:$A$101,0))</f>
        <v>North</v>
      </c>
      <c r="S678" s="0" t="str">
        <f aca="false">INDEX(Customers!$C$2:$C$101,MATCH(D678,Customers!$A$2:$A$101,0))</f>
        <v>Small Business</v>
      </c>
      <c r="T678" s="0" t="str">
        <f aca="false">INDEX(Customers!$D$2:$D$101,MATCH(D678,Customers!$A$2:$A$101,0))</f>
        <v>Gurugram</v>
      </c>
    </row>
    <row r="679" customFormat="false" ht="15" hidden="false" customHeight="false" outlineLevel="0" collapsed="false">
      <c r="A679" s="0" t="s">
        <v>950</v>
      </c>
      <c r="B679" s="37" t="n">
        <v>45372</v>
      </c>
      <c r="C679" s="37" t="n">
        <v>45379</v>
      </c>
      <c r="D679" s="38" t="s">
        <v>409</v>
      </c>
      <c r="E679" s="38" t="s">
        <v>119</v>
      </c>
      <c r="F679" s="38" t="s">
        <v>101</v>
      </c>
      <c r="G679" s="38" t="s">
        <v>170</v>
      </c>
      <c r="H679" s="0" t="n">
        <v>1</v>
      </c>
      <c r="I679" s="39" t="n">
        <v>250</v>
      </c>
      <c r="J679" s="40" t="n">
        <v>0.25</v>
      </c>
      <c r="K679" s="39" t="n">
        <v>187.5</v>
      </c>
      <c r="L679" s="39" t="n">
        <v>120</v>
      </c>
      <c r="M679" s="39" t="n">
        <v>67.5</v>
      </c>
      <c r="N679" s="38" t="s">
        <v>66</v>
      </c>
      <c r="O679" s="38" t="n">
        <f aca="false">YEAR(B679)</f>
        <v>2024</v>
      </c>
      <c r="P679" s="41" t="n">
        <f aca="false">DATE(YEAR(B679),MONTH(B679),1)</f>
        <v>45352</v>
      </c>
      <c r="Q679" s="0" t="str">
        <f aca="false">INDEX(Products!$C$2:$C$16,MATCH(E679,Products!$A$2:$A$16,0))</f>
        <v>Office Supplies</v>
      </c>
      <c r="R679" s="0" t="str">
        <f aca="false">INDEX(Customers!$F$2:$F$101,MATCH(D679,Customers!$A$2:$A$101,0))</f>
        <v>East</v>
      </c>
      <c r="S679" s="0" t="str">
        <f aca="false">INDEX(Customers!$C$2:$C$101,MATCH(D679,Customers!$A$2:$A$101,0))</f>
        <v>Small Business</v>
      </c>
      <c r="T679" s="0" t="str">
        <f aca="false">INDEX(Customers!$D$2:$D$101,MATCH(D679,Customers!$A$2:$A$101,0))</f>
        <v>Bhubaneswar</v>
      </c>
    </row>
    <row r="680" customFormat="false" ht="15" hidden="false" customHeight="false" outlineLevel="0" collapsed="false">
      <c r="A680" s="0" t="s">
        <v>951</v>
      </c>
      <c r="B680" s="37" t="n">
        <v>46244</v>
      </c>
      <c r="C680" s="37" t="n">
        <v>46251</v>
      </c>
      <c r="D680" s="38" t="s">
        <v>272</v>
      </c>
      <c r="E680" s="38" t="s">
        <v>119</v>
      </c>
      <c r="F680" s="38" t="s">
        <v>100</v>
      </c>
      <c r="G680" s="38" t="s">
        <v>188</v>
      </c>
      <c r="H680" s="0" t="n">
        <v>1</v>
      </c>
      <c r="I680" s="39" t="n">
        <v>250</v>
      </c>
      <c r="J680" s="40" t="n">
        <v>0.25</v>
      </c>
      <c r="K680" s="39" t="n">
        <v>187.5</v>
      </c>
      <c r="L680" s="39" t="n">
        <v>120</v>
      </c>
      <c r="M680" s="39" t="n">
        <v>67.5</v>
      </c>
      <c r="N680" s="38" t="s">
        <v>146</v>
      </c>
      <c r="O680" s="38" t="n">
        <f aca="false">YEAR(B680)</f>
        <v>2026</v>
      </c>
      <c r="P680" s="41" t="n">
        <f aca="false">DATE(YEAR(B680),MONTH(B680),1)</f>
        <v>46235</v>
      </c>
      <c r="Q680" s="0" t="str">
        <f aca="false">INDEX(Products!$C$2:$C$16,MATCH(E680,Products!$A$2:$A$16,0))</f>
        <v>Office Supplies</v>
      </c>
      <c r="R680" s="0" t="str">
        <f aca="false">INDEX(Customers!$F$2:$F$101,MATCH(D680,Customers!$A$2:$A$101,0))</f>
        <v>West</v>
      </c>
      <c r="S680" s="0" t="str">
        <f aca="false">INDEX(Customers!$C$2:$C$101,MATCH(D680,Customers!$A$2:$A$101,0))</f>
        <v>Corporate</v>
      </c>
      <c r="T680" s="0" t="str">
        <f aca="false">INDEX(Customers!$D$2:$D$101,MATCH(D680,Customers!$A$2:$A$101,0))</f>
        <v>Ahmedabad</v>
      </c>
    </row>
    <row r="681" customFormat="false" ht="15" hidden="false" customHeight="false" outlineLevel="0" collapsed="false">
      <c r="A681" s="0" t="s">
        <v>952</v>
      </c>
      <c r="B681" s="37" t="n">
        <v>45939</v>
      </c>
      <c r="C681" s="37" t="n">
        <v>45943</v>
      </c>
      <c r="D681" s="38" t="s">
        <v>348</v>
      </c>
      <c r="E681" s="38" t="s">
        <v>125</v>
      </c>
      <c r="F681" s="38" t="s">
        <v>100</v>
      </c>
      <c r="G681" s="38" t="s">
        <v>170</v>
      </c>
      <c r="H681" s="0" t="n">
        <v>1</v>
      </c>
      <c r="I681" s="39" t="n">
        <v>600</v>
      </c>
      <c r="J681" s="40" t="n">
        <v>0.15</v>
      </c>
      <c r="K681" s="39" t="n">
        <v>510</v>
      </c>
      <c r="L681" s="39" t="n">
        <v>350</v>
      </c>
      <c r="M681" s="39" t="n">
        <v>160</v>
      </c>
      <c r="N681" s="38" t="s">
        <v>66</v>
      </c>
      <c r="O681" s="38" t="n">
        <f aca="false">YEAR(B681)</f>
        <v>2025</v>
      </c>
      <c r="P681" s="41" t="n">
        <f aca="false">DATE(YEAR(B681),MONTH(B681),1)</f>
        <v>45931</v>
      </c>
      <c r="Q681" s="0" t="str">
        <f aca="false">INDEX(Products!$C$2:$C$16,MATCH(E681,Products!$A$2:$A$16,0))</f>
        <v>Office Supplies</v>
      </c>
      <c r="R681" s="0" t="str">
        <f aca="false">INDEX(Customers!$F$2:$F$101,MATCH(D681,Customers!$A$2:$A$101,0))</f>
        <v>East</v>
      </c>
      <c r="S681" s="0" t="str">
        <f aca="false">INDEX(Customers!$C$2:$C$101,MATCH(D681,Customers!$A$2:$A$101,0))</f>
        <v>Corporate</v>
      </c>
      <c r="T681" s="0" t="str">
        <f aca="false">INDEX(Customers!$D$2:$D$101,MATCH(D681,Customers!$A$2:$A$101,0))</f>
        <v>Kolkata</v>
      </c>
    </row>
    <row r="682" customFormat="false" ht="15" hidden="false" customHeight="false" outlineLevel="0" collapsed="false">
      <c r="A682" s="0" t="s">
        <v>953</v>
      </c>
      <c r="B682" s="37" t="n">
        <v>45806</v>
      </c>
      <c r="C682" s="37" t="n">
        <v>45812</v>
      </c>
      <c r="D682" s="38" t="s">
        <v>331</v>
      </c>
      <c r="E682" s="38" t="s">
        <v>118</v>
      </c>
      <c r="F682" s="38" t="s">
        <v>102</v>
      </c>
      <c r="G682" s="38" t="s">
        <v>185</v>
      </c>
      <c r="H682" s="0" t="n">
        <v>1</v>
      </c>
      <c r="I682" s="39" t="n">
        <v>9000</v>
      </c>
      <c r="J682" s="40" t="n">
        <v>0</v>
      </c>
      <c r="K682" s="39" t="n">
        <v>9000</v>
      </c>
      <c r="L682" s="39" t="n">
        <v>6500</v>
      </c>
      <c r="M682" s="39" t="n">
        <v>2500</v>
      </c>
      <c r="N682" s="38" t="s">
        <v>147</v>
      </c>
      <c r="O682" s="38" t="n">
        <f aca="false">YEAR(B682)</f>
        <v>2025</v>
      </c>
      <c r="P682" s="41" t="n">
        <f aca="false">DATE(YEAR(B682),MONTH(B682),1)</f>
        <v>45778</v>
      </c>
      <c r="Q682" s="0" t="str">
        <f aca="false">INDEX(Products!$C$2:$C$16,MATCH(E682,Products!$A$2:$A$16,0))</f>
        <v>Furniture</v>
      </c>
      <c r="R682" s="0" t="str">
        <f aca="false">INDEX(Customers!$F$2:$F$101,MATCH(D682,Customers!$A$2:$A$101,0))</f>
        <v>North</v>
      </c>
      <c r="S682" s="0" t="str">
        <f aca="false">INDEX(Customers!$C$2:$C$101,MATCH(D682,Customers!$A$2:$A$101,0))</f>
        <v>Corporate</v>
      </c>
      <c r="T682" s="0" t="str">
        <f aca="false">INDEX(Customers!$D$2:$D$101,MATCH(D682,Customers!$A$2:$A$101,0))</f>
        <v>Delhi</v>
      </c>
    </row>
    <row r="683" customFormat="false" ht="15" hidden="false" customHeight="false" outlineLevel="0" collapsed="false">
      <c r="A683" s="0" t="s">
        <v>954</v>
      </c>
      <c r="B683" s="37" t="n">
        <v>45881</v>
      </c>
      <c r="C683" s="37" t="n">
        <v>45886</v>
      </c>
      <c r="D683" s="38" t="s">
        <v>192</v>
      </c>
      <c r="E683" s="38" t="s">
        <v>122</v>
      </c>
      <c r="F683" s="38" t="s">
        <v>101</v>
      </c>
      <c r="G683" s="38" t="s">
        <v>185</v>
      </c>
      <c r="H683" s="0" t="n">
        <v>1</v>
      </c>
      <c r="I683" s="39" t="n">
        <v>5500</v>
      </c>
      <c r="J683" s="40" t="n">
        <v>0.1</v>
      </c>
      <c r="K683" s="39" t="n">
        <v>4950</v>
      </c>
      <c r="L683" s="39" t="n">
        <v>3700</v>
      </c>
      <c r="M683" s="39" t="n">
        <v>1250</v>
      </c>
      <c r="N683" s="38" t="s">
        <v>66</v>
      </c>
      <c r="O683" s="38" t="n">
        <f aca="false">YEAR(B683)</f>
        <v>2025</v>
      </c>
      <c r="P683" s="41" t="n">
        <f aca="false">DATE(YEAR(B683),MONTH(B683),1)</f>
        <v>45870</v>
      </c>
      <c r="Q683" s="0" t="str">
        <f aca="false">INDEX(Products!$C$2:$C$16,MATCH(E683,Products!$A$2:$A$16,0))</f>
        <v>Furniture</v>
      </c>
      <c r="R683" s="0" t="str">
        <f aca="false">INDEX(Customers!$F$2:$F$101,MATCH(D683,Customers!$A$2:$A$101,0))</f>
        <v>East</v>
      </c>
      <c r="S683" s="0" t="str">
        <f aca="false">INDEX(Customers!$C$2:$C$101,MATCH(D683,Customers!$A$2:$A$101,0))</f>
        <v>Small Business</v>
      </c>
      <c r="T683" s="0" t="str">
        <f aca="false">INDEX(Customers!$D$2:$D$101,MATCH(D683,Customers!$A$2:$A$101,0))</f>
        <v>Bhubaneswar</v>
      </c>
    </row>
    <row r="684" customFormat="false" ht="15" hidden="false" customHeight="false" outlineLevel="0" collapsed="false">
      <c r="A684" s="0" t="s">
        <v>955</v>
      </c>
      <c r="B684" s="37" t="n">
        <v>45779</v>
      </c>
      <c r="C684" s="37" t="n">
        <v>45784</v>
      </c>
      <c r="D684" s="38" t="s">
        <v>206</v>
      </c>
      <c r="E684" s="38" t="s">
        <v>114</v>
      </c>
      <c r="F684" s="38" t="s">
        <v>101</v>
      </c>
      <c r="G684" s="38" t="s">
        <v>170</v>
      </c>
      <c r="H684" s="0" t="n">
        <v>4</v>
      </c>
      <c r="I684" s="39" t="n">
        <v>800</v>
      </c>
      <c r="J684" s="40" t="n">
        <v>0.15</v>
      </c>
      <c r="K684" s="39" t="n">
        <v>2720</v>
      </c>
      <c r="L684" s="39" t="n">
        <v>1680</v>
      </c>
      <c r="M684" s="39" t="n">
        <v>1040</v>
      </c>
      <c r="N684" s="38" t="s">
        <v>66</v>
      </c>
      <c r="O684" s="38" t="n">
        <f aca="false">YEAR(B684)</f>
        <v>2025</v>
      </c>
      <c r="P684" s="41" t="n">
        <f aca="false">DATE(YEAR(B684),MONTH(B684),1)</f>
        <v>45778</v>
      </c>
      <c r="Q684" s="0" t="str">
        <f aca="false">INDEX(Products!$C$2:$C$16,MATCH(E684,Products!$A$2:$A$16,0))</f>
        <v>Technology</v>
      </c>
      <c r="R684" s="0" t="str">
        <f aca="false">INDEX(Customers!$F$2:$F$101,MATCH(D684,Customers!$A$2:$A$101,0))</f>
        <v>West</v>
      </c>
      <c r="S684" s="0" t="str">
        <f aca="false">INDEX(Customers!$C$2:$C$101,MATCH(D684,Customers!$A$2:$A$101,0))</f>
        <v>Corporate</v>
      </c>
      <c r="T684" s="0" t="str">
        <f aca="false">INDEX(Customers!$D$2:$D$101,MATCH(D684,Customers!$A$2:$A$101,0))</f>
        <v>Pune</v>
      </c>
    </row>
    <row r="685" customFormat="false" ht="15" hidden="false" customHeight="false" outlineLevel="0" collapsed="false">
      <c r="A685" s="0" t="s">
        <v>956</v>
      </c>
      <c r="B685" s="37" t="n">
        <v>46084</v>
      </c>
      <c r="C685" s="37" t="n">
        <v>46090</v>
      </c>
      <c r="D685" s="38" t="s">
        <v>190</v>
      </c>
      <c r="E685" s="38" t="s">
        <v>119</v>
      </c>
      <c r="F685" s="38" t="s">
        <v>101</v>
      </c>
      <c r="G685" s="38" t="s">
        <v>188</v>
      </c>
      <c r="H685" s="0" t="n">
        <v>1</v>
      </c>
      <c r="I685" s="39" t="n">
        <v>250</v>
      </c>
      <c r="J685" s="40" t="n">
        <v>0</v>
      </c>
      <c r="K685" s="39" t="n">
        <v>250</v>
      </c>
      <c r="L685" s="39" t="n">
        <v>120</v>
      </c>
      <c r="M685" s="39" t="n">
        <v>130</v>
      </c>
      <c r="N685" s="38" t="s">
        <v>66</v>
      </c>
      <c r="O685" s="38" t="n">
        <f aca="false">YEAR(B685)</f>
        <v>2026</v>
      </c>
      <c r="P685" s="41" t="n">
        <f aca="false">DATE(YEAR(B685),MONTH(B685),1)</f>
        <v>46082</v>
      </c>
      <c r="Q685" s="0" t="str">
        <f aca="false">INDEX(Products!$C$2:$C$16,MATCH(E685,Products!$A$2:$A$16,0))</f>
        <v>Office Supplies</v>
      </c>
      <c r="R685" s="0" t="str">
        <f aca="false">INDEX(Customers!$F$2:$F$101,MATCH(D685,Customers!$A$2:$A$101,0))</f>
        <v>East</v>
      </c>
      <c r="S685" s="0" t="str">
        <f aca="false">INDEX(Customers!$C$2:$C$101,MATCH(D685,Customers!$A$2:$A$101,0))</f>
        <v>Corporate</v>
      </c>
      <c r="T685" s="0" t="str">
        <f aca="false">INDEX(Customers!$D$2:$D$101,MATCH(D685,Customers!$A$2:$A$101,0))</f>
        <v>Kolkata</v>
      </c>
    </row>
    <row r="686" customFormat="false" ht="15" hidden="false" customHeight="false" outlineLevel="0" collapsed="false">
      <c r="A686" s="0" t="s">
        <v>957</v>
      </c>
      <c r="B686" s="37" t="n">
        <v>45877</v>
      </c>
      <c r="C686" s="37" t="n">
        <v>45879</v>
      </c>
      <c r="D686" s="38" t="s">
        <v>371</v>
      </c>
      <c r="E686" s="38" t="s">
        <v>123</v>
      </c>
      <c r="F686" s="38" t="s">
        <v>102</v>
      </c>
      <c r="G686" s="38" t="s">
        <v>173</v>
      </c>
      <c r="H686" s="0" t="n">
        <v>3</v>
      </c>
      <c r="I686" s="39" t="n">
        <v>2200</v>
      </c>
      <c r="J686" s="40" t="n">
        <v>0.2</v>
      </c>
      <c r="K686" s="39" t="n">
        <v>5280</v>
      </c>
      <c r="L686" s="39" t="n">
        <v>3900</v>
      </c>
      <c r="M686" s="39" t="n">
        <v>1380</v>
      </c>
      <c r="N686" s="38" t="s">
        <v>66</v>
      </c>
      <c r="O686" s="38" t="n">
        <f aca="false">YEAR(B686)</f>
        <v>2025</v>
      </c>
      <c r="P686" s="41" t="n">
        <f aca="false">DATE(YEAR(B686),MONTH(B686),1)</f>
        <v>45870</v>
      </c>
      <c r="Q686" s="0" t="str">
        <f aca="false">INDEX(Products!$C$2:$C$16,MATCH(E686,Products!$A$2:$A$16,0))</f>
        <v>Technology</v>
      </c>
      <c r="R686" s="0" t="str">
        <f aca="false">INDEX(Customers!$F$2:$F$101,MATCH(D686,Customers!$A$2:$A$101,0))</f>
        <v>South</v>
      </c>
      <c r="S686" s="0" t="str">
        <f aca="false">INDEX(Customers!$C$2:$C$101,MATCH(D686,Customers!$A$2:$A$101,0))</f>
        <v>Consumer</v>
      </c>
      <c r="T686" s="0" t="str">
        <f aca="false">INDEX(Customers!$D$2:$D$101,MATCH(D686,Customers!$A$2:$A$101,0))</f>
        <v>Bengaluru</v>
      </c>
    </row>
    <row r="687" customFormat="false" ht="15" hidden="false" customHeight="false" outlineLevel="0" collapsed="false">
      <c r="A687" s="0" t="s">
        <v>958</v>
      </c>
      <c r="B687" s="37" t="n">
        <v>45732</v>
      </c>
      <c r="C687" s="37" t="n">
        <v>45735</v>
      </c>
      <c r="D687" s="38" t="s">
        <v>638</v>
      </c>
      <c r="E687" s="38" t="s">
        <v>125</v>
      </c>
      <c r="F687" s="38" t="s">
        <v>100</v>
      </c>
      <c r="G687" s="38" t="s">
        <v>178</v>
      </c>
      <c r="H687" s="0" t="n">
        <v>3</v>
      </c>
      <c r="I687" s="39" t="n">
        <v>600</v>
      </c>
      <c r="J687" s="40" t="n">
        <v>0.15</v>
      </c>
      <c r="K687" s="39" t="n">
        <v>1530</v>
      </c>
      <c r="L687" s="39" t="n">
        <v>1050</v>
      </c>
      <c r="M687" s="39" t="n">
        <v>480</v>
      </c>
      <c r="N687" s="38" t="s">
        <v>66</v>
      </c>
      <c r="O687" s="38" t="n">
        <f aca="false">YEAR(B687)</f>
        <v>2025</v>
      </c>
      <c r="P687" s="41" t="n">
        <f aca="false">DATE(YEAR(B687),MONTH(B687),1)</f>
        <v>45717</v>
      </c>
      <c r="Q687" s="0" t="str">
        <f aca="false">INDEX(Products!$C$2:$C$16,MATCH(E687,Products!$A$2:$A$16,0))</f>
        <v>Office Supplies</v>
      </c>
      <c r="R687" s="0" t="str">
        <f aca="false">INDEX(Customers!$F$2:$F$101,MATCH(D687,Customers!$A$2:$A$101,0))</f>
        <v>North</v>
      </c>
      <c r="S687" s="0" t="str">
        <f aca="false">INDEX(Customers!$C$2:$C$101,MATCH(D687,Customers!$A$2:$A$101,0))</f>
        <v>Small Business</v>
      </c>
      <c r="T687" s="0" t="str">
        <f aca="false">INDEX(Customers!$D$2:$D$101,MATCH(D687,Customers!$A$2:$A$101,0))</f>
        <v>Lucknow</v>
      </c>
    </row>
    <row r="688" customFormat="false" ht="15" hidden="false" customHeight="false" outlineLevel="0" collapsed="false">
      <c r="A688" s="0" t="s">
        <v>959</v>
      </c>
      <c r="B688" s="37" t="n">
        <v>45648</v>
      </c>
      <c r="C688" s="37" t="n">
        <v>45650</v>
      </c>
      <c r="D688" s="38" t="s">
        <v>367</v>
      </c>
      <c r="E688" s="38" t="s">
        <v>118</v>
      </c>
      <c r="F688" s="38" t="s">
        <v>102</v>
      </c>
      <c r="G688" s="38" t="s">
        <v>178</v>
      </c>
      <c r="H688" s="0" t="n">
        <v>2</v>
      </c>
      <c r="I688" s="39" t="n">
        <v>9000</v>
      </c>
      <c r="J688" s="40" t="n">
        <v>0.15</v>
      </c>
      <c r="K688" s="39" t="n">
        <v>15300</v>
      </c>
      <c r="L688" s="39" t="n">
        <v>13000</v>
      </c>
      <c r="M688" s="39" t="n">
        <v>2300</v>
      </c>
      <c r="N688" s="38" t="s">
        <v>66</v>
      </c>
      <c r="O688" s="38" t="n">
        <f aca="false">YEAR(B688)</f>
        <v>2024</v>
      </c>
      <c r="P688" s="41" t="n">
        <f aca="false">DATE(YEAR(B688),MONTH(B688),1)</f>
        <v>45627</v>
      </c>
      <c r="Q688" s="0" t="str">
        <f aca="false">INDEX(Products!$C$2:$C$16,MATCH(E688,Products!$A$2:$A$16,0))</f>
        <v>Furniture</v>
      </c>
      <c r="R688" s="0" t="str">
        <f aca="false">INDEX(Customers!$F$2:$F$101,MATCH(D688,Customers!$A$2:$A$101,0))</f>
        <v>West</v>
      </c>
      <c r="S688" s="0" t="str">
        <f aca="false">INDEX(Customers!$C$2:$C$101,MATCH(D688,Customers!$A$2:$A$101,0))</f>
        <v>Corporate</v>
      </c>
      <c r="T688" s="0" t="str">
        <f aca="false">INDEX(Customers!$D$2:$D$101,MATCH(D688,Customers!$A$2:$A$101,0))</f>
        <v>Ahmedabad</v>
      </c>
    </row>
    <row r="689" customFormat="false" ht="15" hidden="false" customHeight="false" outlineLevel="0" collapsed="false">
      <c r="A689" s="0" t="s">
        <v>960</v>
      </c>
      <c r="B689" s="37" t="n">
        <v>45923</v>
      </c>
      <c r="C689" s="37" t="n">
        <v>45930</v>
      </c>
      <c r="D689" s="38" t="s">
        <v>219</v>
      </c>
      <c r="E689" s="38" t="s">
        <v>118</v>
      </c>
      <c r="F689" s="38" t="s">
        <v>102</v>
      </c>
      <c r="G689" s="38" t="s">
        <v>173</v>
      </c>
      <c r="H689" s="0" t="n">
        <v>10</v>
      </c>
      <c r="I689" s="39" t="n">
        <v>9000</v>
      </c>
      <c r="J689" s="40" t="n">
        <v>0.1</v>
      </c>
      <c r="K689" s="39" t="n">
        <v>81000</v>
      </c>
      <c r="L689" s="39" t="n">
        <v>65000</v>
      </c>
      <c r="M689" s="39" t="n">
        <v>16000</v>
      </c>
      <c r="N689" s="38" t="s">
        <v>66</v>
      </c>
      <c r="O689" s="38" t="n">
        <f aca="false">YEAR(B689)</f>
        <v>2025</v>
      </c>
      <c r="P689" s="41" t="n">
        <f aca="false">DATE(YEAR(B689),MONTH(B689),1)</f>
        <v>45901</v>
      </c>
      <c r="Q689" s="0" t="str">
        <f aca="false">INDEX(Products!$C$2:$C$16,MATCH(E689,Products!$A$2:$A$16,0))</f>
        <v>Furniture</v>
      </c>
      <c r="R689" s="0" t="str">
        <f aca="false">INDEX(Customers!$F$2:$F$101,MATCH(D689,Customers!$A$2:$A$101,0))</f>
        <v>North</v>
      </c>
      <c r="S689" s="0" t="str">
        <f aca="false">INDEX(Customers!$C$2:$C$101,MATCH(D689,Customers!$A$2:$A$101,0))</f>
        <v>Small Business</v>
      </c>
      <c r="T689" s="0" t="str">
        <f aca="false">INDEX(Customers!$D$2:$D$101,MATCH(D689,Customers!$A$2:$A$101,0))</f>
        <v>Lucknow</v>
      </c>
    </row>
    <row r="690" customFormat="false" ht="15" hidden="false" customHeight="false" outlineLevel="0" collapsed="false">
      <c r="A690" s="0" t="s">
        <v>961</v>
      </c>
      <c r="B690" s="37" t="n">
        <v>45993</v>
      </c>
      <c r="C690" s="37" t="n">
        <v>45996</v>
      </c>
      <c r="D690" s="38" t="s">
        <v>314</v>
      </c>
      <c r="E690" s="38" t="s">
        <v>116</v>
      </c>
      <c r="F690" s="38" t="s">
        <v>100</v>
      </c>
      <c r="G690" s="38" t="s">
        <v>178</v>
      </c>
      <c r="H690" s="0" t="n">
        <v>1</v>
      </c>
      <c r="I690" s="39" t="n">
        <v>12000</v>
      </c>
      <c r="J690" s="40" t="n">
        <v>0.2</v>
      </c>
      <c r="K690" s="39" t="n">
        <v>9600</v>
      </c>
      <c r="L690" s="39" t="n">
        <v>9000</v>
      </c>
      <c r="M690" s="39" t="n">
        <v>600</v>
      </c>
      <c r="N690" s="38" t="s">
        <v>66</v>
      </c>
      <c r="O690" s="38" t="n">
        <f aca="false">YEAR(B690)</f>
        <v>2025</v>
      </c>
      <c r="P690" s="41" t="n">
        <f aca="false">DATE(YEAR(B690),MONTH(B690),1)</f>
        <v>45992</v>
      </c>
      <c r="Q690" s="0" t="str">
        <f aca="false">INDEX(Products!$C$2:$C$16,MATCH(E690,Products!$A$2:$A$16,0))</f>
        <v>Technology</v>
      </c>
      <c r="R690" s="0" t="str">
        <f aca="false">INDEX(Customers!$F$2:$F$101,MATCH(D690,Customers!$A$2:$A$101,0))</f>
        <v>North</v>
      </c>
      <c r="S690" s="0" t="str">
        <f aca="false">INDEX(Customers!$C$2:$C$101,MATCH(D690,Customers!$A$2:$A$101,0))</f>
        <v>Consumer</v>
      </c>
      <c r="T690" s="0" t="str">
        <f aca="false">INDEX(Customers!$D$2:$D$101,MATCH(D690,Customers!$A$2:$A$101,0))</f>
        <v>Gurugram</v>
      </c>
    </row>
    <row r="691" customFormat="false" ht="15" hidden="false" customHeight="false" outlineLevel="0" collapsed="false">
      <c r="A691" s="0" t="s">
        <v>962</v>
      </c>
      <c r="B691" s="37" t="n">
        <v>46240</v>
      </c>
      <c r="C691" s="37" t="n">
        <v>46242</v>
      </c>
      <c r="D691" s="38" t="s">
        <v>230</v>
      </c>
      <c r="E691" s="38" t="s">
        <v>122</v>
      </c>
      <c r="F691" s="38" t="s">
        <v>101</v>
      </c>
      <c r="G691" s="38" t="s">
        <v>178</v>
      </c>
      <c r="H691" s="0" t="n">
        <v>5</v>
      </c>
      <c r="I691" s="39" t="n">
        <v>5500</v>
      </c>
      <c r="J691" s="40" t="n">
        <v>0.25</v>
      </c>
      <c r="K691" s="39" t="n">
        <v>20625</v>
      </c>
      <c r="L691" s="39" t="n">
        <v>18500</v>
      </c>
      <c r="M691" s="39" t="n">
        <v>2125</v>
      </c>
      <c r="N691" s="38" t="s">
        <v>66</v>
      </c>
      <c r="O691" s="38" t="n">
        <f aca="false">YEAR(B691)</f>
        <v>2026</v>
      </c>
      <c r="P691" s="41" t="n">
        <f aca="false">DATE(YEAR(B691),MONTH(B691),1)</f>
        <v>46235</v>
      </c>
      <c r="Q691" s="0" t="str">
        <f aca="false">INDEX(Products!$C$2:$C$16,MATCH(E691,Products!$A$2:$A$16,0))</f>
        <v>Furniture</v>
      </c>
      <c r="R691" s="0" t="str">
        <f aca="false">INDEX(Customers!$F$2:$F$101,MATCH(D691,Customers!$A$2:$A$101,0))</f>
        <v>East</v>
      </c>
      <c r="S691" s="0" t="str">
        <f aca="false">INDEX(Customers!$C$2:$C$101,MATCH(D691,Customers!$A$2:$A$101,0))</f>
        <v>Consumer</v>
      </c>
      <c r="T691" s="0" t="str">
        <f aca="false">INDEX(Customers!$D$2:$D$101,MATCH(D691,Customers!$A$2:$A$101,0))</f>
        <v>Kolkata</v>
      </c>
    </row>
    <row r="692" customFormat="false" ht="15" hidden="false" customHeight="false" outlineLevel="0" collapsed="false">
      <c r="A692" s="0" t="s">
        <v>963</v>
      </c>
      <c r="B692" s="37" t="n">
        <v>45752</v>
      </c>
      <c r="C692" s="37" t="n">
        <v>45756</v>
      </c>
      <c r="D692" s="38" t="s">
        <v>369</v>
      </c>
      <c r="E692" s="38" t="s">
        <v>117</v>
      </c>
      <c r="F692" s="38" t="s">
        <v>102</v>
      </c>
      <c r="G692" s="38" t="s">
        <v>188</v>
      </c>
      <c r="H692" s="0" t="n">
        <v>1</v>
      </c>
      <c r="I692" s="39" t="n">
        <v>6500</v>
      </c>
      <c r="J692" s="40" t="n">
        <v>0</v>
      </c>
      <c r="K692" s="39" t="n">
        <v>6500</v>
      </c>
      <c r="L692" s="39" t="n">
        <v>4200</v>
      </c>
      <c r="M692" s="39" t="n">
        <v>2300</v>
      </c>
      <c r="N692" s="38" t="s">
        <v>66</v>
      </c>
      <c r="O692" s="38" t="n">
        <f aca="false">YEAR(B692)</f>
        <v>2025</v>
      </c>
      <c r="P692" s="41" t="n">
        <f aca="false">DATE(YEAR(B692),MONTH(B692),1)</f>
        <v>45748</v>
      </c>
      <c r="Q692" s="0" t="str">
        <f aca="false">INDEX(Products!$C$2:$C$16,MATCH(E692,Products!$A$2:$A$16,0))</f>
        <v>Furniture</v>
      </c>
      <c r="R692" s="0" t="str">
        <f aca="false">INDEX(Customers!$F$2:$F$101,MATCH(D692,Customers!$A$2:$A$101,0))</f>
        <v>West</v>
      </c>
      <c r="S692" s="0" t="str">
        <f aca="false">INDEX(Customers!$C$2:$C$101,MATCH(D692,Customers!$A$2:$A$101,0))</f>
        <v>Consumer</v>
      </c>
      <c r="T692" s="0" t="str">
        <f aca="false">INDEX(Customers!$D$2:$D$101,MATCH(D692,Customers!$A$2:$A$101,0))</f>
        <v>Mumbai</v>
      </c>
    </row>
    <row r="693" customFormat="false" ht="15" hidden="false" customHeight="false" outlineLevel="0" collapsed="false">
      <c r="A693" s="0" t="s">
        <v>964</v>
      </c>
      <c r="B693" s="37" t="n">
        <v>46060</v>
      </c>
      <c r="C693" s="37" t="n">
        <v>46063</v>
      </c>
      <c r="D693" s="38" t="s">
        <v>204</v>
      </c>
      <c r="E693" s="38" t="s">
        <v>121</v>
      </c>
      <c r="F693" s="38" t="s">
        <v>102</v>
      </c>
      <c r="G693" s="38" t="s">
        <v>173</v>
      </c>
      <c r="H693" s="0" t="n">
        <v>2</v>
      </c>
      <c r="I693" s="39" t="n">
        <v>180</v>
      </c>
      <c r="J693" s="40" t="n">
        <v>0.15</v>
      </c>
      <c r="K693" s="39" t="n">
        <v>306</v>
      </c>
      <c r="L693" s="39" t="n">
        <v>140</v>
      </c>
      <c r="M693" s="39" t="n">
        <v>166</v>
      </c>
      <c r="N693" s="38" t="s">
        <v>66</v>
      </c>
      <c r="O693" s="38" t="n">
        <f aca="false">YEAR(B693)</f>
        <v>2026</v>
      </c>
      <c r="P693" s="41" t="n">
        <f aca="false">DATE(YEAR(B693),MONTH(B693),1)</f>
        <v>46054</v>
      </c>
      <c r="Q693" s="0" t="str">
        <f aca="false">INDEX(Products!$C$2:$C$16,MATCH(E693,Products!$A$2:$A$16,0))</f>
        <v>Office Supplies</v>
      </c>
      <c r="R693" s="0" t="str">
        <f aca="false">INDEX(Customers!$F$2:$F$101,MATCH(D693,Customers!$A$2:$A$101,0))</f>
        <v>South</v>
      </c>
      <c r="S693" s="0" t="str">
        <f aca="false">INDEX(Customers!$C$2:$C$101,MATCH(D693,Customers!$A$2:$A$101,0))</f>
        <v>Small Business</v>
      </c>
      <c r="T693" s="0" t="str">
        <f aca="false">INDEX(Customers!$D$2:$D$101,MATCH(D693,Customers!$A$2:$A$101,0))</f>
        <v>Bengaluru</v>
      </c>
    </row>
    <row r="694" customFormat="false" ht="15" hidden="false" customHeight="false" outlineLevel="0" collapsed="false">
      <c r="A694" s="0" t="s">
        <v>965</v>
      </c>
      <c r="B694" s="37" t="n">
        <v>45677</v>
      </c>
      <c r="C694" s="37" t="n">
        <v>45682</v>
      </c>
      <c r="D694" s="38" t="s">
        <v>232</v>
      </c>
      <c r="E694" s="38" t="s">
        <v>113</v>
      </c>
      <c r="F694" s="38" t="s">
        <v>100</v>
      </c>
      <c r="G694" s="38" t="s">
        <v>170</v>
      </c>
      <c r="H694" s="0" t="n">
        <v>6</v>
      </c>
      <c r="I694" s="39" t="n">
        <v>45000</v>
      </c>
      <c r="J694" s="40" t="n">
        <v>0.15</v>
      </c>
      <c r="K694" s="39" t="n">
        <v>229500</v>
      </c>
      <c r="L694" s="39" t="n">
        <v>216000</v>
      </c>
      <c r="M694" s="39" t="n">
        <v>13500</v>
      </c>
      <c r="N694" s="38" t="s">
        <v>66</v>
      </c>
      <c r="O694" s="38" t="n">
        <f aca="false">YEAR(B694)</f>
        <v>2025</v>
      </c>
      <c r="P694" s="41" t="n">
        <f aca="false">DATE(YEAR(B694),MONTH(B694),1)</f>
        <v>45658</v>
      </c>
      <c r="Q694" s="0" t="str">
        <f aca="false">INDEX(Products!$C$2:$C$16,MATCH(E694,Products!$A$2:$A$16,0))</f>
        <v>Technology</v>
      </c>
      <c r="R694" s="0" t="str">
        <f aca="false">INDEX(Customers!$F$2:$F$101,MATCH(D694,Customers!$A$2:$A$101,0))</f>
        <v>West</v>
      </c>
      <c r="S694" s="0" t="str">
        <f aca="false">INDEX(Customers!$C$2:$C$101,MATCH(D694,Customers!$A$2:$A$101,0))</f>
        <v>Consumer</v>
      </c>
      <c r="T694" s="0" t="str">
        <f aca="false">INDEX(Customers!$D$2:$D$101,MATCH(D694,Customers!$A$2:$A$101,0))</f>
        <v>Ahmedabad</v>
      </c>
    </row>
    <row r="695" customFormat="false" ht="15" hidden="false" customHeight="false" outlineLevel="0" collapsed="false">
      <c r="A695" s="0" t="s">
        <v>966</v>
      </c>
      <c r="B695" s="37" t="n">
        <v>46100</v>
      </c>
      <c r="C695" s="37" t="n">
        <v>46106</v>
      </c>
      <c r="D695" s="38" t="s">
        <v>175</v>
      </c>
      <c r="E695" s="38" t="s">
        <v>116</v>
      </c>
      <c r="F695" s="38" t="s">
        <v>101</v>
      </c>
      <c r="G695" s="38" t="s">
        <v>178</v>
      </c>
      <c r="H695" s="0" t="n">
        <v>3</v>
      </c>
      <c r="I695" s="39" t="n">
        <v>12000</v>
      </c>
      <c r="J695" s="40" t="n">
        <v>0</v>
      </c>
      <c r="K695" s="39" t="n">
        <v>36000</v>
      </c>
      <c r="L695" s="39" t="n">
        <v>27000</v>
      </c>
      <c r="M695" s="39" t="n">
        <v>9000</v>
      </c>
      <c r="N695" s="38" t="s">
        <v>66</v>
      </c>
      <c r="O695" s="38" t="n">
        <f aca="false">YEAR(B695)</f>
        <v>2026</v>
      </c>
      <c r="P695" s="41" t="n">
        <f aca="false">DATE(YEAR(B695),MONTH(B695),1)</f>
        <v>46082</v>
      </c>
      <c r="Q695" s="0" t="str">
        <f aca="false">INDEX(Products!$C$2:$C$16,MATCH(E695,Products!$A$2:$A$16,0))</f>
        <v>Technology</v>
      </c>
      <c r="R695" s="0" t="str">
        <f aca="false">INDEX(Customers!$F$2:$F$101,MATCH(D695,Customers!$A$2:$A$101,0))</f>
        <v>North</v>
      </c>
      <c r="S695" s="0" t="str">
        <f aca="false">INDEX(Customers!$C$2:$C$101,MATCH(D695,Customers!$A$2:$A$101,0))</f>
        <v>Corporate</v>
      </c>
      <c r="T695" s="0" t="str">
        <f aca="false">INDEX(Customers!$D$2:$D$101,MATCH(D695,Customers!$A$2:$A$101,0))</f>
        <v>Jaipur</v>
      </c>
    </row>
    <row r="696" customFormat="false" ht="15" hidden="false" customHeight="false" outlineLevel="0" collapsed="false">
      <c r="A696" s="0" t="s">
        <v>967</v>
      </c>
      <c r="B696" s="37" t="n">
        <v>45970</v>
      </c>
      <c r="C696" s="37" t="n">
        <v>45977</v>
      </c>
      <c r="D696" s="38" t="s">
        <v>522</v>
      </c>
      <c r="E696" s="38" t="s">
        <v>117</v>
      </c>
      <c r="F696" s="38" t="s">
        <v>100</v>
      </c>
      <c r="G696" s="38" t="s">
        <v>178</v>
      </c>
      <c r="H696" s="0" t="n">
        <v>6</v>
      </c>
      <c r="I696" s="39" t="n">
        <v>6500</v>
      </c>
      <c r="J696" s="40" t="n">
        <v>0.05</v>
      </c>
      <c r="K696" s="39" t="n">
        <v>37050</v>
      </c>
      <c r="L696" s="39" t="n">
        <v>25200</v>
      </c>
      <c r="M696" s="39" t="n">
        <v>11850</v>
      </c>
      <c r="N696" s="38" t="s">
        <v>66</v>
      </c>
      <c r="O696" s="38" t="n">
        <f aca="false">YEAR(B696)</f>
        <v>2025</v>
      </c>
      <c r="P696" s="41" t="n">
        <f aca="false">DATE(YEAR(B696),MONTH(B696),1)</f>
        <v>45962</v>
      </c>
      <c r="Q696" s="0" t="str">
        <f aca="false">INDEX(Products!$C$2:$C$16,MATCH(E696,Products!$A$2:$A$16,0))</f>
        <v>Furniture</v>
      </c>
      <c r="R696" s="0" t="str">
        <f aca="false">INDEX(Customers!$F$2:$F$101,MATCH(D696,Customers!$A$2:$A$101,0))</f>
        <v>West</v>
      </c>
      <c r="S696" s="0" t="str">
        <f aca="false">INDEX(Customers!$C$2:$C$101,MATCH(D696,Customers!$A$2:$A$101,0))</f>
        <v>Consumer</v>
      </c>
      <c r="T696" s="0" t="str">
        <f aca="false">INDEX(Customers!$D$2:$D$101,MATCH(D696,Customers!$A$2:$A$101,0))</f>
        <v>Ahmedabad</v>
      </c>
    </row>
    <row r="697" customFormat="false" ht="15" hidden="false" customHeight="false" outlineLevel="0" collapsed="false">
      <c r="A697" s="0" t="s">
        <v>968</v>
      </c>
      <c r="B697" s="37" t="n">
        <v>45528</v>
      </c>
      <c r="C697" s="37" t="n">
        <v>45532</v>
      </c>
      <c r="D697" s="38" t="s">
        <v>215</v>
      </c>
      <c r="E697" s="38" t="s">
        <v>119</v>
      </c>
      <c r="F697" s="38" t="s">
        <v>100</v>
      </c>
      <c r="G697" s="38" t="s">
        <v>170</v>
      </c>
      <c r="H697" s="0" t="n">
        <v>2</v>
      </c>
      <c r="I697" s="39" t="n">
        <v>250</v>
      </c>
      <c r="J697" s="40" t="n">
        <v>0.2</v>
      </c>
      <c r="K697" s="39" t="n">
        <v>400</v>
      </c>
      <c r="L697" s="39" t="n">
        <v>240</v>
      </c>
      <c r="M697" s="39" t="n">
        <v>160</v>
      </c>
      <c r="N697" s="38" t="s">
        <v>66</v>
      </c>
      <c r="O697" s="38" t="n">
        <f aca="false">YEAR(B697)</f>
        <v>2024</v>
      </c>
      <c r="P697" s="41" t="n">
        <f aca="false">DATE(YEAR(B697),MONTH(B697),1)</f>
        <v>45505</v>
      </c>
      <c r="Q697" s="0" t="str">
        <f aca="false">INDEX(Products!$C$2:$C$16,MATCH(E697,Products!$A$2:$A$16,0))</f>
        <v>Office Supplies</v>
      </c>
      <c r="R697" s="0" t="str">
        <f aca="false">INDEX(Customers!$F$2:$F$101,MATCH(D697,Customers!$A$2:$A$101,0))</f>
        <v>North</v>
      </c>
      <c r="S697" s="0" t="str">
        <f aca="false">INDEX(Customers!$C$2:$C$101,MATCH(D697,Customers!$A$2:$A$101,0))</f>
        <v>Consumer</v>
      </c>
      <c r="T697" s="0" t="str">
        <f aca="false">INDEX(Customers!$D$2:$D$101,MATCH(D697,Customers!$A$2:$A$101,0))</f>
        <v>Jaipur</v>
      </c>
    </row>
    <row r="698" customFormat="false" ht="15" hidden="false" customHeight="false" outlineLevel="0" collapsed="false">
      <c r="A698" s="0" t="s">
        <v>969</v>
      </c>
      <c r="B698" s="37" t="n">
        <v>45382</v>
      </c>
      <c r="C698" s="37" t="n">
        <v>45384</v>
      </c>
      <c r="D698" s="38" t="s">
        <v>266</v>
      </c>
      <c r="E698" s="38" t="s">
        <v>121</v>
      </c>
      <c r="F698" s="38" t="s">
        <v>102</v>
      </c>
      <c r="G698" s="38" t="s">
        <v>178</v>
      </c>
      <c r="H698" s="0" t="n">
        <v>1</v>
      </c>
      <c r="I698" s="39" t="n">
        <v>180</v>
      </c>
      <c r="J698" s="40" t="n">
        <v>0.1</v>
      </c>
      <c r="K698" s="39" t="n">
        <v>162</v>
      </c>
      <c r="L698" s="39" t="n">
        <v>70</v>
      </c>
      <c r="M698" s="39" t="n">
        <v>92</v>
      </c>
      <c r="N698" s="38" t="s">
        <v>66</v>
      </c>
      <c r="O698" s="38" t="n">
        <f aca="false">YEAR(B698)</f>
        <v>2024</v>
      </c>
      <c r="P698" s="41" t="n">
        <f aca="false">DATE(YEAR(B698),MONTH(B698),1)</f>
        <v>45352</v>
      </c>
      <c r="Q698" s="0" t="str">
        <f aca="false">INDEX(Products!$C$2:$C$16,MATCH(E698,Products!$A$2:$A$16,0))</f>
        <v>Office Supplies</v>
      </c>
      <c r="R698" s="0" t="str">
        <f aca="false">INDEX(Customers!$F$2:$F$101,MATCH(D698,Customers!$A$2:$A$101,0))</f>
        <v>West</v>
      </c>
      <c r="S698" s="0" t="str">
        <f aca="false">INDEX(Customers!$C$2:$C$101,MATCH(D698,Customers!$A$2:$A$101,0))</f>
        <v>Consumer</v>
      </c>
      <c r="T698" s="0" t="str">
        <f aca="false">INDEX(Customers!$D$2:$D$101,MATCH(D698,Customers!$A$2:$A$101,0))</f>
        <v>Pune</v>
      </c>
    </row>
    <row r="699" customFormat="false" ht="15" hidden="false" customHeight="false" outlineLevel="0" collapsed="false">
      <c r="A699" s="0" t="s">
        <v>970</v>
      </c>
      <c r="B699" s="37" t="n">
        <v>45633</v>
      </c>
      <c r="C699" s="37" t="n">
        <v>45637</v>
      </c>
      <c r="D699" s="38" t="s">
        <v>379</v>
      </c>
      <c r="E699" s="38" t="s">
        <v>117</v>
      </c>
      <c r="F699" s="38" t="s">
        <v>100</v>
      </c>
      <c r="G699" s="38" t="s">
        <v>170</v>
      </c>
      <c r="H699" s="0" t="n">
        <v>2</v>
      </c>
      <c r="I699" s="39" t="n">
        <v>6500</v>
      </c>
      <c r="J699" s="40" t="n">
        <v>0</v>
      </c>
      <c r="K699" s="39" t="n">
        <v>13000</v>
      </c>
      <c r="L699" s="39" t="n">
        <v>8400</v>
      </c>
      <c r="M699" s="39" t="n">
        <v>4600</v>
      </c>
      <c r="N699" s="38" t="s">
        <v>66</v>
      </c>
      <c r="O699" s="38" t="n">
        <f aca="false">YEAR(B699)</f>
        <v>2024</v>
      </c>
      <c r="P699" s="41" t="n">
        <f aca="false">DATE(YEAR(B699),MONTH(B699),1)</f>
        <v>45627</v>
      </c>
      <c r="Q699" s="0" t="str">
        <f aca="false">INDEX(Products!$C$2:$C$16,MATCH(E699,Products!$A$2:$A$16,0))</f>
        <v>Furniture</v>
      </c>
      <c r="R699" s="0" t="str">
        <f aca="false">INDEX(Customers!$F$2:$F$101,MATCH(D699,Customers!$A$2:$A$101,0))</f>
        <v>North</v>
      </c>
      <c r="S699" s="0" t="str">
        <f aca="false">INDEX(Customers!$C$2:$C$101,MATCH(D699,Customers!$A$2:$A$101,0))</f>
        <v>Consumer</v>
      </c>
      <c r="T699" s="0" t="str">
        <f aca="false">INDEX(Customers!$D$2:$D$101,MATCH(D699,Customers!$A$2:$A$101,0))</f>
        <v>Lucknow</v>
      </c>
    </row>
    <row r="700" customFormat="false" ht="15" hidden="false" customHeight="false" outlineLevel="0" collapsed="false">
      <c r="A700" s="0" t="s">
        <v>971</v>
      </c>
      <c r="B700" s="37" t="n">
        <v>45601</v>
      </c>
      <c r="C700" s="37" t="n">
        <v>45603</v>
      </c>
      <c r="D700" s="38" t="s">
        <v>202</v>
      </c>
      <c r="E700" s="38" t="s">
        <v>123</v>
      </c>
      <c r="F700" s="38" t="s">
        <v>101</v>
      </c>
      <c r="G700" s="38" t="s">
        <v>178</v>
      </c>
      <c r="H700" s="0" t="n">
        <v>10</v>
      </c>
      <c r="I700" s="39" t="n">
        <v>2200</v>
      </c>
      <c r="J700" s="40" t="n">
        <v>0.15</v>
      </c>
      <c r="K700" s="39" t="n">
        <v>18700</v>
      </c>
      <c r="L700" s="39" t="n">
        <v>13000</v>
      </c>
      <c r="M700" s="39" t="n">
        <v>5700</v>
      </c>
      <c r="N700" s="38" t="s">
        <v>66</v>
      </c>
      <c r="O700" s="38" t="n">
        <f aca="false">YEAR(B700)</f>
        <v>2024</v>
      </c>
      <c r="P700" s="41" t="n">
        <f aca="false">DATE(YEAR(B700),MONTH(B700),1)</f>
        <v>45597</v>
      </c>
      <c r="Q700" s="0" t="str">
        <f aca="false">INDEX(Products!$C$2:$C$16,MATCH(E700,Products!$A$2:$A$16,0))</f>
        <v>Technology</v>
      </c>
      <c r="R700" s="0" t="str">
        <f aca="false">INDEX(Customers!$F$2:$F$101,MATCH(D700,Customers!$A$2:$A$101,0))</f>
        <v>South</v>
      </c>
      <c r="S700" s="0" t="str">
        <f aca="false">INDEX(Customers!$C$2:$C$101,MATCH(D700,Customers!$A$2:$A$101,0))</f>
        <v>Corporate</v>
      </c>
      <c r="T700" s="0" t="str">
        <f aca="false">INDEX(Customers!$D$2:$D$101,MATCH(D700,Customers!$A$2:$A$101,0))</f>
        <v>Hyderabad</v>
      </c>
    </row>
    <row r="701" customFormat="false" ht="15" hidden="false" customHeight="false" outlineLevel="0" collapsed="false">
      <c r="A701" s="0" t="s">
        <v>972</v>
      </c>
      <c r="B701" s="37" t="n">
        <v>46126</v>
      </c>
      <c r="C701" s="37" t="n">
        <v>46127</v>
      </c>
      <c r="D701" s="38" t="s">
        <v>473</v>
      </c>
      <c r="E701" s="38" t="s">
        <v>127</v>
      </c>
      <c r="F701" s="38" t="s">
        <v>100</v>
      </c>
      <c r="G701" s="38" t="s">
        <v>173</v>
      </c>
      <c r="H701" s="0" t="n">
        <v>8</v>
      </c>
      <c r="I701" s="39" t="n">
        <v>18000</v>
      </c>
      <c r="J701" s="40" t="n">
        <v>0.05</v>
      </c>
      <c r="K701" s="39" t="n">
        <v>136800</v>
      </c>
      <c r="L701" s="39" t="n">
        <v>112000</v>
      </c>
      <c r="M701" s="39" t="n">
        <v>24800</v>
      </c>
      <c r="N701" s="38" t="s">
        <v>66</v>
      </c>
      <c r="O701" s="38" t="n">
        <f aca="false">YEAR(B701)</f>
        <v>2026</v>
      </c>
      <c r="P701" s="41" t="n">
        <f aca="false">DATE(YEAR(B701),MONTH(B701),1)</f>
        <v>46113</v>
      </c>
      <c r="Q701" s="0" t="str">
        <f aca="false">INDEX(Products!$C$2:$C$16,MATCH(E701,Products!$A$2:$A$16,0))</f>
        <v>Technology</v>
      </c>
      <c r="R701" s="0" t="str">
        <f aca="false">INDEX(Customers!$F$2:$F$101,MATCH(D701,Customers!$A$2:$A$101,0))</f>
        <v>North</v>
      </c>
      <c r="S701" s="0" t="str">
        <f aca="false">INDEX(Customers!$C$2:$C$101,MATCH(D701,Customers!$A$2:$A$101,0))</f>
        <v>Consumer</v>
      </c>
      <c r="T701" s="0" t="str">
        <f aca="false">INDEX(Customers!$D$2:$D$101,MATCH(D701,Customers!$A$2:$A$101,0))</f>
        <v>Gurugram</v>
      </c>
    </row>
    <row r="702" customFormat="false" ht="15" hidden="false" customHeight="false" outlineLevel="0" collapsed="false">
      <c r="A702" s="0" t="s">
        <v>973</v>
      </c>
      <c r="B702" s="37" t="n">
        <v>45432</v>
      </c>
      <c r="C702" s="37" t="n">
        <v>45433</v>
      </c>
      <c r="D702" s="38" t="s">
        <v>371</v>
      </c>
      <c r="E702" s="38" t="s">
        <v>123</v>
      </c>
      <c r="F702" s="38" t="s">
        <v>102</v>
      </c>
      <c r="G702" s="38" t="s">
        <v>188</v>
      </c>
      <c r="H702" s="0" t="n">
        <v>4</v>
      </c>
      <c r="I702" s="39" t="n">
        <v>2200</v>
      </c>
      <c r="J702" s="40" t="n">
        <v>0.15</v>
      </c>
      <c r="K702" s="39" t="n">
        <v>7480</v>
      </c>
      <c r="L702" s="39" t="n">
        <v>5200</v>
      </c>
      <c r="M702" s="39" t="n">
        <v>2280</v>
      </c>
      <c r="N702" s="38" t="s">
        <v>66</v>
      </c>
      <c r="O702" s="38" t="n">
        <f aca="false">YEAR(B702)</f>
        <v>2024</v>
      </c>
      <c r="P702" s="41" t="n">
        <f aca="false">DATE(YEAR(B702),MONTH(B702),1)</f>
        <v>45413</v>
      </c>
      <c r="Q702" s="0" t="str">
        <f aca="false">INDEX(Products!$C$2:$C$16,MATCH(E702,Products!$A$2:$A$16,0))</f>
        <v>Technology</v>
      </c>
      <c r="R702" s="0" t="str">
        <f aca="false">INDEX(Customers!$F$2:$F$101,MATCH(D702,Customers!$A$2:$A$101,0))</f>
        <v>South</v>
      </c>
      <c r="S702" s="0" t="str">
        <f aca="false">INDEX(Customers!$C$2:$C$101,MATCH(D702,Customers!$A$2:$A$101,0))</f>
        <v>Consumer</v>
      </c>
      <c r="T702" s="0" t="str">
        <f aca="false">INDEX(Customers!$D$2:$D$101,MATCH(D702,Customers!$A$2:$A$101,0))</f>
        <v>Bengaluru</v>
      </c>
    </row>
    <row r="703" customFormat="false" ht="15" hidden="false" customHeight="false" outlineLevel="0" collapsed="false">
      <c r="A703" s="0" t="s">
        <v>974</v>
      </c>
      <c r="B703" s="37" t="n">
        <v>45719</v>
      </c>
      <c r="C703" s="37" t="n">
        <v>45721</v>
      </c>
      <c r="D703" s="38" t="s">
        <v>312</v>
      </c>
      <c r="E703" s="38" t="s">
        <v>116</v>
      </c>
      <c r="F703" s="38" t="s">
        <v>101</v>
      </c>
      <c r="G703" s="38" t="s">
        <v>188</v>
      </c>
      <c r="H703" s="0" t="n">
        <v>3</v>
      </c>
      <c r="I703" s="39" t="n">
        <v>12000</v>
      </c>
      <c r="J703" s="40" t="n">
        <v>0.1</v>
      </c>
      <c r="K703" s="39" t="n">
        <v>32400</v>
      </c>
      <c r="L703" s="39" t="n">
        <v>27000</v>
      </c>
      <c r="M703" s="39" t="n">
        <v>5400</v>
      </c>
      <c r="N703" s="38" t="s">
        <v>66</v>
      </c>
      <c r="O703" s="38" t="n">
        <f aca="false">YEAR(B703)</f>
        <v>2025</v>
      </c>
      <c r="P703" s="41" t="n">
        <f aca="false">DATE(YEAR(B703),MONTH(B703),1)</f>
        <v>45717</v>
      </c>
      <c r="Q703" s="0" t="str">
        <f aca="false">INDEX(Products!$C$2:$C$16,MATCH(E703,Products!$A$2:$A$16,0))</f>
        <v>Technology</v>
      </c>
      <c r="R703" s="0" t="str">
        <f aca="false">INDEX(Customers!$F$2:$F$101,MATCH(D703,Customers!$A$2:$A$101,0))</f>
        <v>North</v>
      </c>
      <c r="S703" s="0" t="str">
        <f aca="false">INDEX(Customers!$C$2:$C$101,MATCH(D703,Customers!$A$2:$A$101,0))</f>
        <v>Corporate</v>
      </c>
      <c r="T703" s="0" t="str">
        <f aca="false">INDEX(Customers!$D$2:$D$101,MATCH(D703,Customers!$A$2:$A$101,0))</f>
        <v>Delhi</v>
      </c>
    </row>
    <row r="704" customFormat="false" ht="15" hidden="false" customHeight="false" outlineLevel="0" collapsed="false">
      <c r="A704" s="0" t="s">
        <v>975</v>
      </c>
      <c r="B704" s="37" t="n">
        <v>45503</v>
      </c>
      <c r="C704" s="37" t="n">
        <v>45509</v>
      </c>
      <c r="D704" s="38" t="s">
        <v>204</v>
      </c>
      <c r="E704" s="38" t="s">
        <v>115</v>
      </c>
      <c r="F704" s="38" t="s">
        <v>102</v>
      </c>
      <c r="G704" s="38" t="s">
        <v>173</v>
      </c>
      <c r="H704" s="0" t="n">
        <v>1</v>
      </c>
      <c r="I704" s="39" t="n">
        <v>1500</v>
      </c>
      <c r="J704" s="40" t="n">
        <v>0.15</v>
      </c>
      <c r="K704" s="39" t="n">
        <v>1275</v>
      </c>
      <c r="L704" s="39" t="n">
        <v>850</v>
      </c>
      <c r="M704" s="39" t="n">
        <v>425</v>
      </c>
      <c r="N704" s="38" t="s">
        <v>66</v>
      </c>
      <c r="O704" s="38" t="n">
        <f aca="false">YEAR(B704)</f>
        <v>2024</v>
      </c>
      <c r="P704" s="41" t="n">
        <f aca="false">DATE(YEAR(B704),MONTH(B704),1)</f>
        <v>45474</v>
      </c>
      <c r="Q704" s="0" t="str">
        <f aca="false">INDEX(Products!$C$2:$C$16,MATCH(E704,Products!$A$2:$A$16,0))</f>
        <v>Technology</v>
      </c>
      <c r="R704" s="0" t="str">
        <f aca="false">INDEX(Customers!$F$2:$F$101,MATCH(D704,Customers!$A$2:$A$101,0))</f>
        <v>South</v>
      </c>
      <c r="S704" s="0" t="str">
        <f aca="false">INDEX(Customers!$C$2:$C$101,MATCH(D704,Customers!$A$2:$A$101,0))</f>
        <v>Small Business</v>
      </c>
      <c r="T704" s="0" t="str">
        <f aca="false">INDEX(Customers!$D$2:$D$101,MATCH(D704,Customers!$A$2:$A$101,0))</f>
        <v>Bengaluru</v>
      </c>
    </row>
    <row r="705" customFormat="false" ht="15" hidden="false" customHeight="false" outlineLevel="0" collapsed="false">
      <c r="A705" s="0" t="s">
        <v>976</v>
      </c>
      <c r="B705" s="37" t="n">
        <v>46014</v>
      </c>
      <c r="C705" s="37" t="n">
        <v>46019</v>
      </c>
      <c r="D705" s="38" t="s">
        <v>257</v>
      </c>
      <c r="E705" s="38" t="s">
        <v>124</v>
      </c>
      <c r="F705" s="38" t="s">
        <v>100</v>
      </c>
      <c r="G705" s="38" t="s">
        <v>188</v>
      </c>
      <c r="H705" s="0" t="n">
        <v>6</v>
      </c>
      <c r="I705" s="39" t="n">
        <v>3000</v>
      </c>
      <c r="J705" s="40" t="n">
        <v>0.1</v>
      </c>
      <c r="K705" s="39" t="n">
        <v>16200</v>
      </c>
      <c r="L705" s="39" t="n">
        <v>11400</v>
      </c>
      <c r="M705" s="39" t="n">
        <v>4800</v>
      </c>
      <c r="N705" s="38" t="s">
        <v>146</v>
      </c>
      <c r="O705" s="38" t="n">
        <f aca="false">YEAR(B705)</f>
        <v>2025</v>
      </c>
      <c r="P705" s="41" t="n">
        <f aca="false">DATE(YEAR(B705),MONTH(B705),1)</f>
        <v>45992</v>
      </c>
      <c r="Q705" s="0" t="str">
        <f aca="false">INDEX(Products!$C$2:$C$16,MATCH(E705,Products!$A$2:$A$16,0))</f>
        <v>Technology</v>
      </c>
      <c r="R705" s="0" t="str">
        <f aca="false">INDEX(Customers!$F$2:$F$101,MATCH(D705,Customers!$A$2:$A$101,0))</f>
        <v>West</v>
      </c>
      <c r="S705" s="0" t="str">
        <f aca="false">INDEX(Customers!$C$2:$C$101,MATCH(D705,Customers!$A$2:$A$101,0))</f>
        <v>Consumer</v>
      </c>
      <c r="T705" s="0" t="str">
        <f aca="false">INDEX(Customers!$D$2:$D$101,MATCH(D705,Customers!$A$2:$A$101,0))</f>
        <v>Pune</v>
      </c>
    </row>
    <row r="706" customFormat="false" ht="15" hidden="false" customHeight="false" outlineLevel="0" collapsed="false">
      <c r="A706" s="0" t="s">
        <v>977</v>
      </c>
      <c r="B706" s="37" t="n">
        <v>45862</v>
      </c>
      <c r="C706" s="37" t="n">
        <v>45867</v>
      </c>
      <c r="D706" s="38" t="s">
        <v>298</v>
      </c>
      <c r="E706" s="38" t="s">
        <v>114</v>
      </c>
      <c r="F706" s="38" t="s">
        <v>100</v>
      </c>
      <c r="G706" s="38" t="s">
        <v>170</v>
      </c>
      <c r="H706" s="0" t="n">
        <v>8</v>
      </c>
      <c r="I706" s="39" t="n">
        <v>800</v>
      </c>
      <c r="J706" s="40" t="n">
        <v>0</v>
      </c>
      <c r="K706" s="39" t="n">
        <v>6400</v>
      </c>
      <c r="L706" s="39" t="n">
        <v>3360</v>
      </c>
      <c r="M706" s="39" t="n">
        <v>3040</v>
      </c>
      <c r="N706" s="38" t="s">
        <v>66</v>
      </c>
      <c r="O706" s="38" t="n">
        <f aca="false">YEAR(B706)</f>
        <v>2025</v>
      </c>
      <c r="P706" s="41" t="n">
        <f aca="false">DATE(YEAR(B706),MONTH(B706),1)</f>
        <v>45839</v>
      </c>
      <c r="Q706" s="0" t="str">
        <f aca="false">INDEX(Products!$C$2:$C$16,MATCH(E706,Products!$A$2:$A$16,0))</f>
        <v>Technology</v>
      </c>
      <c r="R706" s="0" t="str">
        <f aca="false">INDEX(Customers!$F$2:$F$101,MATCH(D706,Customers!$A$2:$A$101,0))</f>
        <v>North</v>
      </c>
      <c r="S706" s="0" t="str">
        <f aca="false">INDEX(Customers!$C$2:$C$101,MATCH(D706,Customers!$A$2:$A$101,0))</f>
        <v>Consumer</v>
      </c>
      <c r="T706" s="0" t="str">
        <f aca="false">INDEX(Customers!$D$2:$D$101,MATCH(D706,Customers!$A$2:$A$101,0))</f>
        <v>Lucknow</v>
      </c>
    </row>
    <row r="707" customFormat="false" ht="15" hidden="false" customHeight="false" outlineLevel="0" collapsed="false">
      <c r="A707" s="0" t="s">
        <v>978</v>
      </c>
      <c r="B707" s="37" t="n">
        <v>45322</v>
      </c>
      <c r="C707" s="37" t="n">
        <v>45329</v>
      </c>
      <c r="D707" s="38" t="s">
        <v>338</v>
      </c>
      <c r="E707" s="38" t="s">
        <v>124</v>
      </c>
      <c r="F707" s="38" t="s">
        <v>101</v>
      </c>
      <c r="G707" s="38" t="s">
        <v>170</v>
      </c>
      <c r="H707" s="0" t="n">
        <v>2</v>
      </c>
      <c r="I707" s="39" t="n">
        <v>3000</v>
      </c>
      <c r="J707" s="40" t="n">
        <v>0.1</v>
      </c>
      <c r="K707" s="39" t="n">
        <v>5400</v>
      </c>
      <c r="L707" s="39" t="n">
        <v>3800</v>
      </c>
      <c r="M707" s="39" t="n">
        <v>1600</v>
      </c>
      <c r="N707" s="38" t="s">
        <v>66</v>
      </c>
      <c r="O707" s="38" t="n">
        <f aca="false">YEAR(B707)</f>
        <v>2024</v>
      </c>
      <c r="P707" s="41" t="n">
        <f aca="false">DATE(YEAR(B707),MONTH(B707),1)</f>
        <v>45292</v>
      </c>
      <c r="Q707" s="0" t="str">
        <f aca="false">INDEX(Products!$C$2:$C$16,MATCH(E707,Products!$A$2:$A$16,0))</f>
        <v>Technology</v>
      </c>
      <c r="R707" s="0" t="str">
        <f aca="false">INDEX(Customers!$F$2:$F$101,MATCH(D707,Customers!$A$2:$A$101,0))</f>
        <v>East</v>
      </c>
      <c r="S707" s="0" t="str">
        <f aca="false">INDEX(Customers!$C$2:$C$101,MATCH(D707,Customers!$A$2:$A$101,0))</f>
        <v>Small Business</v>
      </c>
      <c r="T707" s="0" t="str">
        <f aca="false">INDEX(Customers!$D$2:$D$101,MATCH(D707,Customers!$A$2:$A$101,0))</f>
        <v>Bhubaneswar</v>
      </c>
    </row>
    <row r="708" customFormat="false" ht="15" hidden="false" customHeight="false" outlineLevel="0" collapsed="false">
      <c r="A708" s="0" t="s">
        <v>979</v>
      </c>
      <c r="B708" s="37" t="n">
        <v>46048</v>
      </c>
      <c r="C708" s="37" t="n">
        <v>46051</v>
      </c>
      <c r="D708" s="38" t="s">
        <v>348</v>
      </c>
      <c r="E708" s="38" t="s">
        <v>127</v>
      </c>
      <c r="F708" s="38" t="s">
        <v>100</v>
      </c>
      <c r="G708" s="38" t="s">
        <v>173</v>
      </c>
      <c r="H708" s="0" t="n">
        <v>1</v>
      </c>
      <c r="I708" s="39" t="n">
        <v>18000</v>
      </c>
      <c r="J708" s="40" t="n">
        <v>0</v>
      </c>
      <c r="K708" s="39" t="n">
        <v>18000</v>
      </c>
      <c r="L708" s="39" t="n">
        <v>14000</v>
      </c>
      <c r="M708" s="39" t="n">
        <v>4000</v>
      </c>
      <c r="N708" s="38" t="s">
        <v>66</v>
      </c>
      <c r="O708" s="38" t="n">
        <f aca="false">YEAR(B708)</f>
        <v>2026</v>
      </c>
      <c r="P708" s="41" t="n">
        <f aca="false">DATE(YEAR(B708),MONTH(B708),1)</f>
        <v>46023</v>
      </c>
      <c r="Q708" s="0" t="str">
        <f aca="false">INDEX(Products!$C$2:$C$16,MATCH(E708,Products!$A$2:$A$16,0))</f>
        <v>Technology</v>
      </c>
      <c r="R708" s="0" t="str">
        <f aca="false">INDEX(Customers!$F$2:$F$101,MATCH(D708,Customers!$A$2:$A$101,0))</f>
        <v>East</v>
      </c>
      <c r="S708" s="0" t="str">
        <f aca="false">INDEX(Customers!$C$2:$C$101,MATCH(D708,Customers!$A$2:$A$101,0))</f>
        <v>Corporate</v>
      </c>
      <c r="T708" s="0" t="str">
        <f aca="false">INDEX(Customers!$D$2:$D$101,MATCH(D708,Customers!$A$2:$A$101,0))</f>
        <v>Kolkata</v>
      </c>
    </row>
    <row r="709" customFormat="false" ht="15" hidden="false" customHeight="false" outlineLevel="0" collapsed="false">
      <c r="A709" s="0" t="s">
        <v>980</v>
      </c>
      <c r="B709" s="37" t="n">
        <v>45923</v>
      </c>
      <c r="C709" s="37" t="n">
        <v>45926</v>
      </c>
      <c r="D709" s="38" t="s">
        <v>270</v>
      </c>
      <c r="E709" s="38" t="s">
        <v>122</v>
      </c>
      <c r="F709" s="38" t="s">
        <v>100</v>
      </c>
      <c r="G709" s="38" t="s">
        <v>188</v>
      </c>
      <c r="H709" s="0" t="n">
        <v>3</v>
      </c>
      <c r="I709" s="39" t="n">
        <v>5500</v>
      </c>
      <c r="J709" s="40" t="n">
        <v>0.15</v>
      </c>
      <c r="K709" s="39" t="n">
        <v>14025</v>
      </c>
      <c r="L709" s="39" t="n">
        <v>11100</v>
      </c>
      <c r="M709" s="39" t="n">
        <v>2925</v>
      </c>
      <c r="N709" s="38" t="s">
        <v>66</v>
      </c>
      <c r="O709" s="38" t="n">
        <f aca="false">YEAR(B709)</f>
        <v>2025</v>
      </c>
      <c r="P709" s="41" t="n">
        <f aca="false">DATE(YEAR(B709),MONTH(B709),1)</f>
        <v>45901</v>
      </c>
      <c r="Q709" s="0" t="str">
        <f aca="false">INDEX(Products!$C$2:$C$16,MATCH(E709,Products!$A$2:$A$16,0))</f>
        <v>Furniture</v>
      </c>
      <c r="R709" s="0" t="str">
        <f aca="false">INDEX(Customers!$F$2:$F$101,MATCH(D709,Customers!$A$2:$A$101,0))</f>
        <v>West</v>
      </c>
      <c r="S709" s="0" t="str">
        <f aca="false">INDEX(Customers!$C$2:$C$101,MATCH(D709,Customers!$A$2:$A$101,0))</f>
        <v>Small Business</v>
      </c>
      <c r="T709" s="0" t="str">
        <f aca="false">INDEX(Customers!$D$2:$D$101,MATCH(D709,Customers!$A$2:$A$101,0))</f>
        <v>Pune</v>
      </c>
    </row>
    <row r="710" customFormat="false" ht="15" hidden="false" customHeight="false" outlineLevel="0" collapsed="false">
      <c r="A710" s="0" t="s">
        <v>981</v>
      </c>
      <c r="B710" s="37" t="n">
        <v>45659</v>
      </c>
      <c r="C710" s="37" t="n">
        <v>45660</v>
      </c>
      <c r="D710" s="38" t="s">
        <v>312</v>
      </c>
      <c r="E710" s="38" t="s">
        <v>113</v>
      </c>
      <c r="F710" s="38" t="s">
        <v>100</v>
      </c>
      <c r="G710" s="38" t="s">
        <v>188</v>
      </c>
      <c r="H710" s="0" t="n">
        <v>3</v>
      </c>
      <c r="I710" s="39" t="n">
        <v>45000</v>
      </c>
      <c r="J710" s="40" t="n">
        <v>0.1</v>
      </c>
      <c r="K710" s="39" t="n">
        <v>121500</v>
      </c>
      <c r="L710" s="39" t="n">
        <v>108000</v>
      </c>
      <c r="M710" s="39" t="n">
        <v>13500</v>
      </c>
      <c r="N710" s="38" t="s">
        <v>66</v>
      </c>
      <c r="O710" s="38" t="n">
        <f aca="false">YEAR(B710)</f>
        <v>2025</v>
      </c>
      <c r="P710" s="41" t="n">
        <f aca="false">DATE(YEAR(B710),MONTH(B710),1)</f>
        <v>45658</v>
      </c>
      <c r="Q710" s="0" t="str">
        <f aca="false">INDEX(Products!$C$2:$C$16,MATCH(E710,Products!$A$2:$A$16,0))</f>
        <v>Technology</v>
      </c>
      <c r="R710" s="0" t="str">
        <f aca="false">INDEX(Customers!$F$2:$F$101,MATCH(D710,Customers!$A$2:$A$101,0))</f>
        <v>North</v>
      </c>
      <c r="S710" s="0" t="str">
        <f aca="false">INDEX(Customers!$C$2:$C$101,MATCH(D710,Customers!$A$2:$A$101,0))</f>
        <v>Corporate</v>
      </c>
      <c r="T710" s="0" t="str">
        <f aca="false">INDEX(Customers!$D$2:$D$101,MATCH(D710,Customers!$A$2:$A$101,0))</f>
        <v>Delhi</v>
      </c>
    </row>
    <row r="711" customFormat="false" ht="15" hidden="false" customHeight="false" outlineLevel="0" collapsed="false">
      <c r="A711" s="0" t="s">
        <v>982</v>
      </c>
      <c r="B711" s="37" t="n">
        <v>45957</v>
      </c>
      <c r="C711" s="37" t="n">
        <v>45960</v>
      </c>
      <c r="D711" s="38" t="s">
        <v>213</v>
      </c>
      <c r="E711" s="38" t="s">
        <v>124</v>
      </c>
      <c r="F711" s="38" t="s">
        <v>101</v>
      </c>
      <c r="G711" s="38" t="s">
        <v>185</v>
      </c>
      <c r="H711" s="0" t="n">
        <v>1</v>
      </c>
      <c r="I711" s="39" t="n">
        <v>3000</v>
      </c>
      <c r="J711" s="40" t="n">
        <v>0.1</v>
      </c>
      <c r="K711" s="39" t="n">
        <v>2700</v>
      </c>
      <c r="L711" s="39" t="n">
        <v>1900</v>
      </c>
      <c r="M711" s="39" t="n">
        <v>800</v>
      </c>
      <c r="N711" s="38" t="s">
        <v>66</v>
      </c>
      <c r="O711" s="38" t="n">
        <f aca="false">YEAR(B711)</f>
        <v>2025</v>
      </c>
      <c r="P711" s="41" t="n">
        <f aca="false">DATE(YEAR(B711),MONTH(B711),1)</f>
        <v>45931</v>
      </c>
      <c r="Q711" s="0" t="str">
        <f aca="false">INDEX(Products!$C$2:$C$16,MATCH(E711,Products!$A$2:$A$16,0))</f>
        <v>Technology</v>
      </c>
      <c r="R711" s="0" t="str">
        <f aca="false">INDEX(Customers!$F$2:$F$101,MATCH(D711,Customers!$A$2:$A$101,0))</f>
        <v>North</v>
      </c>
      <c r="S711" s="0" t="str">
        <f aca="false">INDEX(Customers!$C$2:$C$101,MATCH(D711,Customers!$A$2:$A$101,0))</f>
        <v>Small Business</v>
      </c>
      <c r="T711" s="0" t="str">
        <f aca="false">INDEX(Customers!$D$2:$D$101,MATCH(D711,Customers!$A$2:$A$101,0))</f>
        <v>Gurugram</v>
      </c>
    </row>
    <row r="712" customFormat="false" ht="15" hidden="false" customHeight="false" outlineLevel="0" collapsed="false">
      <c r="A712" s="0" t="s">
        <v>983</v>
      </c>
      <c r="B712" s="37" t="n">
        <v>45325</v>
      </c>
      <c r="C712" s="37" t="n">
        <v>45329</v>
      </c>
      <c r="D712" s="38" t="s">
        <v>236</v>
      </c>
      <c r="E712" s="38" t="s">
        <v>116</v>
      </c>
      <c r="F712" s="38" t="s">
        <v>101</v>
      </c>
      <c r="G712" s="38" t="s">
        <v>185</v>
      </c>
      <c r="H712" s="0" t="n">
        <v>4</v>
      </c>
      <c r="I712" s="39" t="n">
        <v>12000</v>
      </c>
      <c r="J712" s="40" t="n">
        <v>0</v>
      </c>
      <c r="K712" s="39" t="n">
        <v>48000</v>
      </c>
      <c r="L712" s="39" t="n">
        <v>36000</v>
      </c>
      <c r="M712" s="39" t="n">
        <v>12000</v>
      </c>
      <c r="N712" s="38" t="s">
        <v>66</v>
      </c>
      <c r="O712" s="38" t="n">
        <f aca="false">YEAR(B712)</f>
        <v>2024</v>
      </c>
      <c r="P712" s="41" t="n">
        <f aca="false">DATE(YEAR(B712),MONTH(B712),1)</f>
        <v>45323</v>
      </c>
      <c r="Q712" s="0" t="str">
        <f aca="false">INDEX(Products!$C$2:$C$16,MATCH(E712,Products!$A$2:$A$16,0))</f>
        <v>Technology</v>
      </c>
      <c r="R712" s="0" t="str">
        <f aca="false">INDEX(Customers!$F$2:$F$101,MATCH(D712,Customers!$A$2:$A$101,0))</f>
        <v>West</v>
      </c>
      <c r="S712" s="0" t="str">
        <f aca="false">INDEX(Customers!$C$2:$C$101,MATCH(D712,Customers!$A$2:$A$101,0))</f>
        <v>Small Business</v>
      </c>
      <c r="T712" s="0" t="str">
        <f aca="false">INDEX(Customers!$D$2:$D$101,MATCH(D712,Customers!$A$2:$A$101,0))</f>
        <v>Pune</v>
      </c>
    </row>
    <row r="713" customFormat="false" ht="15" hidden="false" customHeight="false" outlineLevel="0" collapsed="false">
      <c r="A713" s="0" t="s">
        <v>984</v>
      </c>
      <c r="B713" s="37" t="n">
        <v>46067</v>
      </c>
      <c r="C713" s="37" t="n">
        <v>46069</v>
      </c>
      <c r="D713" s="38" t="s">
        <v>232</v>
      </c>
      <c r="E713" s="38" t="s">
        <v>116</v>
      </c>
      <c r="F713" s="38" t="s">
        <v>102</v>
      </c>
      <c r="G713" s="38" t="s">
        <v>185</v>
      </c>
      <c r="H713" s="0" t="n">
        <v>1</v>
      </c>
      <c r="I713" s="39" t="n">
        <v>12000</v>
      </c>
      <c r="J713" s="40" t="n">
        <v>0.1</v>
      </c>
      <c r="K713" s="39" t="n">
        <v>10800</v>
      </c>
      <c r="L713" s="39" t="n">
        <v>9000</v>
      </c>
      <c r="M713" s="39" t="n">
        <v>1800</v>
      </c>
      <c r="N713" s="38" t="s">
        <v>66</v>
      </c>
      <c r="O713" s="38" t="n">
        <f aca="false">YEAR(B713)</f>
        <v>2026</v>
      </c>
      <c r="P713" s="41" t="n">
        <f aca="false">DATE(YEAR(B713),MONTH(B713),1)</f>
        <v>46054</v>
      </c>
      <c r="Q713" s="0" t="str">
        <f aca="false">INDEX(Products!$C$2:$C$16,MATCH(E713,Products!$A$2:$A$16,0))</f>
        <v>Technology</v>
      </c>
      <c r="R713" s="0" t="str">
        <f aca="false">INDEX(Customers!$F$2:$F$101,MATCH(D713,Customers!$A$2:$A$101,0))</f>
        <v>West</v>
      </c>
      <c r="S713" s="0" t="str">
        <f aca="false">INDEX(Customers!$C$2:$C$101,MATCH(D713,Customers!$A$2:$A$101,0))</f>
        <v>Consumer</v>
      </c>
      <c r="T713" s="0" t="str">
        <f aca="false">INDEX(Customers!$D$2:$D$101,MATCH(D713,Customers!$A$2:$A$101,0))</f>
        <v>Ahmedabad</v>
      </c>
    </row>
    <row r="714" customFormat="false" ht="15" hidden="false" customHeight="false" outlineLevel="0" collapsed="false">
      <c r="A714" s="0" t="s">
        <v>985</v>
      </c>
      <c r="B714" s="37" t="n">
        <v>45544</v>
      </c>
      <c r="C714" s="37" t="n">
        <v>45548</v>
      </c>
      <c r="D714" s="38" t="s">
        <v>227</v>
      </c>
      <c r="E714" s="38" t="s">
        <v>127</v>
      </c>
      <c r="F714" s="38" t="s">
        <v>102</v>
      </c>
      <c r="G714" s="38" t="s">
        <v>185</v>
      </c>
      <c r="H714" s="0" t="n">
        <v>2</v>
      </c>
      <c r="I714" s="39" t="n">
        <v>18000</v>
      </c>
      <c r="J714" s="40" t="n">
        <v>0</v>
      </c>
      <c r="K714" s="39" t="n">
        <v>36000</v>
      </c>
      <c r="L714" s="39" t="n">
        <v>28000</v>
      </c>
      <c r="M714" s="39" t="n">
        <v>8000</v>
      </c>
      <c r="N714" s="38" t="s">
        <v>66</v>
      </c>
      <c r="O714" s="38" t="n">
        <f aca="false">YEAR(B714)</f>
        <v>2024</v>
      </c>
      <c r="P714" s="41" t="n">
        <f aca="false">DATE(YEAR(B714),MONTH(B714),1)</f>
        <v>45536</v>
      </c>
      <c r="Q714" s="0" t="str">
        <f aca="false">INDEX(Products!$C$2:$C$16,MATCH(E714,Products!$A$2:$A$16,0))</f>
        <v>Technology</v>
      </c>
      <c r="R714" s="0" t="str">
        <f aca="false">INDEX(Customers!$F$2:$F$101,MATCH(D714,Customers!$A$2:$A$101,0))</f>
        <v>North</v>
      </c>
      <c r="S714" s="0" t="str">
        <f aca="false">INDEX(Customers!$C$2:$C$101,MATCH(D714,Customers!$A$2:$A$101,0))</f>
        <v>Consumer</v>
      </c>
      <c r="T714" s="0" t="str">
        <f aca="false">INDEX(Customers!$D$2:$D$101,MATCH(D714,Customers!$A$2:$A$101,0))</f>
        <v>Delhi</v>
      </c>
    </row>
    <row r="715" customFormat="false" ht="15" hidden="false" customHeight="false" outlineLevel="0" collapsed="false">
      <c r="A715" s="0" t="s">
        <v>986</v>
      </c>
      <c r="B715" s="37" t="n">
        <v>46253</v>
      </c>
      <c r="C715" s="37" t="n">
        <v>46259</v>
      </c>
      <c r="D715" s="38" t="s">
        <v>371</v>
      </c>
      <c r="E715" s="38" t="s">
        <v>122</v>
      </c>
      <c r="F715" s="38" t="s">
        <v>102</v>
      </c>
      <c r="G715" s="38" t="s">
        <v>178</v>
      </c>
      <c r="H715" s="0" t="n">
        <v>3</v>
      </c>
      <c r="I715" s="39" t="n">
        <v>5500</v>
      </c>
      <c r="J715" s="40" t="n">
        <v>0.15</v>
      </c>
      <c r="K715" s="39" t="n">
        <v>14025</v>
      </c>
      <c r="L715" s="39" t="n">
        <v>11100</v>
      </c>
      <c r="M715" s="39" t="n">
        <v>2925</v>
      </c>
      <c r="N715" s="38" t="s">
        <v>66</v>
      </c>
      <c r="O715" s="38" t="n">
        <f aca="false">YEAR(B715)</f>
        <v>2026</v>
      </c>
      <c r="P715" s="41" t="n">
        <f aca="false">DATE(YEAR(B715),MONTH(B715),1)</f>
        <v>46235</v>
      </c>
      <c r="Q715" s="0" t="str">
        <f aca="false">INDEX(Products!$C$2:$C$16,MATCH(E715,Products!$A$2:$A$16,0))</f>
        <v>Furniture</v>
      </c>
      <c r="R715" s="0" t="str">
        <f aca="false">INDEX(Customers!$F$2:$F$101,MATCH(D715,Customers!$A$2:$A$101,0))</f>
        <v>South</v>
      </c>
      <c r="S715" s="0" t="str">
        <f aca="false">INDEX(Customers!$C$2:$C$101,MATCH(D715,Customers!$A$2:$A$101,0))</f>
        <v>Consumer</v>
      </c>
      <c r="T715" s="0" t="str">
        <f aca="false">INDEX(Customers!$D$2:$D$101,MATCH(D715,Customers!$A$2:$A$101,0))</f>
        <v>Bengaluru</v>
      </c>
    </row>
    <row r="716" customFormat="false" ht="15" hidden="false" customHeight="false" outlineLevel="0" collapsed="false">
      <c r="A716" s="0" t="s">
        <v>987</v>
      </c>
      <c r="B716" s="37" t="n">
        <v>46138</v>
      </c>
      <c r="C716" s="37" t="n">
        <v>46139</v>
      </c>
      <c r="D716" s="38" t="s">
        <v>260</v>
      </c>
      <c r="E716" s="38" t="s">
        <v>120</v>
      </c>
      <c r="F716" s="38" t="s">
        <v>102</v>
      </c>
      <c r="G716" s="38" t="s">
        <v>188</v>
      </c>
      <c r="H716" s="0" t="n">
        <v>5</v>
      </c>
      <c r="I716" s="39" t="n">
        <v>400</v>
      </c>
      <c r="J716" s="40" t="n">
        <v>0</v>
      </c>
      <c r="K716" s="39" t="n">
        <v>2000</v>
      </c>
      <c r="L716" s="39" t="n">
        <v>1300</v>
      </c>
      <c r="M716" s="39" t="n">
        <v>700</v>
      </c>
      <c r="N716" s="38" t="s">
        <v>66</v>
      </c>
      <c r="O716" s="38" t="n">
        <f aca="false">YEAR(B716)</f>
        <v>2026</v>
      </c>
      <c r="P716" s="41" t="n">
        <f aca="false">DATE(YEAR(B716),MONTH(B716),1)</f>
        <v>46113</v>
      </c>
      <c r="Q716" s="0" t="str">
        <f aca="false">INDEX(Products!$C$2:$C$16,MATCH(E716,Products!$A$2:$A$16,0))</f>
        <v>Office Supplies</v>
      </c>
      <c r="R716" s="0" t="str">
        <f aca="false">INDEX(Customers!$F$2:$F$101,MATCH(D716,Customers!$A$2:$A$101,0))</f>
        <v>West</v>
      </c>
      <c r="S716" s="0" t="str">
        <f aca="false">INDEX(Customers!$C$2:$C$101,MATCH(D716,Customers!$A$2:$A$101,0))</f>
        <v>Small Business</v>
      </c>
      <c r="T716" s="0" t="str">
        <f aca="false">INDEX(Customers!$D$2:$D$101,MATCH(D716,Customers!$A$2:$A$101,0))</f>
        <v>Mumbai</v>
      </c>
    </row>
    <row r="717" customFormat="false" ht="15" hidden="false" customHeight="false" outlineLevel="0" collapsed="false">
      <c r="A717" s="0" t="s">
        <v>988</v>
      </c>
      <c r="B717" s="37" t="n">
        <v>45863</v>
      </c>
      <c r="C717" s="37" t="n">
        <v>45867</v>
      </c>
      <c r="D717" s="38" t="s">
        <v>341</v>
      </c>
      <c r="E717" s="38" t="s">
        <v>113</v>
      </c>
      <c r="F717" s="38" t="s">
        <v>100</v>
      </c>
      <c r="G717" s="38" t="s">
        <v>173</v>
      </c>
      <c r="H717" s="0" t="n">
        <v>2</v>
      </c>
      <c r="I717" s="39" t="n">
        <v>45000</v>
      </c>
      <c r="J717" s="40" t="n">
        <v>0.2</v>
      </c>
      <c r="K717" s="39" t="n">
        <v>72000</v>
      </c>
      <c r="L717" s="39" t="n">
        <v>72000</v>
      </c>
      <c r="M717" s="39" t="n">
        <v>0</v>
      </c>
      <c r="N717" s="38" t="s">
        <v>66</v>
      </c>
      <c r="O717" s="38" t="n">
        <f aca="false">YEAR(B717)</f>
        <v>2025</v>
      </c>
      <c r="P717" s="41" t="n">
        <f aca="false">DATE(YEAR(B717),MONTH(B717),1)</f>
        <v>45839</v>
      </c>
      <c r="Q717" s="0" t="str">
        <f aca="false">INDEX(Products!$C$2:$C$16,MATCH(E717,Products!$A$2:$A$16,0))</f>
        <v>Technology</v>
      </c>
      <c r="R717" s="0" t="str">
        <f aca="false">INDEX(Customers!$F$2:$F$101,MATCH(D717,Customers!$A$2:$A$101,0))</f>
        <v>North</v>
      </c>
      <c r="S717" s="0" t="str">
        <f aca="false">INDEX(Customers!$C$2:$C$101,MATCH(D717,Customers!$A$2:$A$101,0))</f>
        <v>Corporate</v>
      </c>
      <c r="T717" s="0" t="str">
        <f aca="false">INDEX(Customers!$D$2:$D$101,MATCH(D717,Customers!$A$2:$A$101,0))</f>
        <v>Delhi</v>
      </c>
    </row>
    <row r="718" customFormat="false" ht="15" hidden="false" customHeight="false" outlineLevel="0" collapsed="false">
      <c r="A718" s="0" t="s">
        <v>989</v>
      </c>
      <c r="B718" s="37" t="n">
        <v>45603</v>
      </c>
      <c r="C718" s="37" t="n">
        <v>45610</v>
      </c>
      <c r="D718" s="38" t="s">
        <v>371</v>
      </c>
      <c r="E718" s="38" t="s">
        <v>127</v>
      </c>
      <c r="F718" s="38" t="s">
        <v>100</v>
      </c>
      <c r="G718" s="38" t="s">
        <v>185</v>
      </c>
      <c r="H718" s="0" t="n">
        <v>5</v>
      </c>
      <c r="I718" s="39" t="n">
        <v>18000</v>
      </c>
      <c r="J718" s="40" t="n">
        <v>0.1</v>
      </c>
      <c r="K718" s="39" t="n">
        <v>81000</v>
      </c>
      <c r="L718" s="39" t="n">
        <v>70000</v>
      </c>
      <c r="M718" s="39" t="n">
        <v>11000</v>
      </c>
      <c r="N718" s="38" t="s">
        <v>66</v>
      </c>
      <c r="O718" s="38" t="n">
        <f aca="false">YEAR(B718)</f>
        <v>2024</v>
      </c>
      <c r="P718" s="41" t="n">
        <f aca="false">DATE(YEAR(B718),MONTH(B718),1)</f>
        <v>45597</v>
      </c>
      <c r="Q718" s="0" t="str">
        <f aca="false">INDEX(Products!$C$2:$C$16,MATCH(E718,Products!$A$2:$A$16,0))</f>
        <v>Technology</v>
      </c>
      <c r="R718" s="0" t="str">
        <f aca="false">INDEX(Customers!$F$2:$F$101,MATCH(D718,Customers!$A$2:$A$101,0))</f>
        <v>South</v>
      </c>
      <c r="S718" s="0" t="str">
        <f aca="false">INDEX(Customers!$C$2:$C$101,MATCH(D718,Customers!$A$2:$A$101,0))</f>
        <v>Consumer</v>
      </c>
      <c r="T718" s="0" t="str">
        <f aca="false">INDEX(Customers!$D$2:$D$101,MATCH(D718,Customers!$A$2:$A$101,0))</f>
        <v>Bengaluru</v>
      </c>
    </row>
    <row r="719" customFormat="false" ht="15" hidden="false" customHeight="false" outlineLevel="0" collapsed="false">
      <c r="A719" s="0" t="s">
        <v>990</v>
      </c>
      <c r="B719" s="37" t="n">
        <v>45821</v>
      </c>
      <c r="C719" s="37" t="n">
        <v>45823</v>
      </c>
      <c r="D719" s="38" t="s">
        <v>278</v>
      </c>
      <c r="E719" s="38" t="s">
        <v>124</v>
      </c>
      <c r="F719" s="38" t="s">
        <v>101</v>
      </c>
      <c r="G719" s="38" t="s">
        <v>178</v>
      </c>
      <c r="H719" s="0" t="n">
        <v>2</v>
      </c>
      <c r="I719" s="39" t="n">
        <v>3000</v>
      </c>
      <c r="J719" s="40" t="n">
        <v>0.2</v>
      </c>
      <c r="K719" s="39" t="n">
        <v>4800</v>
      </c>
      <c r="L719" s="39" t="n">
        <v>3800</v>
      </c>
      <c r="M719" s="39" t="n">
        <v>1000</v>
      </c>
      <c r="N719" s="38" t="s">
        <v>66</v>
      </c>
      <c r="O719" s="38" t="n">
        <f aca="false">YEAR(B719)</f>
        <v>2025</v>
      </c>
      <c r="P719" s="41" t="n">
        <f aca="false">DATE(YEAR(B719),MONTH(B719),1)</f>
        <v>45809</v>
      </c>
      <c r="Q719" s="0" t="str">
        <f aca="false">INDEX(Products!$C$2:$C$16,MATCH(E719,Products!$A$2:$A$16,0))</f>
        <v>Technology</v>
      </c>
      <c r="R719" s="0" t="str">
        <f aca="false">INDEX(Customers!$F$2:$F$101,MATCH(D719,Customers!$A$2:$A$101,0))</f>
        <v>South</v>
      </c>
      <c r="S719" s="0" t="str">
        <f aca="false">INDEX(Customers!$C$2:$C$101,MATCH(D719,Customers!$A$2:$A$101,0))</f>
        <v>Consumer</v>
      </c>
      <c r="T719" s="0" t="str">
        <f aca="false">INDEX(Customers!$D$2:$D$101,MATCH(D719,Customers!$A$2:$A$101,0))</f>
        <v>Hyderabad</v>
      </c>
    </row>
    <row r="720" customFormat="false" ht="15" hidden="false" customHeight="false" outlineLevel="0" collapsed="false">
      <c r="A720" s="0" t="s">
        <v>991</v>
      </c>
      <c r="B720" s="37" t="n">
        <v>46089</v>
      </c>
      <c r="C720" s="37" t="n">
        <v>46094</v>
      </c>
      <c r="D720" s="38" t="s">
        <v>369</v>
      </c>
      <c r="E720" s="38" t="s">
        <v>115</v>
      </c>
      <c r="F720" s="38" t="s">
        <v>102</v>
      </c>
      <c r="G720" s="38" t="s">
        <v>173</v>
      </c>
      <c r="H720" s="0" t="n">
        <v>6</v>
      </c>
      <c r="I720" s="39" t="n">
        <v>1500</v>
      </c>
      <c r="J720" s="40" t="n">
        <v>0.2</v>
      </c>
      <c r="K720" s="39" t="n">
        <v>7200</v>
      </c>
      <c r="L720" s="39" t="n">
        <v>5100</v>
      </c>
      <c r="M720" s="39" t="n">
        <v>2100</v>
      </c>
      <c r="N720" s="38" t="s">
        <v>66</v>
      </c>
      <c r="O720" s="38" t="n">
        <f aca="false">YEAR(B720)</f>
        <v>2026</v>
      </c>
      <c r="P720" s="41" t="n">
        <f aca="false">DATE(YEAR(B720),MONTH(B720),1)</f>
        <v>46082</v>
      </c>
      <c r="Q720" s="0" t="str">
        <f aca="false">INDEX(Products!$C$2:$C$16,MATCH(E720,Products!$A$2:$A$16,0))</f>
        <v>Technology</v>
      </c>
      <c r="R720" s="0" t="str">
        <f aca="false">INDEX(Customers!$F$2:$F$101,MATCH(D720,Customers!$A$2:$A$101,0))</f>
        <v>West</v>
      </c>
      <c r="S720" s="0" t="str">
        <f aca="false">INDEX(Customers!$C$2:$C$101,MATCH(D720,Customers!$A$2:$A$101,0))</f>
        <v>Consumer</v>
      </c>
      <c r="T720" s="0" t="str">
        <f aca="false">INDEX(Customers!$D$2:$D$101,MATCH(D720,Customers!$A$2:$A$101,0))</f>
        <v>Mumbai</v>
      </c>
    </row>
    <row r="721" customFormat="false" ht="15" hidden="false" customHeight="false" outlineLevel="0" collapsed="false">
      <c r="A721" s="0" t="s">
        <v>992</v>
      </c>
      <c r="B721" s="37" t="n">
        <v>45317</v>
      </c>
      <c r="C721" s="37" t="n">
        <v>45319</v>
      </c>
      <c r="D721" s="38" t="s">
        <v>390</v>
      </c>
      <c r="E721" s="38" t="s">
        <v>120</v>
      </c>
      <c r="F721" s="38" t="s">
        <v>100</v>
      </c>
      <c r="G721" s="38" t="s">
        <v>185</v>
      </c>
      <c r="H721" s="0" t="n">
        <v>2</v>
      </c>
      <c r="I721" s="39" t="n">
        <v>400</v>
      </c>
      <c r="J721" s="40" t="n">
        <v>0.2</v>
      </c>
      <c r="K721" s="39" t="n">
        <v>640</v>
      </c>
      <c r="L721" s="39" t="n">
        <v>520</v>
      </c>
      <c r="M721" s="39" t="n">
        <v>120</v>
      </c>
      <c r="N721" s="38" t="s">
        <v>66</v>
      </c>
      <c r="O721" s="38" t="n">
        <f aca="false">YEAR(B721)</f>
        <v>2024</v>
      </c>
      <c r="P721" s="41" t="n">
        <f aca="false">DATE(YEAR(B721),MONTH(B721),1)</f>
        <v>45292</v>
      </c>
      <c r="Q721" s="0" t="str">
        <f aca="false">INDEX(Products!$C$2:$C$16,MATCH(E721,Products!$A$2:$A$16,0))</f>
        <v>Office Supplies</v>
      </c>
      <c r="R721" s="0" t="str">
        <f aca="false">INDEX(Customers!$F$2:$F$101,MATCH(D721,Customers!$A$2:$A$101,0))</f>
        <v>South</v>
      </c>
      <c r="S721" s="0" t="str">
        <f aca="false">INDEX(Customers!$C$2:$C$101,MATCH(D721,Customers!$A$2:$A$101,0))</f>
        <v>Consumer</v>
      </c>
      <c r="T721" s="0" t="str">
        <f aca="false">INDEX(Customers!$D$2:$D$101,MATCH(D721,Customers!$A$2:$A$101,0))</f>
        <v>Chennai</v>
      </c>
    </row>
    <row r="722" customFormat="false" ht="15" hidden="false" customHeight="false" outlineLevel="0" collapsed="false">
      <c r="A722" s="0" t="s">
        <v>993</v>
      </c>
      <c r="B722" s="37" t="n">
        <v>45956</v>
      </c>
      <c r="C722" s="37" t="n">
        <v>45962</v>
      </c>
      <c r="D722" s="38" t="s">
        <v>390</v>
      </c>
      <c r="E722" s="38" t="s">
        <v>124</v>
      </c>
      <c r="F722" s="38" t="s">
        <v>102</v>
      </c>
      <c r="G722" s="38" t="s">
        <v>178</v>
      </c>
      <c r="H722" s="0" t="n">
        <v>4</v>
      </c>
      <c r="I722" s="39" t="n">
        <v>3000</v>
      </c>
      <c r="J722" s="40" t="n">
        <v>0.2</v>
      </c>
      <c r="K722" s="39" t="n">
        <v>9600</v>
      </c>
      <c r="L722" s="39" t="n">
        <v>7600</v>
      </c>
      <c r="M722" s="39" t="n">
        <v>2000</v>
      </c>
      <c r="N722" s="38" t="s">
        <v>66</v>
      </c>
      <c r="O722" s="38" t="n">
        <f aca="false">YEAR(B722)</f>
        <v>2025</v>
      </c>
      <c r="P722" s="41" t="n">
        <f aca="false">DATE(YEAR(B722),MONTH(B722),1)</f>
        <v>45931</v>
      </c>
      <c r="Q722" s="0" t="str">
        <f aca="false">INDEX(Products!$C$2:$C$16,MATCH(E722,Products!$A$2:$A$16,0))</f>
        <v>Technology</v>
      </c>
      <c r="R722" s="0" t="str">
        <f aca="false">INDEX(Customers!$F$2:$F$101,MATCH(D722,Customers!$A$2:$A$101,0))</f>
        <v>South</v>
      </c>
      <c r="S722" s="0" t="str">
        <f aca="false">INDEX(Customers!$C$2:$C$101,MATCH(D722,Customers!$A$2:$A$101,0))</f>
        <v>Consumer</v>
      </c>
      <c r="T722" s="0" t="str">
        <f aca="false">INDEX(Customers!$D$2:$D$101,MATCH(D722,Customers!$A$2:$A$101,0))</f>
        <v>Chennai</v>
      </c>
    </row>
    <row r="723" customFormat="false" ht="15" hidden="false" customHeight="false" outlineLevel="0" collapsed="false">
      <c r="A723" s="0" t="s">
        <v>994</v>
      </c>
      <c r="B723" s="37" t="n">
        <v>45941</v>
      </c>
      <c r="C723" s="37" t="n">
        <v>45944</v>
      </c>
      <c r="D723" s="38" t="s">
        <v>397</v>
      </c>
      <c r="E723" s="38" t="s">
        <v>120</v>
      </c>
      <c r="F723" s="38" t="s">
        <v>101</v>
      </c>
      <c r="G723" s="38" t="s">
        <v>188</v>
      </c>
      <c r="H723" s="0" t="n">
        <v>1</v>
      </c>
      <c r="I723" s="39" t="n">
        <v>400</v>
      </c>
      <c r="J723" s="40" t="n">
        <v>0.2</v>
      </c>
      <c r="K723" s="39" t="n">
        <v>320</v>
      </c>
      <c r="L723" s="39" t="n">
        <v>260</v>
      </c>
      <c r="M723" s="39" t="n">
        <v>60</v>
      </c>
      <c r="N723" s="38" t="s">
        <v>66</v>
      </c>
      <c r="O723" s="38" t="n">
        <f aca="false">YEAR(B723)</f>
        <v>2025</v>
      </c>
      <c r="P723" s="41" t="n">
        <f aca="false">DATE(YEAR(B723),MONTH(B723),1)</f>
        <v>45931</v>
      </c>
      <c r="Q723" s="0" t="str">
        <f aca="false">INDEX(Products!$C$2:$C$16,MATCH(E723,Products!$A$2:$A$16,0))</f>
        <v>Office Supplies</v>
      </c>
      <c r="R723" s="0" t="str">
        <f aca="false">INDEX(Customers!$F$2:$F$101,MATCH(D723,Customers!$A$2:$A$101,0))</f>
        <v>West</v>
      </c>
      <c r="S723" s="0" t="str">
        <f aca="false">INDEX(Customers!$C$2:$C$101,MATCH(D723,Customers!$A$2:$A$101,0))</f>
        <v>Consumer</v>
      </c>
      <c r="T723" s="0" t="str">
        <f aca="false">INDEX(Customers!$D$2:$D$101,MATCH(D723,Customers!$A$2:$A$101,0))</f>
        <v>Mumbai</v>
      </c>
    </row>
    <row r="724" customFormat="false" ht="15" hidden="false" customHeight="false" outlineLevel="0" collapsed="false">
      <c r="A724" s="0" t="s">
        <v>995</v>
      </c>
      <c r="B724" s="37" t="n">
        <v>45855</v>
      </c>
      <c r="C724" s="37" t="n">
        <v>45859</v>
      </c>
      <c r="D724" s="38" t="s">
        <v>404</v>
      </c>
      <c r="E724" s="38" t="s">
        <v>119</v>
      </c>
      <c r="F724" s="38" t="s">
        <v>101</v>
      </c>
      <c r="G724" s="38" t="s">
        <v>188</v>
      </c>
      <c r="H724" s="0" t="n">
        <v>1</v>
      </c>
      <c r="I724" s="39" t="n">
        <v>250</v>
      </c>
      <c r="J724" s="40" t="n">
        <v>0</v>
      </c>
      <c r="K724" s="39" t="n">
        <v>250</v>
      </c>
      <c r="L724" s="39" t="n">
        <v>120</v>
      </c>
      <c r="M724" s="39" t="n">
        <v>130</v>
      </c>
      <c r="N724" s="38" t="s">
        <v>66</v>
      </c>
      <c r="O724" s="38" t="n">
        <f aca="false">YEAR(B724)</f>
        <v>2025</v>
      </c>
      <c r="P724" s="41" t="n">
        <f aca="false">DATE(YEAR(B724),MONTH(B724),1)</f>
        <v>45839</v>
      </c>
      <c r="Q724" s="0" t="str">
        <f aca="false">INDEX(Products!$C$2:$C$16,MATCH(E724,Products!$A$2:$A$16,0))</f>
        <v>Office Supplies</v>
      </c>
      <c r="R724" s="0" t="str">
        <f aca="false">INDEX(Customers!$F$2:$F$101,MATCH(D724,Customers!$A$2:$A$101,0))</f>
        <v>West</v>
      </c>
      <c r="S724" s="0" t="str">
        <f aca="false">INDEX(Customers!$C$2:$C$101,MATCH(D724,Customers!$A$2:$A$101,0))</f>
        <v>Small Business</v>
      </c>
      <c r="T724" s="0" t="str">
        <f aca="false">INDEX(Customers!$D$2:$D$101,MATCH(D724,Customers!$A$2:$A$101,0))</f>
        <v>Mumbai</v>
      </c>
    </row>
    <row r="725" customFormat="false" ht="15" hidden="false" customHeight="false" outlineLevel="0" collapsed="false">
      <c r="A725" s="0" t="s">
        <v>996</v>
      </c>
      <c r="B725" s="37" t="n">
        <v>46181</v>
      </c>
      <c r="C725" s="37" t="n">
        <v>46183</v>
      </c>
      <c r="D725" s="38" t="s">
        <v>331</v>
      </c>
      <c r="E725" s="38" t="s">
        <v>115</v>
      </c>
      <c r="F725" s="38" t="s">
        <v>100</v>
      </c>
      <c r="G725" s="38" t="s">
        <v>185</v>
      </c>
      <c r="H725" s="0" t="n">
        <v>1</v>
      </c>
      <c r="I725" s="39" t="n">
        <v>1500</v>
      </c>
      <c r="J725" s="40" t="n">
        <v>0.2</v>
      </c>
      <c r="K725" s="39" t="n">
        <v>1200</v>
      </c>
      <c r="L725" s="39" t="n">
        <v>850</v>
      </c>
      <c r="M725" s="39" t="n">
        <v>350</v>
      </c>
      <c r="N725" s="38" t="s">
        <v>66</v>
      </c>
      <c r="O725" s="38" t="n">
        <f aca="false">YEAR(B725)</f>
        <v>2026</v>
      </c>
      <c r="P725" s="41" t="n">
        <f aca="false">DATE(YEAR(B725),MONTH(B725),1)</f>
        <v>46174</v>
      </c>
      <c r="Q725" s="0" t="str">
        <f aca="false">INDEX(Products!$C$2:$C$16,MATCH(E725,Products!$A$2:$A$16,0))</f>
        <v>Technology</v>
      </c>
      <c r="R725" s="0" t="str">
        <f aca="false">INDEX(Customers!$F$2:$F$101,MATCH(D725,Customers!$A$2:$A$101,0))</f>
        <v>North</v>
      </c>
      <c r="S725" s="0" t="str">
        <f aca="false">INDEX(Customers!$C$2:$C$101,MATCH(D725,Customers!$A$2:$A$101,0))</f>
        <v>Corporate</v>
      </c>
      <c r="T725" s="0" t="str">
        <f aca="false">INDEX(Customers!$D$2:$D$101,MATCH(D725,Customers!$A$2:$A$101,0))</f>
        <v>Delhi</v>
      </c>
    </row>
    <row r="726" customFormat="false" ht="15" hidden="false" customHeight="false" outlineLevel="0" collapsed="false">
      <c r="A726" s="0" t="s">
        <v>997</v>
      </c>
      <c r="B726" s="37" t="n">
        <v>46276</v>
      </c>
      <c r="C726" s="37" t="n">
        <v>46280</v>
      </c>
      <c r="D726" s="38" t="s">
        <v>425</v>
      </c>
      <c r="E726" s="38" t="s">
        <v>125</v>
      </c>
      <c r="F726" s="38" t="s">
        <v>100</v>
      </c>
      <c r="G726" s="38" t="s">
        <v>173</v>
      </c>
      <c r="H726" s="0" t="n">
        <v>1</v>
      </c>
      <c r="I726" s="39" t="n">
        <v>600</v>
      </c>
      <c r="J726" s="40" t="n">
        <v>0</v>
      </c>
      <c r="K726" s="39" t="n">
        <v>600</v>
      </c>
      <c r="L726" s="39" t="n">
        <v>350</v>
      </c>
      <c r="M726" s="39" t="n">
        <v>250</v>
      </c>
      <c r="N726" s="38" t="s">
        <v>146</v>
      </c>
      <c r="O726" s="38" t="n">
        <f aca="false">YEAR(B726)</f>
        <v>2026</v>
      </c>
      <c r="P726" s="41" t="n">
        <f aca="false">DATE(YEAR(B726),MONTH(B726),1)</f>
        <v>46266</v>
      </c>
      <c r="Q726" s="0" t="str">
        <f aca="false">INDEX(Products!$C$2:$C$16,MATCH(E726,Products!$A$2:$A$16,0))</f>
        <v>Office Supplies</v>
      </c>
      <c r="R726" s="0" t="str">
        <f aca="false">INDEX(Customers!$F$2:$F$101,MATCH(D726,Customers!$A$2:$A$101,0))</f>
        <v>North</v>
      </c>
      <c r="S726" s="0" t="str">
        <f aca="false">INDEX(Customers!$C$2:$C$101,MATCH(D726,Customers!$A$2:$A$101,0))</f>
        <v>Small Business</v>
      </c>
      <c r="T726" s="0" t="str">
        <f aca="false">INDEX(Customers!$D$2:$D$101,MATCH(D726,Customers!$A$2:$A$101,0))</f>
        <v>Lucknow</v>
      </c>
    </row>
    <row r="727" customFormat="false" ht="15" hidden="false" customHeight="false" outlineLevel="0" collapsed="false">
      <c r="A727" s="0" t="s">
        <v>998</v>
      </c>
      <c r="B727" s="37" t="n">
        <v>46075</v>
      </c>
      <c r="C727" s="37" t="n">
        <v>46078</v>
      </c>
      <c r="D727" s="38" t="s">
        <v>169</v>
      </c>
      <c r="E727" s="38" t="s">
        <v>122</v>
      </c>
      <c r="F727" s="38" t="s">
        <v>101</v>
      </c>
      <c r="G727" s="38" t="s">
        <v>188</v>
      </c>
      <c r="H727" s="0" t="n">
        <v>1</v>
      </c>
      <c r="I727" s="39" t="n">
        <v>5500</v>
      </c>
      <c r="J727" s="40" t="n">
        <v>0.1</v>
      </c>
      <c r="K727" s="39" t="n">
        <v>4950</v>
      </c>
      <c r="L727" s="39" t="n">
        <v>3700</v>
      </c>
      <c r="M727" s="39" t="n">
        <v>1250</v>
      </c>
      <c r="N727" s="38" t="s">
        <v>66</v>
      </c>
      <c r="O727" s="38" t="n">
        <f aca="false">YEAR(B727)</f>
        <v>2026</v>
      </c>
      <c r="P727" s="41" t="n">
        <f aca="false">DATE(YEAR(B727),MONTH(B727),1)</f>
        <v>46054</v>
      </c>
      <c r="Q727" s="0" t="str">
        <f aca="false">INDEX(Products!$C$2:$C$16,MATCH(E727,Products!$A$2:$A$16,0))</f>
        <v>Furniture</v>
      </c>
      <c r="R727" s="0" t="str">
        <f aca="false">INDEX(Customers!$F$2:$F$101,MATCH(D727,Customers!$A$2:$A$101,0))</f>
        <v>East</v>
      </c>
      <c r="S727" s="0" t="str">
        <f aca="false">INDEX(Customers!$C$2:$C$101,MATCH(D727,Customers!$A$2:$A$101,0))</f>
        <v>Small Business</v>
      </c>
      <c r="T727" s="0" t="str">
        <f aca="false">INDEX(Customers!$D$2:$D$101,MATCH(D727,Customers!$A$2:$A$101,0))</f>
        <v>Kolkata</v>
      </c>
    </row>
    <row r="728" customFormat="false" ht="15" hidden="false" customHeight="false" outlineLevel="0" collapsed="false">
      <c r="A728" s="0" t="s">
        <v>999</v>
      </c>
      <c r="B728" s="37" t="n">
        <v>45797</v>
      </c>
      <c r="C728" s="37" t="n">
        <v>45799</v>
      </c>
      <c r="D728" s="38" t="s">
        <v>350</v>
      </c>
      <c r="E728" s="38" t="s">
        <v>127</v>
      </c>
      <c r="F728" s="38" t="s">
        <v>101</v>
      </c>
      <c r="G728" s="38" t="s">
        <v>185</v>
      </c>
      <c r="H728" s="0" t="n">
        <v>1</v>
      </c>
      <c r="I728" s="39" t="n">
        <v>18000</v>
      </c>
      <c r="J728" s="40" t="n">
        <v>0.2</v>
      </c>
      <c r="K728" s="39" t="n">
        <v>14400</v>
      </c>
      <c r="L728" s="39" t="n">
        <v>14000</v>
      </c>
      <c r="M728" s="39" t="n">
        <v>400</v>
      </c>
      <c r="N728" s="38" t="s">
        <v>66</v>
      </c>
      <c r="O728" s="38" t="n">
        <f aca="false">YEAR(B728)</f>
        <v>2025</v>
      </c>
      <c r="P728" s="41" t="n">
        <f aca="false">DATE(YEAR(B728),MONTH(B728),1)</f>
        <v>45778</v>
      </c>
      <c r="Q728" s="0" t="str">
        <f aca="false">INDEX(Products!$C$2:$C$16,MATCH(E728,Products!$A$2:$A$16,0))</f>
        <v>Technology</v>
      </c>
      <c r="R728" s="0" t="str">
        <f aca="false">INDEX(Customers!$F$2:$F$101,MATCH(D728,Customers!$A$2:$A$101,0))</f>
        <v>South</v>
      </c>
      <c r="S728" s="0" t="str">
        <f aca="false">INDEX(Customers!$C$2:$C$101,MATCH(D728,Customers!$A$2:$A$101,0))</f>
        <v>Consumer</v>
      </c>
      <c r="T728" s="0" t="str">
        <f aca="false">INDEX(Customers!$D$2:$D$101,MATCH(D728,Customers!$A$2:$A$101,0))</f>
        <v>Chennai</v>
      </c>
    </row>
    <row r="729" customFormat="false" ht="15" hidden="false" customHeight="false" outlineLevel="0" collapsed="false">
      <c r="A729" s="0" t="s">
        <v>1000</v>
      </c>
      <c r="B729" s="37" t="n">
        <v>45906</v>
      </c>
      <c r="C729" s="37" t="n">
        <v>45907</v>
      </c>
      <c r="D729" s="38" t="s">
        <v>196</v>
      </c>
      <c r="E729" s="38" t="s">
        <v>122</v>
      </c>
      <c r="F729" s="38" t="s">
        <v>101</v>
      </c>
      <c r="G729" s="38" t="s">
        <v>188</v>
      </c>
      <c r="H729" s="0" t="n">
        <v>1</v>
      </c>
      <c r="I729" s="39" t="n">
        <v>5500</v>
      </c>
      <c r="J729" s="40" t="n">
        <v>0.15</v>
      </c>
      <c r="K729" s="39" t="n">
        <v>4675</v>
      </c>
      <c r="L729" s="39" t="n">
        <v>3700</v>
      </c>
      <c r="M729" s="39" t="n">
        <v>975</v>
      </c>
      <c r="N729" s="38" t="s">
        <v>66</v>
      </c>
      <c r="O729" s="38" t="n">
        <f aca="false">YEAR(B729)</f>
        <v>2025</v>
      </c>
      <c r="P729" s="41" t="n">
        <f aca="false">DATE(YEAR(B729),MONTH(B729),1)</f>
        <v>45901</v>
      </c>
      <c r="Q729" s="0" t="str">
        <f aca="false">INDEX(Products!$C$2:$C$16,MATCH(E729,Products!$A$2:$A$16,0))</f>
        <v>Furniture</v>
      </c>
      <c r="R729" s="0" t="str">
        <f aca="false">INDEX(Customers!$F$2:$F$101,MATCH(D729,Customers!$A$2:$A$101,0))</f>
        <v>South</v>
      </c>
      <c r="S729" s="0" t="str">
        <f aca="false">INDEX(Customers!$C$2:$C$101,MATCH(D729,Customers!$A$2:$A$101,0))</f>
        <v>Consumer</v>
      </c>
      <c r="T729" s="0" t="str">
        <f aca="false">INDEX(Customers!$D$2:$D$101,MATCH(D729,Customers!$A$2:$A$101,0))</f>
        <v>Chennai</v>
      </c>
    </row>
    <row r="730" customFormat="false" ht="15" hidden="false" customHeight="false" outlineLevel="0" collapsed="false">
      <c r="A730" s="0" t="s">
        <v>1001</v>
      </c>
      <c r="B730" s="37" t="n">
        <v>45481</v>
      </c>
      <c r="C730" s="37" t="n">
        <v>45483</v>
      </c>
      <c r="D730" s="38" t="s">
        <v>280</v>
      </c>
      <c r="E730" s="38" t="s">
        <v>113</v>
      </c>
      <c r="F730" s="38" t="s">
        <v>100</v>
      </c>
      <c r="G730" s="38" t="s">
        <v>173</v>
      </c>
      <c r="H730" s="0" t="n">
        <v>1</v>
      </c>
      <c r="I730" s="39" t="n">
        <v>45000</v>
      </c>
      <c r="J730" s="40" t="n">
        <v>0.05</v>
      </c>
      <c r="K730" s="39" t="n">
        <v>42750</v>
      </c>
      <c r="L730" s="39" t="n">
        <v>36000</v>
      </c>
      <c r="M730" s="39" t="n">
        <v>6750</v>
      </c>
      <c r="N730" s="38" t="s">
        <v>66</v>
      </c>
      <c r="O730" s="38" t="n">
        <f aca="false">YEAR(B730)</f>
        <v>2024</v>
      </c>
      <c r="P730" s="41" t="n">
        <f aca="false">DATE(YEAR(B730),MONTH(B730),1)</f>
        <v>45474</v>
      </c>
      <c r="Q730" s="0" t="str">
        <f aca="false">INDEX(Products!$C$2:$C$16,MATCH(E730,Products!$A$2:$A$16,0))</f>
        <v>Technology</v>
      </c>
      <c r="R730" s="0" t="str">
        <f aca="false">INDEX(Customers!$F$2:$F$101,MATCH(D730,Customers!$A$2:$A$101,0))</f>
        <v>North</v>
      </c>
      <c r="S730" s="0" t="str">
        <f aca="false">INDEX(Customers!$C$2:$C$101,MATCH(D730,Customers!$A$2:$A$101,0))</f>
        <v>Corporate</v>
      </c>
      <c r="T730" s="0" t="str">
        <f aca="false">INDEX(Customers!$D$2:$D$101,MATCH(D730,Customers!$A$2:$A$101,0))</f>
        <v>Jaipur</v>
      </c>
    </row>
    <row r="731" customFormat="false" ht="15" hidden="false" customHeight="false" outlineLevel="0" collapsed="false">
      <c r="A731" s="0" t="s">
        <v>1002</v>
      </c>
      <c r="B731" s="37" t="n">
        <v>46150</v>
      </c>
      <c r="C731" s="37" t="n">
        <v>46155</v>
      </c>
      <c r="D731" s="38" t="s">
        <v>232</v>
      </c>
      <c r="E731" s="38" t="s">
        <v>122</v>
      </c>
      <c r="F731" s="38" t="s">
        <v>100</v>
      </c>
      <c r="G731" s="38" t="s">
        <v>178</v>
      </c>
      <c r="H731" s="0" t="n">
        <v>1</v>
      </c>
      <c r="I731" s="39" t="n">
        <v>5500</v>
      </c>
      <c r="J731" s="40" t="n">
        <v>0</v>
      </c>
      <c r="K731" s="39" t="n">
        <v>5500</v>
      </c>
      <c r="L731" s="39" t="n">
        <v>3700</v>
      </c>
      <c r="M731" s="39" t="n">
        <v>1800</v>
      </c>
      <c r="N731" s="38" t="s">
        <v>66</v>
      </c>
      <c r="O731" s="38" t="n">
        <f aca="false">YEAR(B731)</f>
        <v>2026</v>
      </c>
      <c r="P731" s="41" t="n">
        <f aca="false">DATE(YEAR(B731),MONTH(B731),1)</f>
        <v>46143</v>
      </c>
      <c r="Q731" s="0" t="str">
        <f aca="false">INDEX(Products!$C$2:$C$16,MATCH(E731,Products!$A$2:$A$16,0))</f>
        <v>Furniture</v>
      </c>
      <c r="R731" s="0" t="str">
        <f aca="false">INDEX(Customers!$F$2:$F$101,MATCH(D731,Customers!$A$2:$A$101,0))</f>
        <v>West</v>
      </c>
      <c r="S731" s="0" t="str">
        <f aca="false">INDEX(Customers!$C$2:$C$101,MATCH(D731,Customers!$A$2:$A$101,0))</f>
        <v>Consumer</v>
      </c>
      <c r="T731" s="0" t="str">
        <f aca="false">INDEX(Customers!$D$2:$D$101,MATCH(D731,Customers!$A$2:$A$101,0))</f>
        <v>Ahmedabad</v>
      </c>
    </row>
    <row r="732" customFormat="false" ht="15" hidden="false" customHeight="false" outlineLevel="0" collapsed="false">
      <c r="A732" s="0" t="s">
        <v>1003</v>
      </c>
      <c r="B732" s="37" t="n">
        <v>45980</v>
      </c>
      <c r="C732" s="37" t="n">
        <v>45983</v>
      </c>
      <c r="D732" s="38" t="s">
        <v>246</v>
      </c>
      <c r="E732" s="38" t="s">
        <v>115</v>
      </c>
      <c r="F732" s="38" t="s">
        <v>102</v>
      </c>
      <c r="G732" s="38" t="s">
        <v>188</v>
      </c>
      <c r="H732" s="0" t="n">
        <v>3</v>
      </c>
      <c r="I732" s="39" t="n">
        <v>1500</v>
      </c>
      <c r="J732" s="40" t="n">
        <v>0.2</v>
      </c>
      <c r="K732" s="39" t="n">
        <v>3600</v>
      </c>
      <c r="L732" s="39" t="n">
        <v>2550</v>
      </c>
      <c r="M732" s="39" t="n">
        <v>1050</v>
      </c>
      <c r="N732" s="38" t="s">
        <v>66</v>
      </c>
      <c r="O732" s="38" t="n">
        <f aca="false">YEAR(B732)</f>
        <v>2025</v>
      </c>
      <c r="P732" s="41" t="n">
        <f aca="false">DATE(YEAR(B732),MONTH(B732),1)</f>
        <v>45962</v>
      </c>
      <c r="Q732" s="0" t="str">
        <f aca="false">INDEX(Products!$C$2:$C$16,MATCH(E732,Products!$A$2:$A$16,0))</f>
        <v>Technology</v>
      </c>
      <c r="R732" s="0" t="str">
        <f aca="false">INDEX(Customers!$F$2:$F$101,MATCH(D732,Customers!$A$2:$A$101,0))</f>
        <v>North</v>
      </c>
      <c r="S732" s="0" t="str">
        <f aca="false">INDEX(Customers!$C$2:$C$101,MATCH(D732,Customers!$A$2:$A$101,0))</f>
        <v>Consumer</v>
      </c>
      <c r="T732" s="0" t="str">
        <f aca="false">INDEX(Customers!$D$2:$D$101,MATCH(D732,Customers!$A$2:$A$101,0))</f>
        <v>Jaipur</v>
      </c>
    </row>
    <row r="733" customFormat="false" ht="15" hidden="false" customHeight="false" outlineLevel="0" collapsed="false">
      <c r="A733" s="0" t="s">
        <v>1004</v>
      </c>
      <c r="B733" s="37" t="n">
        <v>46281</v>
      </c>
      <c r="C733" s="37" t="n">
        <v>46285</v>
      </c>
      <c r="D733" s="38" t="s">
        <v>322</v>
      </c>
      <c r="E733" s="38" t="s">
        <v>115</v>
      </c>
      <c r="F733" s="38" t="s">
        <v>100</v>
      </c>
      <c r="G733" s="38" t="s">
        <v>178</v>
      </c>
      <c r="H733" s="0" t="n">
        <v>4</v>
      </c>
      <c r="I733" s="39" t="n">
        <v>1500</v>
      </c>
      <c r="J733" s="40" t="n">
        <v>0.05</v>
      </c>
      <c r="K733" s="39" t="n">
        <v>5700</v>
      </c>
      <c r="L733" s="39" t="n">
        <v>3400</v>
      </c>
      <c r="M733" s="39" t="n">
        <v>2300</v>
      </c>
      <c r="N733" s="38" t="s">
        <v>66</v>
      </c>
      <c r="O733" s="38" t="n">
        <f aca="false">YEAR(B733)</f>
        <v>2026</v>
      </c>
      <c r="P733" s="41" t="n">
        <f aca="false">DATE(YEAR(B733),MONTH(B733),1)</f>
        <v>46266</v>
      </c>
      <c r="Q733" s="0" t="str">
        <f aca="false">INDEX(Products!$C$2:$C$16,MATCH(E733,Products!$A$2:$A$16,0))</f>
        <v>Technology</v>
      </c>
      <c r="R733" s="0" t="str">
        <f aca="false">INDEX(Customers!$F$2:$F$101,MATCH(D733,Customers!$A$2:$A$101,0))</f>
        <v>North</v>
      </c>
      <c r="S733" s="0" t="str">
        <f aca="false">INDEX(Customers!$C$2:$C$101,MATCH(D733,Customers!$A$2:$A$101,0))</f>
        <v>Consumer</v>
      </c>
      <c r="T733" s="0" t="str">
        <f aca="false">INDEX(Customers!$D$2:$D$101,MATCH(D733,Customers!$A$2:$A$101,0))</f>
        <v>Jaipur</v>
      </c>
    </row>
    <row r="734" customFormat="false" ht="15" hidden="false" customHeight="false" outlineLevel="0" collapsed="false">
      <c r="A734" s="0" t="s">
        <v>1005</v>
      </c>
      <c r="B734" s="37" t="n">
        <v>46211</v>
      </c>
      <c r="C734" s="37" t="n">
        <v>46215</v>
      </c>
      <c r="D734" s="38" t="s">
        <v>390</v>
      </c>
      <c r="E734" s="38" t="s">
        <v>118</v>
      </c>
      <c r="F734" s="38" t="s">
        <v>101</v>
      </c>
      <c r="G734" s="38" t="s">
        <v>188</v>
      </c>
      <c r="H734" s="0" t="n">
        <v>5</v>
      </c>
      <c r="I734" s="39" t="n">
        <v>9000</v>
      </c>
      <c r="J734" s="40" t="n">
        <v>0.25</v>
      </c>
      <c r="K734" s="39" t="n">
        <v>33750</v>
      </c>
      <c r="L734" s="39" t="n">
        <v>32500</v>
      </c>
      <c r="M734" s="39" t="n">
        <v>1250</v>
      </c>
      <c r="N734" s="38" t="s">
        <v>66</v>
      </c>
      <c r="O734" s="38" t="n">
        <f aca="false">YEAR(B734)</f>
        <v>2026</v>
      </c>
      <c r="P734" s="41" t="n">
        <f aca="false">DATE(YEAR(B734),MONTH(B734),1)</f>
        <v>46204</v>
      </c>
      <c r="Q734" s="0" t="str">
        <f aca="false">INDEX(Products!$C$2:$C$16,MATCH(E734,Products!$A$2:$A$16,0))</f>
        <v>Furniture</v>
      </c>
      <c r="R734" s="0" t="str">
        <f aca="false">INDEX(Customers!$F$2:$F$101,MATCH(D734,Customers!$A$2:$A$101,0))</f>
        <v>South</v>
      </c>
      <c r="S734" s="0" t="str">
        <f aca="false">INDEX(Customers!$C$2:$C$101,MATCH(D734,Customers!$A$2:$A$101,0))</f>
        <v>Consumer</v>
      </c>
      <c r="T734" s="0" t="str">
        <f aca="false">INDEX(Customers!$D$2:$D$101,MATCH(D734,Customers!$A$2:$A$101,0))</f>
        <v>Chennai</v>
      </c>
    </row>
    <row r="735" customFormat="false" ht="15" hidden="false" customHeight="false" outlineLevel="0" collapsed="false">
      <c r="A735" s="0" t="s">
        <v>1006</v>
      </c>
      <c r="B735" s="37" t="n">
        <v>45416</v>
      </c>
      <c r="C735" s="37" t="n">
        <v>45422</v>
      </c>
      <c r="D735" s="38" t="s">
        <v>213</v>
      </c>
      <c r="E735" s="38" t="s">
        <v>115</v>
      </c>
      <c r="F735" s="38" t="s">
        <v>102</v>
      </c>
      <c r="G735" s="38" t="s">
        <v>185</v>
      </c>
      <c r="H735" s="0" t="n">
        <v>5</v>
      </c>
      <c r="I735" s="39" t="n">
        <v>1500</v>
      </c>
      <c r="J735" s="40" t="n">
        <v>0.05</v>
      </c>
      <c r="K735" s="39" t="n">
        <v>7125</v>
      </c>
      <c r="L735" s="39" t="n">
        <v>4250</v>
      </c>
      <c r="M735" s="39" t="n">
        <v>2875</v>
      </c>
      <c r="N735" s="38" t="s">
        <v>66</v>
      </c>
      <c r="O735" s="38" t="n">
        <f aca="false">YEAR(B735)</f>
        <v>2024</v>
      </c>
      <c r="P735" s="41" t="n">
        <f aca="false">DATE(YEAR(B735),MONTH(B735),1)</f>
        <v>45413</v>
      </c>
      <c r="Q735" s="0" t="str">
        <f aca="false">INDEX(Products!$C$2:$C$16,MATCH(E735,Products!$A$2:$A$16,0))</f>
        <v>Technology</v>
      </c>
      <c r="R735" s="0" t="str">
        <f aca="false">INDEX(Customers!$F$2:$F$101,MATCH(D735,Customers!$A$2:$A$101,0))</f>
        <v>North</v>
      </c>
      <c r="S735" s="0" t="str">
        <f aca="false">INDEX(Customers!$C$2:$C$101,MATCH(D735,Customers!$A$2:$A$101,0))</f>
        <v>Small Business</v>
      </c>
      <c r="T735" s="0" t="str">
        <f aca="false">INDEX(Customers!$D$2:$D$101,MATCH(D735,Customers!$A$2:$A$101,0))</f>
        <v>Gurugram</v>
      </c>
    </row>
    <row r="736" customFormat="false" ht="15" hidden="false" customHeight="false" outlineLevel="0" collapsed="false">
      <c r="A736" s="0" t="s">
        <v>1007</v>
      </c>
      <c r="B736" s="37" t="n">
        <v>45918</v>
      </c>
      <c r="C736" s="37" t="n">
        <v>45919</v>
      </c>
      <c r="D736" s="38" t="s">
        <v>184</v>
      </c>
      <c r="E736" s="38" t="s">
        <v>116</v>
      </c>
      <c r="F736" s="38" t="s">
        <v>102</v>
      </c>
      <c r="G736" s="38" t="s">
        <v>188</v>
      </c>
      <c r="H736" s="0" t="n">
        <v>1</v>
      </c>
      <c r="I736" s="39" t="n">
        <v>12000</v>
      </c>
      <c r="J736" s="40" t="n">
        <v>0.2</v>
      </c>
      <c r="K736" s="39" t="n">
        <v>9600</v>
      </c>
      <c r="L736" s="39" t="n">
        <v>9000</v>
      </c>
      <c r="M736" s="39" t="n">
        <v>600</v>
      </c>
      <c r="N736" s="38" t="s">
        <v>147</v>
      </c>
      <c r="O736" s="38" t="n">
        <f aca="false">YEAR(B736)</f>
        <v>2025</v>
      </c>
      <c r="P736" s="41" t="n">
        <f aca="false">DATE(YEAR(B736),MONTH(B736),1)</f>
        <v>45901</v>
      </c>
      <c r="Q736" s="0" t="str">
        <f aca="false">INDEX(Products!$C$2:$C$16,MATCH(E736,Products!$A$2:$A$16,0))</f>
        <v>Technology</v>
      </c>
      <c r="R736" s="0" t="str">
        <f aca="false">INDEX(Customers!$F$2:$F$101,MATCH(D736,Customers!$A$2:$A$101,0))</f>
        <v>West</v>
      </c>
      <c r="S736" s="0" t="str">
        <f aca="false">INDEX(Customers!$C$2:$C$101,MATCH(D736,Customers!$A$2:$A$101,0))</f>
        <v>Consumer</v>
      </c>
      <c r="T736" s="0" t="str">
        <f aca="false">INDEX(Customers!$D$2:$D$101,MATCH(D736,Customers!$A$2:$A$101,0))</f>
        <v>Ahmedabad</v>
      </c>
    </row>
    <row r="737" customFormat="false" ht="15" hidden="false" customHeight="false" outlineLevel="0" collapsed="false">
      <c r="A737" s="0" t="s">
        <v>1008</v>
      </c>
      <c r="B737" s="37" t="n">
        <v>45997</v>
      </c>
      <c r="C737" s="37" t="n">
        <v>46002</v>
      </c>
      <c r="D737" s="38" t="s">
        <v>249</v>
      </c>
      <c r="E737" s="38" t="s">
        <v>124</v>
      </c>
      <c r="F737" s="38" t="s">
        <v>101</v>
      </c>
      <c r="G737" s="38" t="s">
        <v>185</v>
      </c>
      <c r="H737" s="0" t="n">
        <v>6</v>
      </c>
      <c r="I737" s="39" t="n">
        <v>3000</v>
      </c>
      <c r="J737" s="40" t="n">
        <v>0.2</v>
      </c>
      <c r="K737" s="39" t="n">
        <v>14400</v>
      </c>
      <c r="L737" s="39" t="n">
        <v>11400</v>
      </c>
      <c r="M737" s="39" t="n">
        <v>3000</v>
      </c>
      <c r="N737" s="38" t="s">
        <v>66</v>
      </c>
      <c r="O737" s="38" t="n">
        <f aca="false">YEAR(B737)</f>
        <v>2025</v>
      </c>
      <c r="P737" s="41" t="n">
        <f aca="false">DATE(YEAR(B737),MONTH(B737),1)</f>
        <v>45992</v>
      </c>
      <c r="Q737" s="0" t="str">
        <f aca="false">INDEX(Products!$C$2:$C$16,MATCH(E737,Products!$A$2:$A$16,0))</f>
        <v>Technology</v>
      </c>
      <c r="R737" s="0" t="str">
        <f aca="false">INDEX(Customers!$F$2:$F$101,MATCH(D737,Customers!$A$2:$A$101,0))</f>
        <v>East</v>
      </c>
      <c r="S737" s="0" t="str">
        <f aca="false">INDEX(Customers!$C$2:$C$101,MATCH(D737,Customers!$A$2:$A$101,0))</f>
        <v>Consumer</v>
      </c>
      <c r="T737" s="0" t="str">
        <f aca="false">INDEX(Customers!$D$2:$D$101,MATCH(D737,Customers!$A$2:$A$101,0))</f>
        <v>Kolkata</v>
      </c>
    </row>
    <row r="738" customFormat="false" ht="15" hidden="false" customHeight="false" outlineLevel="0" collapsed="false">
      <c r="A738" s="0" t="s">
        <v>1009</v>
      </c>
      <c r="B738" s="37" t="n">
        <v>45830</v>
      </c>
      <c r="C738" s="37" t="n">
        <v>45835</v>
      </c>
      <c r="D738" s="38" t="s">
        <v>298</v>
      </c>
      <c r="E738" s="38" t="s">
        <v>117</v>
      </c>
      <c r="F738" s="38" t="s">
        <v>100</v>
      </c>
      <c r="G738" s="38" t="s">
        <v>188</v>
      </c>
      <c r="H738" s="0" t="n">
        <v>10</v>
      </c>
      <c r="I738" s="39" t="n">
        <v>6500</v>
      </c>
      <c r="J738" s="40" t="n">
        <v>0.05</v>
      </c>
      <c r="K738" s="39" t="n">
        <v>61750</v>
      </c>
      <c r="L738" s="39" t="n">
        <v>42000</v>
      </c>
      <c r="M738" s="39" t="n">
        <v>19750</v>
      </c>
      <c r="N738" s="38" t="s">
        <v>66</v>
      </c>
      <c r="O738" s="38" t="n">
        <f aca="false">YEAR(B738)</f>
        <v>2025</v>
      </c>
      <c r="P738" s="41" t="n">
        <f aca="false">DATE(YEAR(B738),MONTH(B738),1)</f>
        <v>45809</v>
      </c>
      <c r="Q738" s="0" t="str">
        <f aca="false">INDEX(Products!$C$2:$C$16,MATCH(E738,Products!$A$2:$A$16,0))</f>
        <v>Furniture</v>
      </c>
      <c r="R738" s="0" t="str">
        <f aca="false">INDEX(Customers!$F$2:$F$101,MATCH(D738,Customers!$A$2:$A$101,0))</f>
        <v>North</v>
      </c>
      <c r="S738" s="0" t="str">
        <f aca="false">INDEX(Customers!$C$2:$C$101,MATCH(D738,Customers!$A$2:$A$101,0))</f>
        <v>Consumer</v>
      </c>
      <c r="T738" s="0" t="str">
        <f aca="false">INDEX(Customers!$D$2:$D$101,MATCH(D738,Customers!$A$2:$A$101,0))</f>
        <v>Lucknow</v>
      </c>
    </row>
    <row r="739" customFormat="false" ht="15" hidden="false" customHeight="false" outlineLevel="0" collapsed="false">
      <c r="A739" s="0" t="s">
        <v>1010</v>
      </c>
      <c r="B739" s="37" t="n">
        <v>45939</v>
      </c>
      <c r="C739" s="37" t="n">
        <v>45943</v>
      </c>
      <c r="D739" s="38" t="s">
        <v>433</v>
      </c>
      <c r="E739" s="38" t="s">
        <v>124</v>
      </c>
      <c r="F739" s="38" t="s">
        <v>102</v>
      </c>
      <c r="G739" s="38" t="s">
        <v>173</v>
      </c>
      <c r="H739" s="0" t="n">
        <v>2</v>
      </c>
      <c r="I739" s="39" t="n">
        <v>3000</v>
      </c>
      <c r="J739" s="40" t="n">
        <v>0</v>
      </c>
      <c r="K739" s="39" t="n">
        <v>6000</v>
      </c>
      <c r="L739" s="39" t="n">
        <v>3800</v>
      </c>
      <c r="M739" s="39" t="n">
        <v>2200</v>
      </c>
      <c r="N739" s="38" t="s">
        <v>66</v>
      </c>
      <c r="O739" s="38" t="n">
        <f aca="false">YEAR(B739)</f>
        <v>2025</v>
      </c>
      <c r="P739" s="41" t="n">
        <f aca="false">DATE(YEAR(B739),MONTH(B739),1)</f>
        <v>45931</v>
      </c>
      <c r="Q739" s="0" t="str">
        <f aca="false">INDEX(Products!$C$2:$C$16,MATCH(E739,Products!$A$2:$A$16,0))</f>
        <v>Technology</v>
      </c>
      <c r="R739" s="0" t="str">
        <f aca="false">INDEX(Customers!$F$2:$F$101,MATCH(D739,Customers!$A$2:$A$101,0))</f>
        <v>North</v>
      </c>
      <c r="S739" s="0" t="str">
        <f aca="false">INDEX(Customers!$C$2:$C$101,MATCH(D739,Customers!$A$2:$A$101,0))</f>
        <v>Consumer</v>
      </c>
      <c r="T739" s="0" t="str">
        <f aca="false">INDEX(Customers!$D$2:$D$101,MATCH(D739,Customers!$A$2:$A$101,0))</f>
        <v>Delhi</v>
      </c>
    </row>
    <row r="740" customFormat="false" ht="15" hidden="false" customHeight="false" outlineLevel="0" collapsed="false">
      <c r="A740" s="0" t="s">
        <v>1011</v>
      </c>
      <c r="B740" s="37" t="n">
        <v>45413</v>
      </c>
      <c r="C740" s="37" t="n">
        <v>45414</v>
      </c>
      <c r="D740" s="38" t="s">
        <v>236</v>
      </c>
      <c r="E740" s="38" t="s">
        <v>113</v>
      </c>
      <c r="F740" s="38" t="s">
        <v>100</v>
      </c>
      <c r="G740" s="38" t="s">
        <v>173</v>
      </c>
      <c r="H740" s="0" t="n">
        <v>2</v>
      </c>
      <c r="I740" s="39" t="n">
        <v>45000</v>
      </c>
      <c r="J740" s="40" t="n">
        <v>0.25</v>
      </c>
      <c r="K740" s="39" t="n">
        <v>67500</v>
      </c>
      <c r="L740" s="39" t="n">
        <v>72000</v>
      </c>
      <c r="M740" s="39" t="n">
        <v>-4500</v>
      </c>
      <c r="N740" s="38" t="s">
        <v>66</v>
      </c>
      <c r="O740" s="38" t="n">
        <f aca="false">YEAR(B740)</f>
        <v>2024</v>
      </c>
      <c r="P740" s="41" t="n">
        <f aca="false">DATE(YEAR(B740),MONTH(B740),1)</f>
        <v>45413</v>
      </c>
      <c r="Q740" s="0" t="str">
        <f aca="false">INDEX(Products!$C$2:$C$16,MATCH(E740,Products!$A$2:$A$16,0))</f>
        <v>Technology</v>
      </c>
      <c r="R740" s="0" t="str">
        <f aca="false">INDEX(Customers!$F$2:$F$101,MATCH(D740,Customers!$A$2:$A$101,0))</f>
        <v>West</v>
      </c>
      <c r="S740" s="0" t="str">
        <f aca="false">INDEX(Customers!$C$2:$C$101,MATCH(D740,Customers!$A$2:$A$101,0))</f>
        <v>Small Business</v>
      </c>
      <c r="T740" s="0" t="str">
        <f aca="false">INDEX(Customers!$D$2:$D$101,MATCH(D740,Customers!$A$2:$A$101,0))</f>
        <v>Pune</v>
      </c>
    </row>
    <row r="741" customFormat="false" ht="15" hidden="false" customHeight="false" outlineLevel="0" collapsed="false">
      <c r="A741" s="0" t="s">
        <v>1012</v>
      </c>
      <c r="B741" s="37" t="n">
        <v>45338</v>
      </c>
      <c r="C741" s="37" t="n">
        <v>45341</v>
      </c>
      <c r="D741" s="38" t="s">
        <v>364</v>
      </c>
      <c r="E741" s="38" t="s">
        <v>119</v>
      </c>
      <c r="F741" s="38" t="s">
        <v>102</v>
      </c>
      <c r="G741" s="38" t="s">
        <v>173</v>
      </c>
      <c r="H741" s="0" t="n">
        <v>2</v>
      </c>
      <c r="I741" s="39" t="n">
        <v>250</v>
      </c>
      <c r="J741" s="40" t="n">
        <v>0.25</v>
      </c>
      <c r="K741" s="39" t="n">
        <v>375</v>
      </c>
      <c r="L741" s="39" t="n">
        <v>240</v>
      </c>
      <c r="M741" s="39" t="n">
        <v>135</v>
      </c>
      <c r="N741" s="38" t="s">
        <v>66</v>
      </c>
      <c r="O741" s="38" t="n">
        <f aca="false">YEAR(B741)</f>
        <v>2024</v>
      </c>
      <c r="P741" s="41" t="n">
        <f aca="false">DATE(YEAR(B741),MONTH(B741),1)</f>
        <v>45323</v>
      </c>
      <c r="Q741" s="0" t="str">
        <f aca="false">INDEX(Products!$C$2:$C$16,MATCH(E741,Products!$A$2:$A$16,0))</f>
        <v>Office Supplies</v>
      </c>
      <c r="R741" s="0" t="str">
        <f aca="false">INDEX(Customers!$F$2:$F$101,MATCH(D741,Customers!$A$2:$A$101,0))</f>
        <v>North</v>
      </c>
      <c r="S741" s="0" t="str">
        <f aca="false">INDEX(Customers!$C$2:$C$101,MATCH(D741,Customers!$A$2:$A$101,0))</f>
        <v>Corporate</v>
      </c>
      <c r="T741" s="0" t="str">
        <f aca="false">INDEX(Customers!$D$2:$D$101,MATCH(D741,Customers!$A$2:$A$101,0))</f>
        <v>Jaipur</v>
      </c>
    </row>
    <row r="742" customFormat="false" ht="15" hidden="false" customHeight="false" outlineLevel="0" collapsed="false">
      <c r="A742" s="0" t="s">
        <v>1013</v>
      </c>
      <c r="B742" s="37" t="n">
        <v>45580</v>
      </c>
      <c r="C742" s="37" t="n">
        <v>45583</v>
      </c>
      <c r="D742" s="38" t="s">
        <v>177</v>
      </c>
      <c r="E742" s="38" t="s">
        <v>124</v>
      </c>
      <c r="F742" s="38" t="s">
        <v>101</v>
      </c>
      <c r="G742" s="38" t="s">
        <v>188</v>
      </c>
      <c r="H742" s="0" t="n">
        <v>4</v>
      </c>
      <c r="I742" s="39" t="n">
        <v>3000</v>
      </c>
      <c r="J742" s="40" t="n">
        <v>0.05</v>
      </c>
      <c r="K742" s="39" t="n">
        <v>11400</v>
      </c>
      <c r="L742" s="39" t="n">
        <v>7600</v>
      </c>
      <c r="M742" s="39" t="n">
        <v>3800</v>
      </c>
      <c r="N742" s="38" t="s">
        <v>66</v>
      </c>
      <c r="O742" s="38" t="n">
        <f aca="false">YEAR(B742)</f>
        <v>2024</v>
      </c>
      <c r="P742" s="41" t="n">
        <f aca="false">DATE(YEAR(B742),MONTH(B742),1)</f>
        <v>45566</v>
      </c>
      <c r="Q742" s="0" t="str">
        <f aca="false">INDEX(Products!$C$2:$C$16,MATCH(E742,Products!$A$2:$A$16,0))</f>
        <v>Technology</v>
      </c>
      <c r="R742" s="0" t="str">
        <f aca="false">INDEX(Customers!$F$2:$F$101,MATCH(D742,Customers!$A$2:$A$101,0))</f>
        <v>North</v>
      </c>
      <c r="S742" s="0" t="str">
        <f aca="false">INDEX(Customers!$C$2:$C$101,MATCH(D742,Customers!$A$2:$A$101,0))</f>
        <v>Consumer</v>
      </c>
      <c r="T742" s="0" t="str">
        <f aca="false">INDEX(Customers!$D$2:$D$101,MATCH(D742,Customers!$A$2:$A$101,0))</f>
        <v>Gurugram</v>
      </c>
    </row>
    <row r="743" customFormat="false" ht="15" hidden="false" customHeight="false" outlineLevel="0" collapsed="false">
      <c r="A743" s="0" t="s">
        <v>1014</v>
      </c>
      <c r="B743" s="37" t="n">
        <v>45408</v>
      </c>
      <c r="C743" s="37" t="n">
        <v>45414</v>
      </c>
      <c r="D743" s="38" t="s">
        <v>276</v>
      </c>
      <c r="E743" s="38" t="s">
        <v>113</v>
      </c>
      <c r="F743" s="38" t="s">
        <v>102</v>
      </c>
      <c r="G743" s="38" t="s">
        <v>188</v>
      </c>
      <c r="H743" s="0" t="n">
        <v>2</v>
      </c>
      <c r="I743" s="39" t="n">
        <v>45000</v>
      </c>
      <c r="J743" s="40" t="n">
        <v>0.1</v>
      </c>
      <c r="K743" s="39" t="n">
        <v>81000</v>
      </c>
      <c r="L743" s="39" t="n">
        <v>72000</v>
      </c>
      <c r="M743" s="39" t="n">
        <v>9000</v>
      </c>
      <c r="N743" s="38" t="s">
        <v>66</v>
      </c>
      <c r="O743" s="38" t="n">
        <f aca="false">YEAR(B743)</f>
        <v>2024</v>
      </c>
      <c r="P743" s="41" t="n">
        <f aca="false">DATE(YEAR(B743),MONTH(B743),1)</f>
        <v>45383</v>
      </c>
      <c r="Q743" s="0" t="str">
        <f aca="false">INDEX(Products!$C$2:$C$16,MATCH(E743,Products!$A$2:$A$16,0))</f>
        <v>Technology</v>
      </c>
      <c r="R743" s="0" t="str">
        <f aca="false">INDEX(Customers!$F$2:$F$101,MATCH(D743,Customers!$A$2:$A$101,0))</f>
        <v>North</v>
      </c>
      <c r="S743" s="0" t="str">
        <f aca="false">INDEX(Customers!$C$2:$C$101,MATCH(D743,Customers!$A$2:$A$101,0))</f>
        <v>Small Business</v>
      </c>
      <c r="T743" s="0" t="str">
        <f aca="false">INDEX(Customers!$D$2:$D$101,MATCH(D743,Customers!$A$2:$A$101,0))</f>
        <v>Lucknow</v>
      </c>
    </row>
    <row r="744" customFormat="false" ht="15" hidden="false" customHeight="false" outlineLevel="0" collapsed="false">
      <c r="A744" s="0" t="s">
        <v>1015</v>
      </c>
      <c r="B744" s="37" t="n">
        <v>45471</v>
      </c>
      <c r="C744" s="37" t="n">
        <v>45473</v>
      </c>
      <c r="D744" s="38" t="s">
        <v>221</v>
      </c>
      <c r="E744" s="38" t="s">
        <v>126</v>
      </c>
      <c r="F744" s="38" t="s">
        <v>102</v>
      </c>
      <c r="G744" s="38" t="s">
        <v>185</v>
      </c>
      <c r="H744" s="0" t="n">
        <v>2</v>
      </c>
      <c r="I744" s="39" t="n">
        <v>1200</v>
      </c>
      <c r="J744" s="40" t="n">
        <v>0.05</v>
      </c>
      <c r="K744" s="39" t="n">
        <v>2280</v>
      </c>
      <c r="L744" s="39" t="n">
        <v>1400</v>
      </c>
      <c r="M744" s="39" t="n">
        <v>880</v>
      </c>
      <c r="N744" s="38" t="s">
        <v>146</v>
      </c>
      <c r="O744" s="38" t="n">
        <f aca="false">YEAR(B744)</f>
        <v>2024</v>
      </c>
      <c r="P744" s="41" t="n">
        <f aca="false">DATE(YEAR(B744),MONTH(B744),1)</f>
        <v>45444</v>
      </c>
      <c r="Q744" s="0" t="str">
        <f aca="false">INDEX(Products!$C$2:$C$16,MATCH(E744,Products!$A$2:$A$16,0))</f>
        <v>Furniture</v>
      </c>
      <c r="R744" s="0" t="str">
        <f aca="false">INDEX(Customers!$F$2:$F$101,MATCH(D744,Customers!$A$2:$A$101,0))</f>
        <v>North</v>
      </c>
      <c r="S744" s="0" t="str">
        <f aca="false">INDEX(Customers!$C$2:$C$101,MATCH(D744,Customers!$A$2:$A$101,0))</f>
        <v>Consumer</v>
      </c>
      <c r="T744" s="0" t="str">
        <f aca="false">INDEX(Customers!$D$2:$D$101,MATCH(D744,Customers!$A$2:$A$101,0))</f>
        <v>Delhi</v>
      </c>
    </row>
    <row r="745" customFormat="false" ht="15" hidden="false" customHeight="false" outlineLevel="0" collapsed="false">
      <c r="A745" s="0" t="s">
        <v>1016</v>
      </c>
      <c r="B745" s="37" t="n">
        <v>45431</v>
      </c>
      <c r="C745" s="37" t="n">
        <v>45435</v>
      </c>
      <c r="D745" s="38" t="s">
        <v>294</v>
      </c>
      <c r="E745" s="38" t="s">
        <v>123</v>
      </c>
      <c r="F745" s="38" t="s">
        <v>102</v>
      </c>
      <c r="G745" s="38" t="s">
        <v>170</v>
      </c>
      <c r="H745" s="0" t="n">
        <v>1</v>
      </c>
      <c r="I745" s="39" t="n">
        <v>2200</v>
      </c>
      <c r="J745" s="40" t="n">
        <v>0.1</v>
      </c>
      <c r="K745" s="39" t="n">
        <v>1980</v>
      </c>
      <c r="L745" s="39" t="n">
        <v>1300</v>
      </c>
      <c r="M745" s="39" t="n">
        <v>680</v>
      </c>
      <c r="N745" s="38" t="s">
        <v>66</v>
      </c>
      <c r="O745" s="38" t="n">
        <f aca="false">YEAR(B745)</f>
        <v>2024</v>
      </c>
      <c r="P745" s="41" t="n">
        <f aca="false">DATE(YEAR(B745),MONTH(B745),1)</f>
        <v>45413</v>
      </c>
      <c r="Q745" s="0" t="str">
        <f aca="false">INDEX(Products!$C$2:$C$16,MATCH(E745,Products!$A$2:$A$16,0))</f>
        <v>Technology</v>
      </c>
      <c r="R745" s="0" t="str">
        <f aca="false">INDEX(Customers!$F$2:$F$101,MATCH(D745,Customers!$A$2:$A$101,0))</f>
        <v>South</v>
      </c>
      <c r="S745" s="0" t="str">
        <f aca="false">INDEX(Customers!$C$2:$C$101,MATCH(D745,Customers!$A$2:$A$101,0))</f>
        <v>Small Business</v>
      </c>
      <c r="T745" s="0" t="str">
        <f aca="false">INDEX(Customers!$D$2:$D$101,MATCH(D745,Customers!$A$2:$A$101,0))</f>
        <v>Chennai</v>
      </c>
    </row>
    <row r="746" customFormat="false" ht="15" hidden="false" customHeight="false" outlineLevel="0" collapsed="false">
      <c r="A746" s="0" t="s">
        <v>1017</v>
      </c>
      <c r="B746" s="37" t="n">
        <v>46052</v>
      </c>
      <c r="C746" s="37" t="n">
        <v>46053</v>
      </c>
      <c r="D746" s="38" t="s">
        <v>198</v>
      </c>
      <c r="E746" s="38" t="s">
        <v>127</v>
      </c>
      <c r="F746" s="38" t="s">
        <v>102</v>
      </c>
      <c r="G746" s="38" t="s">
        <v>170</v>
      </c>
      <c r="H746" s="0" t="n">
        <v>5</v>
      </c>
      <c r="I746" s="39" t="n">
        <v>18000</v>
      </c>
      <c r="J746" s="40" t="n">
        <v>0.05</v>
      </c>
      <c r="K746" s="39" t="n">
        <v>85500</v>
      </c>
      <c r="L746" s="39" t="n">
        <v>70000</v>
      </c>
      <c r="M746" s="39" t="n">
        <v>15500</v>
      </c>
      <c r="N746" s="38" t="s">
        <v>66</v>
      </c>
      <c r="O746" s="38" t="n">
        <f aca="false">YEAR(B746)</f>
        <v>2026</v>
      </c>
      <c r="P746" s="41" t="n">
        <f aca="false">DATE(YEAR(B746),MONTH(B746),1)</f>
        <v>46023</v>
      </c>
      <c r="Q746" s="0" t="str">
        <f aca="false">INDEX(Products!$C$2:$C$16,MATCH(E746,Products!$A$2:$A$16,0))</f>
        <v>Technology</v>
      </c>
      <c r="R746" s="0" t="str">
        <f aca="false">INDEX(Customers!$F$2:$F$101,MATCH(D746,Customers!$A$2:$A$101,0))</f>
        <v>North</v>
      </c>
      <c r="S746" s="0" t="str">
        <f aca="false">INDEX(Customers!$C$2:$C$101,MATCH(D746,Customers!$A$2:$A$101,0))</f>
        <v>Consumer</v>
      </c>
      <c r="T746" s="0" t="str">
        <f aca="false">INDEX(Customers!$D$2:$D$101,MATCH(D746,Customers!$A$2:$A$101,0))</f>
        <v>Gurugram</v>
      </c>
    </row>
    <row r="747" customFormat="false" ht="15" hidden="false" customHeight="false" outlineLevel="0" collapsed="false">
      <c r="A747" s="0" t="s">
        <v>1018</v>
      </c>
      <c r="B747" s="37" t="n">
        <v>45883</v>
      </c>
      <c r="C747" s="37" t="n">
        <v>45889</v>
      </c>
      <c r="D747" s="38" t="s">
        <v>675</v>
      </c>
      <c r="E747" s="38" t="s">
        <v>116</v>
      </c>
      <c r="F747" s="38" t="s">
        <v>101</v>
      </c>
      <c r="G747" s="38" t="s">
        <v>178</v>
      </c>
      <c r="H747" s="0" t="n">
        <v>2</v>
      </c>
      <c r="I747" s="39" t="n">
        <v>12000</v>
      </c>
      <c r="J747" s="40" t="n">
        <v>0.25</v>
      </c>
      <c r="K747" s="39" t="n">
        <v>18000</v>
      </c>
      <c r="L747" s="39" t="n">
        <v>18000</v>
      </c>
      <c r="M747" s="39" t="n">
        <v>0</v>
      </c>
      <c r="N747" s="38" t="s">
        <v>146</v>
      </c>
      <c r="O747" s="38" t="n">
        <f aca="false">YEAR(B747)</f>
        <v>2025</v>
      </c>
      <c r="P747" s="41" t="n">
        <f aca="false">DATE(YEAR(B747),MONTH(B747),1)</f>
        <v>45870</v>
      </c>
      <c r="Q747" s="0" t="str">
        <f aca="false">INDEX(Products!$C$2:$C$16,MATCH(E747,Products!$A$2:$A$16,0))</f>
        <v>Technology</v>
      </c>
      <c r="R747" s="0" t="str">
        <f aca="false">INDEX(Customers!$F$2:$F$101,MATCH(D747,Customers!$A$2:$A$101,0))</f>
        <v>East</v>
      </c>
      <c r="S747" s="0" t="str">
        <f aca="false">INDEX(Customers!$C$2:$C$101,MATCH(D747,Customers!$A$2:$A$101,0))</f>
        <v>Small Business</v>
      </c>
      <c r="T747" s="0" t="str">
        <f aca="false">INDEX(Customers!$D$2:$D$101,MATCH(D747,Customers!$A$2:$A$101,0))</f>
        <v>Kolkata</v>
      </c>
    </row>
    <row r="748" customFormat="false" ht="15" hidden="false" customHeight="false" outlineLevel="0" collapsed="false">
      <c r="A748" s="0" t="s">
        <v>1019</v>
      </c>
      <c r="B748" s="37" t="n">
        <v>45323</v>
      </c>
      <c r="C748" s="37" t="n">
        <v>45326</v>
      </c>
      <c r="D748" s="38" t="s">
        <v>194</v>
      </c>
      <c r="E748" s="38" t="s">
        <v>126</v>
      </c>
      <c r="F748" s="38" t="s">
        <v>102</v>
      </c>
      <c r="G748" s="38" t="s">
        <v>173</v>
      </c>
      <c r="H748" s="0" t="n">
        <v>10</v>
      </c>
      <c r="I748" s="39" t="n">
        <v>1200</v>
      </c>
      <c r="J748" s="40" t="n">
        <v>0.2</v>
      </c>
      <c r="K748" s="39" t="n">
        <v>9600</v>
      </c>
      <c r="L748" s="39" t="n">
        <v>7000</v>
      </c>
      <c r="M748" s="39" t="n">
        <v>2600</v>
      </c>
      <c r="N748" s="38" t="s">
        <v>66</v>
      </c>
      <c r="O748" s="38" t="n">
        <f aca="false">YEAR(B748)</f>
        <v>2024</v>
      </c>
      <c r="P748" s="41" t="n">
        <f aca="false">DATE(YEAR(B748),MONTH(B748),1)</f>
        <v>45323</v>
      </c>
      <c r="Q748" s="0" t="str">
        <f aca="false">INDEX(Products!$C$2:$C$16,MATCH(E748,Products!$A$2:$A$16,0))</f>
        <v>Furniture</v>
      </c>
      <c r="R748" s="0" t="str">
        <f aca="false">INDEX(Customers!$F$2:$F$101,MATCH(D748,Customers!$A$2:$A$101,0))</f>
        <v>North</v>
      </c>
      <c r="S748" s="0" t="str">
        <f aca="false">INDEX(Customers!$C$2:$C$101,MATCH(D748,Customers!$A$2:$A$101,0))</f>
        <v>Small Business</v>
      </c>
      <c r="T748" s="0" t="str">
        <f aca="false">INDEX(Customers!$D$2:$D$101,MATCH(D748,Customers!$A$2:$A$101,0))</f>
        <v>Gurugram</v>
      </c>
    </row>
    <row r="749" customFormat="false" ht="15" hidden="false" customHeight="false" outlineLevel="0" collapsed="false">
      <c r="A749" s="0" t="s">
        <v>1020</v>
      </c>
      <c r="B749" s="37" t="n">
        <v>45901</v>
      </c>
      <c r="C749" s="37" t="n">
        <v>45902</v>
      </c>
      <c r="D749" s="38" t="s">
        <v>473</v>
      </c>
      <c r="E749" s="38" t="s">
        <v>115</v>
      </c>
      <c r="F749" s="38" t="s">
        <v>101</v>
      </c>
      <c r="G749" s="38" t="s">
        <v>170</v>
      </c>
      <c r="H749" s="0" t="n">
        <v>5</v>
      </c>
      <c r="I749" s="39" t="n">
        <v>1500</v>
      </c>
      <c r="J749" s="40" t="n">
        <v>0.25</v>
      </c>
      <c r="K749" s="39" t="n">
        <v>5625</v>
      </c>
      <c r="L749" s="39" t="n">
        <v>4250</v>
      </c>
      <c r="M749" s="39" t="n">
        <v>1375</v>
      </c>
      <c r="N749" s="38" t="s">
        <v>66</v>
      </c>
      <c r="O749" s="38" t="n">
        <f aca="false">YEAR(B749)</f>
        <v>2025</v>
      </c>
      <c r="P749" s="41" t="n">
        <f aca="false">DATE(YEAR(B749),MONTH(B749),1)</f>
        <v>45901</v>
      </c>
      <c r="Q749" s="0" t="str">
        <f aca="false">INDEX(Products!$C$2:$C$16,MATCH(E749,Products!$A$2:$A$16,0))</f>
        <v>Technology</v>
      </c>
      <c r="R749" s="0" t="str">
        <f aca="false">INDEX(Customers!$F$2:$F$101,MATCH(D749,Customers!$A$2:$A$101,0))</f>
        <v>North</v>
      </c>
      <c r="S749" s="0" t="str">
        <f aca="false">INDEX(Customers!$C$2:$C$101,MATCH(D749,Customers!$A$2:$A$101,0))</f>
        <v>Consumer</v>
      </c>
      <c r="T749" s="0" t="str">
        <f aca="false">INDEX(Customers!$D$2:$D$101,MATCH(D749,Customers!$A$2:$A$101,0))</f>
        <v>Gurugram</v>
      </c>
    </row>
    <row r="750" customFormat="false" ht="15" hidden="false" customHeight="false" outlineLevel="0" collapsed="false">
      <c r="A750" s="0" t="s">
        <v>1021</v>
      </c>
      <c r="B750" s="37" t="n">
        <v>45380</v>
      </c>
      <c r="C750" s="37" t="n">
        <v>45384</v>
      </c>
      <c r="D750" s="38" t="s">
        <v>638</v>
      </c>
      <c r="E750" s="38" t="s">
        <v>119</v>
      </c>
      <c r="F750" s="38" t="s">
        <v>101</v>
      </c>
      <c r="G750" s="38" t="s">
        <v>170</v>
      </c>
      <c r="H750" s="0" t="n">
        <v>5</v>
      </c>
      <c r="I750" s="39" t="n">
        <v>250</v>
      </c>
      <c r="J750" s="40" t="n">
        <v>0.05</v>
      </c>
      <c r="K750" s="39" t="n">
        <v>1187.5</v>
      </c>
      <c r="L750" s="39" t="n">
        <v>600</v>
      </c>
      <c r="M750" s="39" t="n">
        <v>587.5</v>
      </c>
      <c r="N750" s="38" t="s">
        <v>66</v>
      </c>
      <c r="O750" s="38" t="n">
        <f aca="false">YEAR(B750)</f>
        <v>2024</v>
      </c>
      <c r="P750" s="41" t="n">
        <f aca="false">DATE(YEAR(B750),MONTH(B750),1)</f>
        <v>45352</v>
      </c>
      <c r="Q750" s="0" t="str">
        <f aca="false">INDEX(Products!$C$2:$C$16,MATCH(E750,Products!$A$2:$A$16,0))</f>
        <v>Office Supplies</v>
      </c>
      <c r="R750" s="0" t="str">
        <f aca="false">INDEX(Customers!$F$2:$F$101,MATCH(D750,Customers!$A$2:$A$101,0))</f>
        <v>North</v>
      </c>
      <c r="S750" s="0" t="str">
        <f aca="false">INDEX(Customers!$C$2:$C$101,MATCH(D750,Customers!$A$2:$A$101,0))</f>
        <v>Small Business</v>
      </c>
      <c r="T750" s="0" t="str">
        <f aca="false">INDEX(Customers!$D$2:$D$101,MATCH(D750,Customers!$A$2:$A$101,0))</f>
        <v>Lucknow</v>
      </c>
    </row>
    <row r="751" customFormat="false" ht="15" hidden="false" customHeight="false" outlineLevel="0" collapsed="false">
      <c r="A751" s="0" t="s">
        <v>1022</v>
      </c>
      <c r="B751" s="37" t="n">
        <v>45406</v>
      </c>
      <c r="C751" s="37" t="n">
        <v>45409</v>
      </c>
      <c r="D751" s="38" t="s">
        <v>253</v>
      </c>
      <c r="E751" s="38" t="s">
        <v>115</v>
      </c>
      <c r="F751" s="38" t="s">
        <v>100</v>
      </c>
      <c r="G751" s="38" t="s">
        <v>178</v>
      </c>
      <c r="H751" s="0" t="n">
        <v>4</v>
      </c>
      <c r="I751" s="39" t="n">
        <v>1500</v>
      </c>
      <c r="J751" s="40" t="n">
        <v>0.25</v>
      </c>
      <c r="K751" s="39" t="n">
        <v>4500</v>
      </c>
      <c r="L751" s="39" t="n">
        <v>3400</v>
      </c>
      <c r="M751" s="39" t="n">
        <v>1100</v>
      </c>
      <c r="N751" s="38" t="s">
        <v>66</v>
      </c>
      <c r="O751" s="38" t="n">
        <f aca="false">YEAR(B751)</f>
        <v>2024</v>
      </c>
      <c r="P751" s="41" t="n">
        <f aca="false">DATE(YEAR(B751),MONTH(B751),1)</f>
        <v>45383</v>
      </c>
      <c r="Q751" s="0" t="str">
        <f aca="false">INDEX(Products!$C$2:$C$16,MATCH(E751,Products!$A$2:$A$16,0))</f>
        <v>Technology</v>
      </c>
      <c r="R751" s="0" t="str">
        <f aca="false">INDEX(Customers!$F$2:$F$101,MATCH(D751,Customers!$A$2:$A$101,0))</f>
        <v>East</v>
      </c>
      <c r="S751" s="0" t="str">
        <f aca="false">INDEX(Customers!$C$2:$C$101,MATCH(D751,Customers!$A$2:$A$101,0))</f>
        <v>Small Business</v>
      </c>
      <c r="T751" s="0" t="str">
        <f aca="false">INDEX(Customers!$D$2:$D$101,MATCH(D751,Customers!$A$2:$A$101,0))</f>
        <v>Bhubaneswar</v>
      </c>
    </row>
    <row r="752" customFormat="false" ht="15" hidden="false" customHeight="false" outlineLevel="0" collapsed="false">
      <c r="A752" s="0" t="s">
        <v>1023</v>
      </c>
      <c r="B752" s="37" t="n">
        <v>45786</v>
      </c>
      <c r="C752" s="37" t="n">
        <v>45791</v>
      </c>
      <c r="D752" s="38" t="s">
        <v>221</v>
      </c>
      <c r="E752" s="38" t="s">
        <v>125</v>
      </c>
      <c r="F752" s="38" t="s">
        <v>101</v>
      </c>
      <c r="G752" s="38" t="s">
        <v>188</v>
      </c>
      <c r="H752" s="0" t="n">
        <v>1</v>
      </c>
      <c r="I752" s="39" t="n">
        <v>600</v>
      </c>
      <c r="J752" s="40" t="n">
        <v>0.05</v>
      </c>
      <c r="K752" s="39" t="n">
        <v>570</v>
      </c>
      <c r="L752" s="39" t="n">
        <v>350</v>
      </c>
      <c r="M752" s="39" t="n">
        <v>220</v>
      </c>
      <c r="N752" s="38" t="s">
        <v>66</v>
      </c>
      <c r="O752" s="38" t="n">
        <f aca="false">YEAR(B752)</f>
        <v>2025</v>
      </c>
      <c r="P752" s="41" t="n">
        <f aca="false">DATE(YEAR(B752),MONTH(B752),1)</f>
        <v>45778</v>
      </c>
      <c r="Q752" s="0" t="str">
        <f aca="false">INDEX(Products!$C$2:$C$16,MATCH(E752,Products!$A$2:$A$16,0))</f>
        <v>Office Supplies</v>
      </c>
      <c r="R752" s="0" t="str">
        <f aca="false">INDEX(Customers!$F$2:$F$101,MATCH(D752,Customers!$A$2:$A$101,0))</f>
        <v>North</v>
      </c>
      <c r="S752" s="0" t="str">
        <f aca="false">INDEX(Customers!$C$2:$C$101,MATCH(D752,Customers!$A$2:$A$101,0))</f>
        <v>Consumer</v>
      </c>
      <c r="T752" s="0" t="str">
        <f aca="false">INDEX(Customers!$D$2:$D$101,MATCH(D752,Customers!$A$2:$A$101,0))</f>
        <v>Delhi</v>
      </c>
    </row>
    <row r="753" customFormat="false" ht="15" hidden="false" customHeight="false" outlineLevel="0" collapsed="false">
      <c r="A753" s="0" t="s">
        <v>1024</v>
      </c>
      <c r="B753" s="37" t="n">
        <v>46079</v>
      </c>
      <c r="C753" s="37" t="n">
        <v>46086</v>
      </c>
      <c r="D753" s="38" t="s">
        <v>390</v>
      </c>
      <c r="E753" s="38" t="s">
        <v>115</v>
      </c>
      <c r="F753" s="38" t="s">
        <v>102</v>
      </c>
      <c r="G753" s="38" t="s">
        <v>173</v>
      </c>
      <c r="H753" s="0" t="n">
        <v>1</v>
      </c>
      <c r="I753" s="39" t="n">
        <v>1500</v>
      </c>
      <c r="J753" s="40" t="n">
        <v>0.15</v>
      </c>
      <c r="K753" s="39" t="n">
        <v>1275</v>
      </c>
      <c r="L753" s="39" t="n">
        <v>850</v>
      </c>
      <c r="M753" s="39" t="n">
        <v>425</v>
      </c>
      <c r="N753" s="38" t="s">
        <v>66</v>
      </c>
      <c r="O753" s="38" t="n">
        <f aca="false">YEAR(B753)</f>
        <v>2026</v>
      </c>
      <c r="P753" s="41" t="n">
        <f aca="false">DATE(YEAR(B753),MONTH(B753),1)</f>
        <v>46054</v>
      </c>
      <c r="Q753" s="0" t="str">
        <f aca="false">INDEX(Products!$C$2:$C$16,MATCH(E753,Products!$A$2:$A$16,0))</f>
        <v>Technology</v>
      </c>
      <c r="R753" s="0" t="str">
        <f aca="false">INDEX(Customers!$F$2:$F$101,MATCH(D753,Customers!$A$2:$A$101,0))</f>
        <v>South</v>
      </c>
      <c r="S753" s="0" t="str">
        <f aca="false">INDEX(Customers!$C$2:$C$101,MATCH(D753,Customers!$A$2:$A$101,0))</f>
        <v>Consumer</v>
      </c>
      <c r="T753" s="0" t="str">
        <f aca="false">INDEX(Customers!$D$2:$D$101,MATCH(D753,Customers!$A$2:$A$101,0))</f>
        <v>Chennai</v>
      </c>
    </row>
    <row r="754" customFormat="false" ht="15" hidden="false" customHeight="false" outlineLevel="0" collapsed="false">
      <c r="A754" s="0" t="s">
        <v>1025</v>
      </c>
      <c r="B754" s="37" t="n">
        <v>45688</v>
      </c>
      <c r="C754" s="37" t="n">
        <v>45694</v>
      </c>
      <c r="D754" s="38" t="s">
        <v>294</v>
      </c>
      <c r="E754" s="38" t="s">
        <v>120</v>
      </c>
      <c r="F754" s="38" t="s">
        <v>100</v>
      </c>
      <c r="G754" s="38" t="s">
        <v>170</v>
      </c>
      <c r="H754" s="0" t="n">
        <v>5</v>
      </c>
      <c r="I754" s="39" t="n">
        <v>400</v>
      </c>
      <c r="J754" s="40" t="n">
        <v>0</v>
      </c>
      <c r="K754" s="39" t="n">
        <v>2000</v>
      </c>
      <c r="L754" s="39" t="n">
        <v>1300</v>
      </c>
      <c r="M754" s="39" t="n">
        <v>700</v>
      </c>
      <c r="N754" s="38" t="s">
        <v>146</v>
      </c>
      <c r="O754" s="38" t="n">
        <f aca="false">YEAR(B754)</f>
        <v>2025</v>
      </c>
      <c r="P754" s="41" t="n">
        <f aca="false">DATE(YEAR(B754),MONTH(B754),1)</f>
        <v>45658</v>
      </c>
      <c r="Q754" s="0" t="str">
        <f aca="false">INDEX(Products!$C$2:$C$16,MATCH(E754,Products!$A$2:$A$16,0))</f>
        <v>Office Supplies</v>
      </c>
      <c r="R754" s="0" t="str">
        <f aca="false">INDEX(Customers!$F$2:$F$101,MATCH(D754,Customers!$A$2:$A$101,0))</f>
        <v>South</v>
      </c>
      <c r="S754" s="0" t="str">
        <f aca="false">INDEX(Customers!$C$2:$C$101,MATCH(D754,Customers!$A$2:$A$101,0))</f>
        <v>Small Business</v>
      </c>
      <c r="T754" s="0" t="str">
        <f aca="false">INDEX(Customers!$D$2:$D$101,MATCH(D754,Customers!$A$2:$A$101,0))</f>
        <v>Chennai</v>
      </c>
    </row>
    <row r="755" customFormat="false" ht="15" hidden="false" customHeight="false" outlineLevel="0" collapsed="false">
      <c r="A755" s="0" t="s">
        <v>1026</v>
      </c>
      <c r="B755" s="37" t="n">
        <v>45900</v>
      </c>
      <c r="C755" s="37" t="n">
        <v>45907</v>
      </c>
      <c r="D755" s="38" t="s">
        <v>312</v>
      </c>
      <c r="E755" s="38" t="s">
        <v>126</v>
      </c>
      <c r="F755" s="38" t="s">
        <v>100</v>
      </c>
      <c r="G755" s="38" t="s">
        <v>178</v>
      </c>
      <c r="H755" s="0" t="n">
        <v>1</v>
      </c>
      <c r="I755" s="39" t="n">
        <v>1200</v>
      </c>
      <c r="J755" s="40" t="n">
        <v>0.1</v>
      </c>
      <c r="K755" s="39" t="n">
        <v>1080</v>
      </c>
      <c r="L755" s="39" t="n">
        <v>700</v>
      </c>
      <c r="M755" s="39" t="n">
        <v>380</v>
      </c>
      <c r="N755" s="38" t="s">
        <v>66</v>
      </c>
      <c r="O755" s="38" t="n">
        <f aca="false">YEAR(B755)</f>
        <v>2025</v>
      </c>
      <c r="P755" s="41" t="n">
        <f aca="false">DATE(YEAR(B755),MONTH(B755),1)</f>
        <v>45870</v>
      </c>
      <c r="Q755" s="0" t="str">
        <f aca="false">INDEX(Products!$C$2:$C$16,MATCH(E755,Products!$A$2:$A$16,0))</f>
        <v>Furniture</v>
      </c>
      <c r="R755" s="0" t="str">
        <f aca="false">INDEX(Customers!$F$2:$F$101,MATCH(D755,Customers!$A$2:$A$101,0))</f>
        <v>North</v>
      </c>
      <c r="S755" s="0" t="str">
        <f aca="false">INDEX(Customers!$C$2:$C$101,MATCH(D755,Customers!$A$2:$A$101,0))</f>
        <v>Corporate</v>
      </c>
      <c r="T755" s="0" t="str">
        <f aca="false">INDEX(Customers!$D$2:$D$101,MATCH(D755,Customers!$A$2:$A$101,0))</f>
        <v>Delhi</v>
      </c>
    </row>
    <row r="756" customFormat="false" ht="15" hidden="false" customHeight="false" outlineLevel="0" collapsed="false">
      <c r="A756" s="0" t="s">
        <v>1027</v>
      </c>
      <c r="B756" s="37" t="n">
        <v>45611</v>
      </c>
      <c r="C756" s="37" t="n">
        <v>45612</v>
      </c>
      <c r="D756" s="38" t="s">
        <v>522</v>
      </c>
      <c r="E756" s="38" t="s">
        <v>124</v>
      </c>
      <c r="F756" s="38" t="s">
        <v>102</v>
      </c>
      <c r="G756" s="38" t="s">
        <v>173</v>
      </c>
      <c r="H756" s="0" t="n">
        <v>3</v>
      </c>
      <c r="I756" s="39" t="n">
        <v>3000</v>
      </c>
      <c r="J756" s="40" t="n">
        <v>0.05</v>
      </c>
      <c r="K756" s="39" t="n">
        <v>8550</v>
      </c>
      <c r="L756" s="39" t="n">
        <v>5700</v>
      </c>
      <c r="M756" s="39" t="n">
        <v>2850</v>
      </c>
      <c r="N756" s="38" t="s">
        <v>66</v>
      </c>
      <c r="O756" s="38" t="n">
        <f aca="false">YEAR(B756)</f>
        <v>2024</v>
      </c>
      <c r="P756" s="41" t="n">
        <f aca="false">DATE(YEAR(B756),MONTH(B756),1)</f>
        <v>45597</v>
      </c>
      <c r="Q756" s="0" t="str">
        <f aca="false">INDEX(Products!$C$2:$C$16,MATCH(E756,Products!$A$2:$A$16,0))</f>
        <v>Technology</v>
      </c>
      <c r="R756" s="0" t="str">
        <f aca="false">INDEX(Customers!$F$2:$F$101,MATCH(D756,Customers!$A$2:$A$101,0))</f>
        <v>West</v>
      </c>
      <c r="S756" s="0" t="str">
        <f aca="false">INDEX(Customers!$C$2:$C$101,MATCH(D756,Customers!$A$2:$A$101,0))</f>
        <v>Consumer</v>
      </c>
      <c r="T756" s="0" t="str">
        <f aca="false">INDEX(Customers!$D$2:$D$101,MATCH(D756,Customers!$A$2:$A$101,0))</f>
        <v>Ahmedabad</v>
      </c>
    </row>
    <row r="757" customFormat="false" ht="15" hidden="false" customHeight="false" outlineLevel="0" collapsed="false">
      <c r="A757" s="0" t="s">
        <v>1028</v>
      </c>
      <c r="B757" s="37" t="n">
        <v>45575</v>
      </c>
      <c r="C757" s="37" t="n">
        <v>45580</v>
      </c>
      <c r="D757" s="38" t="s">
        <v>236</v>
      </c>
      <c r="E757" s="38" t="s">
        <v>117</v>
      </c>
      <c r="F757" s="38" t="s">
        <v>102</v>
      </c>
      <c r="G757" s="38" t="s">
        <v>178</v>
      </c>
      <c r="H757" s="0" t="n">
        <v>2</v>
      </c>
      <c r="I757" s="39" t="n">
        <v>6500</v>
      </c>
      <c r="J757" s="40" t="n">
        <v>0.1</v>
      </c>
      <c r="K757" s="39" t="n">
        <v>11700</v>
      </c>
      <c r="L757" s="39" t="n">
        <v>8400</v>
      </c>
      <c r="M757" s="39" t="n">
        <v>3300</v>
      </c>
      <c r="N757" s="38" t="s">
        <v>66</v>
      </c>
      <c r="O757" s="38" t="n">
        <f aca="false">YEAR(B757)</f>
        <v>2024</v>
      </c>
      <c r="P757" s="41" t="n">
        <f aca="false">DATE(YEAR(B757),MONTH(B757),1)</f>
        <v>45566</v>
      </c>
      <c r="Q757" s="0" t="str">
        <f aca="false">INDEX(Products!$C$2:$C$16,MATCH(E757,Products!$A$2:$A$16,0))</f>
        <v>Furniture</v>
      </c>
      <c r="R757" s="0" t="str">
        <f aca="false">INDEX(Customers!$F$2:$F$101,MATCH(D757,Customers!$A$2:$A$101,0))</f>
        <v>West</v>
      </c>
      <c r="S757" s="0" t="str">
        <f aca="false">INDEX(Customers!$C$2:$C$101,MATCH(D757,Customers!$A$2:$A$101,0))</f>
        <v>Small Business</v>
      </c>
      <c r="T757" s="0" t="str">
        <f aca="false">INDEX(Customers!$D$2:$D$101,MATCH(D757,Customers!$A$2:$A$101,0))</f>
        <v>Pune</v>
      </c>
    </row>
    <row r="758" customFormat="false" ht="15" hidden="false" customHeight="false" outlineLevel="0" collapsed="false">
      <c r="A758" s="0" t="s">
        <v>1029</v>
      </c>
      <c r="B758" s="37" t="n">
        <v>45409</v>
      </c>
      <c r="C758" s="37" t="n">
        <v>45410</v>
      </c>
      <c r="D758" s="38" t="s">
        <v>404</v>
      </c>
      <c r="E758" s="38" t="s">
        <v>117</v>
      </c>
      <c r="F758" s="38" t="s">
        <v>102</v>
      </c>
      <c r="G758" s="38" t="s">
        <v>178</v>
      </c>
      <c r="H758" s="0" t="n">
        <v>8</v>
      </c>
      <c r="I758" s="39" t="n">
        <v>6500</v>
      </c>
      <c r="J758" s="40" t="n">
        <v>0.15</v>
      </c>
      <c r="K758" s="39" t="n">
        <v>44200</v>
      </c>
      <c r="L758" s="39" t="n">
        <v>33600</v>
      </c>
      <c r="M758" s="39" t="n">
        <v>10600</v>
      </c>
      <c r="N758" s="38" t="s">
        <v>66</v>
      </c>
      <c r="O758" s="38" t="n">
        <f aca="false">YEAR(B758)</f>
        <v>2024</v>
      </c>
      <c r="P758" s="41" t="n">
        <f aca="false">DATE(YEAR(B758),MONTH(B758),1)</f>
        <v>45383</v>
      </c>
      <c r="Q758" s="0" t="str">
        <f aca="false">INDEX(Products!$C$2:$C$16,MATCH(E758,Products!$A$2:$A$16,0))</f>
        <v>Furniture</v>
      </c>
      <c r="R758" s="0" t="str">
        <f aca="false">INDEX(Customers!$F$2:$F$101,MATCH(D758,Customers!$A$2:$A$101,0))</f>
        <v>West</v>
      </c>
      <c r="S758" s="0" t="str">
        <f aca="false">INDEX(Customers!$C$2:$C$101,MATCH(D758,Customers!$A$2:$A$101,0))</f>
        <v>Small Business</v>
      </c>
      <c r="T758" s="0" t="str">
        <f aca="false">INDEX(Customers!$D$2:$D$101,MATCH(D758,Customers!$A$2:$A$101,0))</f>
        <v>Mumbai</v>
      </c>
    </row>
    <row r="759" customFormat="false" ht="15" hidden="false" customHeight="false" outlineLevel="0" collapsed="false">
      <c r="A759" s="0" t="s">
        <v>1030</v>
      </c>
      <c r="B759" s="37" t="n">
        <v>45618</v>
      </c>
      <c r="C759" s="37" t="n">
        <v>45621</v>
      </c>
      <c r="D759" s="38" t="s">
        <v>414</v>
      </c>
      <c r="E759" s="38" t="s">
        <v>121</v>
      </c>
      <c r="F759" s="38" t="s">
        <v>101</v>
      </c>
      <c r="G759" s="38" t="s">
        <v>188</v>
      </c>
      <c r="H759" s="0" t="n">
        <v>1</v>
      </c>
      <c r="I759" s="39" t="n">
        <v>180</v>
      </c>
      <c r="J759" s="40" t="n">
        <v>0.2</v>
      </c>
      <c r="K759" s="39" t="n">
        <v>144</v>
      </c>
      <c r="L759" s="39" t="n">
        <v>70</v>
      </c>
      <c r="M759" s="39" t="n">
        <v>74</v>
      </c>
      <c r="N759" s="38" t="s">
        <v>66</v>
      </c>
      <c r="O759" s="38" t="n">
        <f aca="false">YEAR(B759)</f>
        <v>2024</v>
      </c>
      <c r="P759" s="41" t="n">
        <f aca="false">DATE(YEAR(B759),MONTH(B759),1)</f>
        <v>45597</v>
      </c>
      <c r="Q759" s="0" t="str">
        <f aca="false">INDEX(Products!$C$2:$C$16,MATCH(E759,Products!$A$2:$A$16,0))</f>
        <v>Office Supplies</v>
      </c>
      <c r="R759" s="0" t="str">
        <f aca="false">INDEX(Customers!$F$2:$F$101,MATCH(D759,Customers!$A$2:$A$101,0))</f>
        <v>South</v>
      </c>
      <c r="S759" s="0" t="str">
        <f aca="false">INDEX(Customers!$C$2:$C$101,MATCH(D759,Customers!$A$2:$A$101,0))</f>
        <v>Small Business</v>
      </c>
      <c r="T759" s="0" t="str">
        <f aca="false">INDEX(Customers!$D$2:$D$101,MATCH(D759,Customers!$A$2:$A$101,0))</f>
        <v>Bengaluru</v>
      </c>
    </row>
    <row r="760" customFormat="false" ht="15" hidden="false" customHeight="false" outlineLevel="0" collapsed="false">
      <c r="A760" s="0" t="s">
        <v>1031</v>
      </c>
      <c r="B760" s="37" t="n">
        <v>45919</v>
      </c>
      <c r="C760" s="37" t="n">
        <v>45922</v>
      </c>
      <c r="D760" s="38" t="s">
        <v>381</v>
      </c>
      <c r="E760" s="38" t="s">
        <v>117</v>
      </c>
      <c r="F760" s="38" t="s">
        <v>100</v>
      </c>
      <c r="G760" s="38" t="s">
        <v>178</v>
      </c>
      <c r="H760" s="0" t="n">
        <v>2</v>
      </c>
      <c r="I760" s="39" t="n">
        <v>6500</v>
      </c>
      <c r="J760" s="40" t="n">
        <v>0</v>
      </c>
      <c r="K760" s="39" t="n">
        <v>13000</v>
      </c>
      <c r="L760" s="39" t="n">
        <v>8400</v>
      </c>
      <c r="M760" s="39" t="n">
        <v>4600</v>
      </c>
      <c r="N760" s="38" t="s">
        <v>66</v>
      </c>
      <c r="O760" s="38" t="n">
        <f aca="false">YEAR(B760)</f>
        <v>2025</v>
      </c>
      <c r="P760" s="41" t="n">
        <f aca="false">DATE(YEAR(B760),MONTH(B760),1)</f>
        <v>45901</v>
      </c>
      <c r="Q760" s="0" t="str">
        <f aca="false">INDEX(Products!$C$2:$C$16,MATCH(E760,Products!$A$2:$A$16,0))</f>
        <v>Furniture</v>
      </c>
      <c r="R760" s="0" t="str">
        <f aca="false">INDEX(Customers!$F$2:$F$101,MATCH(D760,Customers!$A$2:$A$101,0))</f>
        <v>West</v>
      </c>
      <c r="S760" s="0" t="str">
        <f aca="false">INDEX(Customers!$C$2:$C$101,MATCH(D760,Customers!$A$2:$A$101,0))</f>
        <v>Consumer</v>
      </c>
      <c r="T760" s="0" t="str">
        <f aca="false">INDEX(Customers!$D$2:$D$101,MATCH(D760,Customers!$A$2:$A$101,0))</f>
        <v>Pune</v>
      </c>
    </row>
    <row r="761" customFormat="false" ht="15" hidden="false" customHeight="false" outlineLevel="0" collapsed="false">
      <c r="A761" s="0" t="s">
        <v>1032</v>
      </c>
      <c r="B761" s="37" t="n">
        <v>45400</v>
      </c>
      <c r="C761" s="37" t="n">
        <v>45404</v>
      </c>
      <c r="D761" s="38" t="s">
        <v>268</v>
      </c>
      <c r="E761" s="38" t="s">
        <v>113</v>
      </c>
      <c r="F761" s="38" t="s">
        <v>101</v>
      </c>
      <c r="G761" s="38" t="s">
        <v>173</v>
      </c>
      <c r="H761" s="0" t="n">
        <v>1</v>
      </c>
      <c r="I761" s="39" t="n">
        <v>45000</v>
      </c>
      <c r="J761" s="40" t="n">
        <v>0.1</v>
      </c>
      <c r="K761" s="39" t="n">
        <v>40500</v>
      </c>
      <c r="L761" s="39" t="n">
        <v>36000</v>
      </c>
      <c r="M761" s="39" t="n">
        <v>4500</v>
      </c>
      <c r="N761" s="38" t="s">
        <v>66</v>
      </c>
      <c r="O761" s="38" t="n">
        <f aca="false">YEAR(B761)</f>
        <v>2024</v>
      </c>
      <c r="P761" s="41" t="n">
        <f aca="false">DATE(YEAR(B761),MONTH(B761),1)</f>
        <v>45383</v>
      </c>
      <c r="Q761" s="0" t="str">
        <f aca="false">INDEX(Products!$C$2:$C$16,MATCH(E761,Products!$A$2:$A$16,0))</f>
        <v>Technology</v>
      </c>
      <c r="R761" s="0" t="str">
        <f aca="false">INDEX(Customers!$F$2:$F$101,MATCH(D761,Customers!$A$2:$A$101,0))</f>
        <v>South</v>
      </c>
      <c r="S761" s="0" t="str">
        <f aca="false">INDEX(Customers!$C$2:$C$101,MATCH(D761,Customers!$A$2:$A$101,0))</f>
        <v>Consumer</v>
      </c>
      <c r="T761" s="0" t="str">
        <f aca="false">INDEX(Customers!$D$2:$D$101,MATCH(D761,Customers!$A$2:$A$101,0))</f>
        <v>Bengaluru</v>
      </c>
    </row>
    <row r="762" customFormat="false" ht="15" hidden="false" customHeight="false" outlineLevel="0" collapsed="false">
      <c r="A762" s="0" t="s">
        <v>1033</v>
      </c>
      <c r="B762" s="37" t="n">
        <v>46148</v>
      </c>
      <c r="C762" s="37" t="n">
        <v>46154</v>
      </c>
      <c r="D762" s="38" t="s">
        <v>244</v>
      </c>
      <c r="E762" s="38" t="s">
        <v>123</v>
      </c>
      <c r="F762" s="38" t="s">
        <v>101</v>
      </c>
      <c r="G762" s="38" t="s">
        <v>170</v>
      </c>
      <c r="H762" s="0" t="n">
        <v>3</v>
      </c>
      <c r="I762" s="39" t="n">
        <v>2200</v>
      </c>
      <c r="J762" s="40" t="n">
        <v>0.15</v>
      </c>
      <c r="K762" s="39" t="n">
        <v>5610</v>
      </c>
      <c r="L762" s="39" t="n">
        <v>3900</v>
      </c>
      <c r="M762" s="39" t="n">
        <v>1710</v>
      </c>
      <c r="N762" s="38" t="s">
        <v>66</v>
      </c>
      <c r="O762" s="38" t="n">
        <f aca="false">YEAR(B762)</f>
        <v>2026</v>
      </c>
      <c r="P762" s="41" t="n">
        <f aca="false">DATE(YEAR(B762),MONTH(B762),1)</f>
        <v>46143</v>
      </c>
      <c r="Q762" s="0" t="str">
        <f aca="false">INDEX(Products!$C$2:$C$16,MATCH(E762,Products!$A$2:$A$16,0))</f>
        <v>Technology</v>
      </c>
      <c r="R762" s="0" t="str">
        <f aca="false">INDEX(Customers!$F$2:$F$101,MATCH(D762,Customers!$A$2:$A$101,0))</f>
        <v>North</v>
      </c>
      <c r="S762" s="0" t="str">
        <f aca="false">INDEX(Customers!$C$2:$C$101,MATCH(D762,Customers!$A$2:$A$101,0))</f>
        <v>Consumer</v>
      </c>
      <c r="T762" s="0" t="str">
        <f aca="false">INDEX(Customers!$D$2:$D$101,MATCH(D762,Customers!$A$2:$A$101,0))</f>
        <v>Gurugram</v>
      </c>
    </row>
    <row r="763" customFormat="false" ht="15" hidden="false" customHeight="false" outlineLevel="0" collapsed="false">
      <c r="A763" s="0" t="s">
        <v>1034</v>
      </c>
      <c r="B763" s="37" t="n">
        <v>46068</v>
      </c>
      <c r="C763" s="37" t="n">
        <v>46074</v>
      </c>
      <c r="D763" s="38" t="s">
        <v>177</v>
      </c>
      <c r="E763" s="38" t="s">
        <v>124</v>
      </c>
      <c r="F763" s="38" t="s">
        <v>101</v>
      </c>
      <c r="G763" s="38" t="s">
        <v>188</v>
      </c>
      <c r="H763" s="0" t="n">
        <v>4</v>
      </c>
      <c r="I763" s="39" t="n">
        <v>3000</v>
      </c>
      <c r="J763" s="40" t="n">
        <v>0</v>
      </c>
      <c r="K763" s="39" t="n">
        <v>12000</v>
      </c>
      <c r="L763" s="39" t="n">
        <v>7600</v>
      </c>
      <c r="M763" s="39" t="n">
        <v>4400</v>
      </c>
      <c r="N763" s="38" t="s">
        <v>66</v>
      </c>
      <c r="O763" s="38" t="n">
        <f aca="false">YEAR(B763)</f>
        <v>2026</v>
      </c>
      <c r="P763" s="41" t="n">
        <f aca="false">DATE(YEAR(B763),MONTH(B763),1)</f>
        <v>46054</v>
      </c>
      <c r="Q763" s="0" t="str">
        <f aca="false">INDEX(Products!$C$2:$C$16,MATCH(E763,Products!$A$2:$A$16,0))</f>
        <v>Technology</v>
      </c>
      <c r="R763" s="0" t="str">
        <f aca="false">INDEX(Customers!$F$2:$F$101,MATCH(D763,Customers!$A$2:$A$101,0))</f>
        <v>North</v>
      </c>
      <c r="S763" s="0" t="str">
        <f aca="false">INDEX(Customers!$C$2:$C$101,MATCH(D763,Customers!$A$2:$A$101,0))</f>
        <v>Consumer</v>
      </c>
      <c r="T763" s="0" t="str">
        <f aca="false">INDEX(Customers!$D$2:$D$101,MATCH(D763,Customers!$A$2:$A$101,0))</f>
        <v>Gurugram</v>
      </c>
    </row>
    <row r="764" customFormat="false" ht="15" hidden="false" customHeight="false" outlineLevel="0" collapsed="false">
      <c r="A764" s="0" t="s">
        <v>1035</v>
      </c>
      <c r="B764" s="37" t="n">
        <v>45391</v>
      </c>
      <c r="C764" s="37" t="n">
        <v>45395</v>
      </c>
      <c r="D764" s="38" t="s">
        <v>184</v>
      </c>
      <c r="E764" s="38" t="s">
        <v>120</v>
      </c>
      <c r="F764" s="38" t="s">
        <v>102</v>
      </c>
      <c r="G764" s="38" t="s">
        <v>185</v>
      </c>
      <c r="H764" s="0" t="n">
        <v>2</v>
      </c>
      <c r="I764" s="39" t="n">
        <v>400</v>
      </c>
      <c r="J764" s="40" t="n">
        <v>0.2</v>
      </c>
      <c r="K764" s="39" t="n">
        <v>640</v>
      </c>
      <c r="L764" s="39" t="n">
        <v>520</v>
      </c>
      <c r="M764" s="39" t="n">
        <v>120</v>
      </c>
      <c r="N764" s="38" t="s">
        <v>66</v>
      </c>
      <c r="O764" s="38" t="n">
        <f aca="false">YEAR(B764)</f>
        <v>2024</v>
      </c>
      <c r="P764" s="41" t="n">
        <f aca="false">DATE(YEAR(B764),MONTH(B764),1)</f>
        <v>45383</v>
      </c>
      <c r="Q764" s="0" t="str">
        <f aca="false">INDEX(Products!$C$2:$C$16,MATCH(E764,Products!$A$2:$A$16,0))</f>
        <v>Office Supplies</v>
      </c>
      <c r="R764" s="0" t="str">
        <f aca="false">INDEX(Customers!$F$2:$F$101,MATCH(D764,Customers!$A$2:$A$101,0))</f>
        <v>West</v>
      </c>
      <c r="S764" s="0" t="str">
        <f aca="false">INDEX(Customers!$C$2:$C$101,MATCH(D764,Customers!$A$2:$A$101,0))</f>
        <v>Consumer</v>
      </c>
      <c r="T764" s="0" t="str">
        <f aca="false">INDEX(Customers!$D$2:$D$101,MATCH(D764,Customers!$A$2:$A$101,0))</f>
        <v>Ahmedabad</v>
      </c>
    </row>
    <row r="765" customFormat="false" ht="15" hidden="false" customHeight="false" outlineLevel="0" collapsed="false">
      <c r="A765" s="0" t="s">
        <v>1036</v>
      </c>
      <c r="B765" s="37" t="n">
        <v>46173</v>
      </c>
      <c r="C765" s="37" t="n">
        <v>46178</v>
      </c>
      <c r="D765" s="38" t="s">
        <v>255</v>
      </c>
      <c r="E765" s="38" t="s">
        <v>115</v>
      </c>
      <c r="F765" s="38" t="s">
        <v>101</v>
      </c>
      <c r="G765" s="38" t="s">
        <v>173</v>
      </c>
      <c r="H765" s="0" t="n">
        <v>1</v>
      </c>
      <c r="I765" s="39" t="n">
        <v>1500</v>
      </c>
      <c r="J765" s="40" t="n">
        <v>0.05</v>
      </c>
      <c r="K765" s="39" t="n">
        <v>1425</v>
      </c>
      <c r="L765" s="39" t="n">
        <v>850</v>
      </c>
      <c r="M765" s="39" t="n">
        <v>575</v>
      </c>
      <c r="N765" s="38" t="s">
        <v>66</v>
      </c>
      <c r="O765" s="38" t="n">
        <f aca="false">YEAR(B765)</f>
        <v>2026</v>
      </c>
      <c r="P765" s="41" t="n">
        <f aca="false">DATE(YEAR(B765),MONTH(B765),1)</f>
        <v>46143</v>
      </c>
      <c r="Q765" s="0" t="str">
        <f aca="false">INDEX(Products!$C$2:$C$16,MATCH(E765,Products!$A$2:$A$16,0))</f>
        <v>Technology</v>
      </c>
      <c r="R765" s="0" t="str">
        <f aca="false">INDEX(Customers!$F$2:$F$101,MATCH(D765,Customers!$A$2:$A$101,0))</f>
        <v>East</v>
      </c>
      <c r="S765" s="0" t="str">
        <f aca="false">INDEX(Customers!$C$2:$C$101,MATCH(D765,Customers!$A$2:$A$101,0))</f>
        <v>Small Business</v>
      </c>
      <c r="T765" s="0" t="str">
        <f aca="false">INDEX(Customers!$D$2:$D$101,MATCH(D765,Customers!$A$2:$A$101,0))</f>
        <v>Kolkata</v>
      </c>
    </row>
    <row r="766" customFormat="false" ht="15" hidden="false" customHeight="false" outlineLevel="0" collapsed="false">
      <c r="A766" s="0" t="s">
        <v>1037</v>
      </c>
      <c r="B766" s="37" t="n">
        <v>46099</v>
      </c>
      <c r="C766" s="37" t="n">
        <v>46106</v>
      </c>
      <c r="D766" s="38" t="s">
        <v>232</v>
      </c>
      <c r="E766" s="38" t="s">
        <v>118</v>
      </c>
      <c r="F766" s="38" t="s">
        <v>101</v>
      </c>
      <c r="G766" s="38" t="s">
        <v>178</v>
      </c>
      <c r="H766" s="0" t="n">
        <v>5</v>
      </c>
      <c r="I766" s="39" t="n">
        <v>9000</v>
      </c>
      <c r="J766" s="40" t="n">
        <v>0.1</v>
      </c>
      <c r="K766" s="39" t="n">
        <v>40500</v>
      </c>
      <c r="L766" s="39" t="n">
        <v>32500</v>
      </c>
      <c r="M766" s="39" t="n">
        <v>8000</v>
      </c>
      <c r="N766" s="38" t="s">
        <v>66</v>
      </c>
      <c r="O766" s="38" t="n">
        <f aca="false">YEAR(B766)</f>
        <v>2026</v>
      </c>
      <c r="P766" s="41" t="n">
        <f aca="false">DATE(YEAR(B766),MONTH(B766),1)</f>
        <v>46082</v>
      </c>
      <c r="Q766" s="0" t="str">
        <f aca="false">INDEX(Products!$C$2:$C$16,MATCH(E766,Products!$A$2:$A$16,0))</f>
        <v>Furniture</v>
      </c>
      <c r="R766" s="0" t="str">
        <f aca="false">INDEX(Customers!$F$2:$F$101,MATCH(D766,Customers!$A$2:$A$101,0))</f>
        <v>West</v>
      </c>
      <c r="S766" s="0" t="str">
        <f aca="false">INDEX(Customers!$C$2:$C$101,MATCH(D766,Customers!$A$2:$A$101,0))</f>
        <v>Consumer</v>
      </c>
      <c r="T766" s="0" t="str">
        <f aca="false">INDEX(Customers!$D$2:$D$101,MATCH(D766,Customers!$A$2:$A$101,0))</f>
        <v>Ahmedabad</v>
      </c>
    </row>
    <row r="767" customFormat="false" ht="15" hidden="false" customHeight="false" outlineLevel="0" collapsed="false">
      <c r="A767" s="0" t="s">
        <v>1038</v>
      </c>
      <c r="B767" s="37" t="n">
        <v>45782</v>
      </c>
      <c r="C767" s="37" t="n">
        <v>45786</v>
      </c>
      <c r="D767" s="38" t="s">
        <v>369</v>
      </c>
      <c r="E767" s="38" t="s">
        <v>118</v>
      </c>
      <c r="F767" s="38" t="s">
        <v>101</v>
      </c>
      <c r="G767" s="38" t="s">
        <v>188</v>
      </c>
      <c r="H767" s="0" t="n">
        <v>5</v>
      </c>
      <c r="I767" s="39" t="n">
        <v>9000</v>
      </c>
      <c r="J767" s="40" t="n">
        <v>0.05</v>
      </c>
      <c r="K767" s="39" t="n">
        <v>42750</v>
      </c>
      <c r="L767" s="39" t="n">
        <v>32500</v>
      </c>
      <c r="M767" s="39" t="n">
        <v>10250</v>
      </c>
      <c r="N767" s="38" t="s">
        <v>66</v>
      </c>
      <c r="O767" s="38" t="n">
        <f aca="false">YEAR(B767)</f>
        <v>2025</v>
      </c>
      <c r="P767" s="41" t="n">
        <f aca="false">DATE(YEAR(B767),MONTH(B767),1)</f>
        <v>45778</v>
      </c>
      <c r="Q767" s="0" t="str">
        <f aca="false">INDEX(Products!$C$2:$C$16,MATCH(E767,Products!$A$2:$A$16,0))</f>
        <v>Furniture</v>
      </c>
      <c r="R767" s="0" t="str">
        <f aca="false">INDEX(Customers!$F$2:$F$101,MATCH(D767,Customers!$A$2:$A$101,0))</f>
        <v>West</v>
      </c>
      <c r="S767" s="0" t="str">
        <f aca="false">INDEX(Customers!$C$2:$C$101,MATCH(D767,Customers!$A$2:$A$101,0))</f>
        <v>Consumer</v>
      </c>
      <c r="T767" s="0" t="str">
        <f aca="false">INDEX(Customers!$D$2:$D$101,MATCH(D767,Customers!$A$2:$A$101,0))</f>
        <v>Mumbai</v>
      </c>
    </row>
    <row r="768" customFormat="false" ht="15" hidden="false" customHeight="false" outlineLevel="0" collapsed="false">
      <c r="A768" s="0" t="s">
        <v>1039</v>
      </c>
      <c r="B768" s="37" t="n">
        <v>45707</v>
      </c>
      <c r="C768" s="37" t="n">
        <v>45714</v>
      </c>
      <c r="D768" s="38" t="s">
        <v>447</v>
      </c>
      <c r="E768" s="38" t="s">
        <v>114</v>
      </c>
      <c r="F768" s="38" t="s">
        <v>101</v>
      </c>
      <c r="G768" s="38" t="s">
        <v>188</v>
      </c>
      <c r="H768" s="0" t="n">
        <v>4</v>
      </c>
      <c r="I768" s="39" t="n">
        <v>800</v>
      </c>
      <c r="J768" s="40" t="n">
        <v>0</v>
      </c>
      <c r="K768" s="39" t="n">
        <v>3200</v>
      </c>
      <c r="L768" s="39" t="n">
        <v>1680</v>
      </c>
      <c r="M768" s="39" t="n">
        <v>1520</v>
      </c>
      <c r="N768" s="38" t="s">
        <v>66</v>
      </c>
      <c r="O768" s="38" t="n">
        <f aca="false">YEAR(B768)</f>
        <v>2025</v>
      </c>
      <c r="P768" s="41" t="n">
        <f aca="false">DATE(YEAR(B768),MONTH(B768),1)</f>
        <v>45689</v>
      </c>
      <c r="Q768" s="0" t="str">
        <f aca="false">INDEX(Products!$C$2:$C$16,MATCH(E768,Products!$A$2:$A$16,0))</f>
        <v>Technology</v>
      </c>
      <c r="R768" s="0" t="str">
        <f aca="false">INDEX(Customers!$F$2:$F$101,MATCH(D768,Customers!$A$2:$A$101,0))</f>
        <v>North</v>
      </c>
      <c r="S768" s="0" t="str">
        <f aca="false">INDEX(Customers!$C$2:$C$101,MATCH(D768,Customers!$A$2:$A$101,0))</f>
        <v>Corporate</v>
      </c>
      <c r="T768" s="0" t="str">
        <f aca="false">INDEX(Customers!$D$2:$D$101,MATCH(D768,Customers!$A$2:$A$101,0))</f>
        <v>Jaipur</v>
      </c>
    </row>
    <row r="769" customFormat="false" ht="15" hidden="false" customHeight="false" outlineLevel="0" collapsed="false">
      <c r="A769" s="0" t="s">
        <v>1040</v>
      </c>
      <c r="B769" s="37" t="n">
        <v>45764</v>
      </c>
      <c r="C769" s="37" t="n">
        <v>45768</v>
      </c>
      <c r="D769" s="38" t="s">
        <v>253</v>
      </c>
      <c r="E769" s="38" t="s">
        <v>121</v>
      </c>
      <c r="F769" s="38" t="s">
        <v>102</v>
      </c>
      <c r="G769" s="38" t="s">
        <v>173</v>
      </c>
      <c r="H769" s="0" t="n">
        <v>3</v>
      </c>
      <c r="I769" s="39" t="n">
        <v>180</v>
      </c>
      <c r="J769" s="40" t="n">
        <v>0</v>
      </c>
      <c r="K769" s="39" t="n">
        <v>540</v>
      </c>
      <c r="L769" s="39" t="n">
        <v>210</v>
      </c>
      <c r="M769" s="39" t="n">
        <v>330</v>
      </c>
      <c r="N769" s="38" t="s">
        <v>66</v>
      </c>
      <c r="O769" s="38" t="n">
        <f aca="false">YEAR(B769)</f>
        <v>2025</v>
      </c>
      <c r="P769" s="41" t="n">
        <f aca="false">DATE(YEAR(B769),MONTH(B769),1)</f>
        <v>45748</v>
      </c>
      <c r="Q769" s="0" t="str">
        <f aca="false">INDEX(Products!$C$2:$C$16,MATCH(E769,Products!$A$2:$A$16,0))</f>
        <v>Office Supplies</v>
      </c>
      <c r="R769" s="0" t="str">
        <f aca="false">INDEX(Customers!$F$2:$F$101,MATCH(D769,Customers!$A$2:$A$101,0))</f>
        <v>East</v>
      </c>
      <c r="S769" s="0" t="str">
        <f aca="false">INDEX(Customers!$C$2:$C$101,MATCH(D769,Customers!$A$2:$A$101,0))</f>
        <v>Small Business</v>
      </c>
      <c r="T769" s="0" t="str">
        <f aca="false">INDEX(Customers!$D$2:$D$101,MATCH(D769,Customers!$A$2:$A$101,0))</f>
        <v>Bhubaneswar</v>
      </c>
    </row>
    <row r="770" customFormat="false" ht="15" hidden="false" customHeight="false" outlineLevel="0" collapsed="false">
      <c r="A770" s="0" t="s">
        <v>1041</v>
      </c>
      <c r="B770" s="37" t="n">
        <v>45359</v>
      </c>
      <c r="C770" s="37" t="n">
        <v>45362</v>
      </c>
      <c r="D770" s="38" t="s">
        <v>249</v>
      </c>
      <c r="E770" s="38" t="s">
        <v>119</v>
      </c>
      <c r="F770" s="38" t="s">
        <v>102</v>
      </c>
      <c r="G770" s="38" t="s">
        <v>185</v>
      </c>
      <c r="H770" s="0" t="n">
        <v>1</v>
      </c>
      <c r="I770" s="39" t="n">
        <v>250</v>
      </c>
      <c r="J770" s="40" t="n">
        <v>0.2</v>
      </c>
      <c r="K770" s="39" t="n">
        <v>200</v>
      </c>
      <c r="L770" s="39" t="n">
        <v>120</v>
      </c>
      <c r="M770" s="39" t="n">
        <v>80</v>
      </c>
      <c r="N770" s="38" t="s">
        <v>66</v>
      </c>
      <c r="O770" s="38" t="n">
        <f aca="false">YEAR(B770)</f>
        <v>2024</v>
      </c>
      <c r="P770" s="41" t="n">
        <f aca="false">DATE(YEAR(B770),MONTH(B770),1)</f>
        <v>45352</v>
      </c>
      <c r="Q770" s="0" t="str">
        <f aca="false">INDEX(Products!$C$2:$C$16,MATCH(E770,Products!$A$2:$A$16,0))</f>
        <v>Office Supplies</v>
      </c>
      <c r="R770" s="0" t="str">
        <f aca="false">INDEX(Customers!$F$2:$F$101,MATCH(D770,Customers!$A$2:$A$101,0))</f>
        <v>East</v>
      </c>
      <c r="S770" s="0" t="str">
        <f aca="false">INDEX(Customers!$C$2:$C$101,MATCH(D770,Customers!$A$2:$A$101,0))</f>
        <v>Consumer</v>
      </c>
      <c r="T770" s="0" t="str">
        <f aca="false">INDEX(Customers!$D$2:$D$101,MATCH(D770,Customers!$A$2:$A$101,0))</f>
        <v>Kolkata</v>
      </c>
    </row>
    <row r="771" customFormat="false" ht="15" hidden="false" customHeight="false" outlineLevel="0" collapsed="false">
      <c r="A771" s="0" t="s">
        <v>1042</v>
      </c>
      <c r="B771" s="37" t="n">
        <v>46098</v>
      </c>
      <c r="C771" s="37" t="n">
        <v>46101</v>
      </c>
      <c r="D771" s="38" t="s">
        <v>272</v>
      </c>
      <c r="E771" s="38" t="s">
        <v>122</v>
      </c>
      <c r="F771" s="38" t="s">
        <v>100</v>
      </c>
      <c r="G771" s="38" t="s">
        <v>178</v>
      </c>
      <c r="H771" s="0" t="n">
        <v>2</v>
      </c>
      <c r="I771" s="39" t="n">
        <v>5500</v>
      </c>
      <c r="J771" s="40" t="n">
        <v>0</v>
      </c>
      <c r="K771" s="39" t="n">
        <v>11000</v>
      </c>
      <c r="L771" s="39" t="n">
        <v>7400</v>
      </c>
      <c r="M771" s="39" t="n">
        <v>3600</v>
      </c>
      <c r="N771" s="38" t="s">
        <v>66</v>
      </c>
      <c r="O771" s="38" t="n">
        <f aca="false">YEAR(B771)</f>
        <v>2026</v>
      </c>
      <c r="P771" s="41" t="n">
        <f aca="false">DATE(YEAR(B771),MONTH(B771),1)</f>
        <v>46082</v>
      </c>
      <c r="Q771" s="0" t="str">
        <f aca="false">INDEX(Products!$C$2:$C$16,MATCH(E771,Products!$A$2:$A$16,0))</f>
        <v>Furniture</v>
      </c>
      <c r="R771" s="0" t="str">
        <f aca="false">INDEX(Customers!$F$2:$F$101,MATCH(D771,Customers!$A$2:$A$101,0))</f>
        <v>West</v>
      </c>
      <c r="S771" s="0" t="str">
        <f aca="false">INDEX(Customers!$C$2:$C$101,MATCH(D771,Customers!$A$2:$A$101,0))</f>
        <v>Corporate</v>
      </c>
      <c r="T771" s="0" t="str">
        <f aca="false">INDEX(Customers!$D$2:$D$101,MATCH(D771,Customers!$A$2:$A$101,0))</f>
        <v>Ahmedabad</v>
      </c>
    </row>
    <row r="772" customFormat="false" ht="15" hidden="false" customHeight="false" outlineLevel="0" collapsed="false">
      <c r="A772" s="0" t="s">
        <v>1043</v>
      </c>
      <c r="B772" s="37" t="n">
        <v>46148</v>
      </c>
      <c r="C772" s="37" t="n">
        <v>46152</v>
      </c>
      <c r="D772" s="38" t="s">
        <v>285</v>
      </c>
      <c r="E772" s="38" t="s">
        <v>122</v>
      </c>
      <c r="F772" s="38" t="s">
        <v>101</v>
      </c>
      <c r="G772" s="38" t="s">
        <v>170</v>
      </c>
      <c r="H772" s="0" t="n">
        <v>1</v>
      </c>
      <c r="I772" s="39" t="n">
        <v>5500</v>
      </c>
      <c r="J772" s="40" t="n">
        <v>0.15</v>
      </c>
      <c r="K772" s="39" t="n">
        <v>4675</v>
      </c>
      <c r="L772" s="39" t="n">
        <v>3700</v>
      </c>
      <c r="M772" s="39" t="n">
        <v>975</v>
      </c>
      <c r="N772" s="38" t="s">
        <v>66</v>
      </c>
      <c r="O772" s="38" t="n">
        <f aca="false">YEAR(B772)</f>
        <v>2026</v>
      </c>
      <c r="P772" s="41" t="n">
        <f aca="false">DATE(YEAR(B772),MONTH(B772),1)</f>
        <v>46143</v>
      </c>
      <c r="Q772" s="0" t="str">
        <f aca="false">INDEX(Products!$C$2:$C$16,MATCH(E772,Products!$A$2:$A$16,0))</f>
        <v>Furniture</v>
      </c>
      <c r="R772" s="0" t="str">
        <f aca="false">INDEX(Customers!$F$2:$F$101,MATCH(D772,Customers!$A$2:$A$101,0))</f>
        <v>South</v>
      </c>
      <c r="S772" s="0" t="str">
        <f aca="false">INDEX(Customers!$C$2:$C$101,MATCH(D772,Customers!$A$2:$A$101,0))</f>
        <v>Small Business</v>
      </c>
      <c r="T772" s="0" t="str">
        <f aca="false">INDEX(Customers!$D$2:$D$101,MATCH(D772,Customers!$A$2:$A$101,0))</f>
        <v>Hyderabad</v>
      </c>
    </row>
    <row r="773" customFormat="false" ht="15" hidden="false" customHeight="false" outlineLevel="0" collapsed="false">
      <c r="A773" s="0" t="s">
        <v>1044</v>
      </c>
      <c r="B773" s="37" t="n">
        <v>45607</v>
      </c>
      <c r="C773" s="37" t="n">
        <v>45611</v>
      </c>
      <c r="D773" s="38" t="s">
        <v>172</v>
      </c>
      <c r="E773" s="38" t="s">
        <v>115</v>
      </c>
      <c r="F773" s="38" t="s">
        <v>102</v>
      </c>
      <c r="G773" s="38" t="s">
        <v>188</v>
      </c>
      <c r="H773" s="0" t="n">
        <v>1</v>
      </c>
      <c r="I773" s="39" t="n">
        <v>1500</v>
      </c>
      <c r="J773" s="40" t="n">
        <v>0</v>
      </c>
      <c r="K773" s="39" t="n">
        <v>1500</v>
      </c>
      <c r="L773" s="39" t="n">
        <v>850</v>
      </c>
      <c r="M773" s="39" t="n">
        <v>650</v>
      </c>
      <c r="N773" s="38" t="s">
        <v>66</v>
      </c>
      <c r="O773" s="38" t="n">
        <f aca="false">YEAR(B773)</f>
        <v>2024</v>
      </c>
      <c r="P773" s="41" t="n">
        <f aca="false">DATE(YEAR(B773),MONTH(B773),1)</f>
        <v>45597</v>
      </c>
      <c r="Q773" s="0" t="str">
        <f aca="false">INDEX(Products!$C$2:$C$16,MATCH(E773,Products!$A$2:$A$16,0))</f>
        <v>Technology</v>
      </c>
      <c r="R773" s="0" t="str">
        <f aca="false">INDEX(Customers!$F$2:$F$101,MATCH(D773,Customers!$A$2:$A$101,0))</f>
        <v>East</v>
      </c>
      <c r="S773" s="0" t="str">
        <f aca="false">INDEX(Customers!$C$2:$C$101,MATCH(D773,Customers!$A$2:$A$101,0))</f>
        <v>Consumer</v>
      </c>
      <c r="T773" s="0" t="str">
        <f aca="false">INDEX(Customers!$D$2:$D$101,MATCH(D773,Customers!$A$2:$A$101,0))</f>
        <v>Bhubaneswar</v>
      </c>
    </row>
    <row r="774" customFormat="false" ht="15" hidden="false" customHeight="false" outlineLevel="0" collapsed="false">
      <c r="A774" s="0" t="s">
        <v>1045</v>
      </c>
      <c r="B774" s="37" t="n">
        <v>45798</v>
      </c>
      <c r="C774" s="37" t="n">
        <v>45804</v>
      </c>
      <c r="D774" s="38" t="s">
        <v>517</v>
      </c>
      <c r="E774" s="38" t="s">
        <v>118</v>
      </c>
      <c r="F774" s="38" t="s">
        <v>100</v>
      </c>
      <c r="G774" s="38" t="s">
        <v>173</v>
      </c>
      <c r="H774" s="0" t="n">
        <v>3</v>
      </c>
      <c r="I774" s="39" t="n">
        <v>9000</v>
      </c>
      <c r="J774" s="40" t="n">
        <v>0</v>
      </c>
      <c r="K774" s="39" t="n">
        <v>27000</v>
      </c>
      <c r="L774" s="39" t="n">
        <v>19500</v>
      </c>
      <c r="M774" s="39" t="n">
        <v>7500</v>
      </c>
      <c r="N774" s="38" t="s">
        <v>66</v>
      </c>
      <c r="O774" s="38" t="n">
        <f aca="false">YEAR(B774)</f>
        <v>2025</v>
      </c>
      <c r="P774" s="41" t="n">
        <f aca="false">DATE(YEAR(B774),MONTH(B774),1)</f>
        <v>45778</v>
      </c>
      <c r="Q774" s="0" t="str">
        <f aca="false">INDEX(Products!$C$2:$C$16,MATCH(E774,Products!$A$2:$A$16,0))</f>
        <v>Furniture</v>
      </c>
      <c r="R774" s="0" t="str">
        <f aca="false">INDEX(Customers!$F$2:$F$101,MATCH(D774,Customers!$A$2:$A$101,0))</f>
        <v>East</v>
      </c>
      <c r="S774" s="0" t="str">
        <f aca="false">INDEX(Customers!$C$2:$C$101,MATCH(D774,Customers!$A$2:$A$101,0))</f>
        <v>Corporate</v>
      </c>
      <c r="T774" s="0" t="str">
        <f aca="false">INDEX(Customers!$D$2:$D$101,MATCH(D774,Customers!$A$2:$A$101,0))</f>
        <v>Kolkata</v>
      </c>
    </row>
    <row r="775" customFormat="false" ht="15" hidden="false" customHeight="false" outlineLevel="0" collapsed="false">
      <c r="A775" s="0" t="s">
        <v>1046</v>
      </c>
      <c r="B775" s="37" t="n">
        <v>46121</v>
      </c>
      <c r="C775" s="37" t="n">
        <v>46122</v>
      </c>
      <c r="D775" s="38" t="s">
        <v>192</v>
      </c>
      <c r="E775" s="38" t="s">
        <v>123</v>
      </c>
      <c r="F775" s="38" t="s">
        <v>100</v>
      </c>
      <c r="G775" s="38" t="s">
        <v>185</v>
      </c>
      <c r="H775" s="0" t="n">
        <v>4</v>
      </c>
      <c r="I775" s="39" t="n">
        <v>2200</v>
      </c>
      <c r="J775" s="40" t="n">
        <v>0.2</v>
      </c>
      <c r="K775" s="39" t="n">
        <v>7040</v>
      </c>
      <c r="L775" s="39" t="n">
        <v>5200</v>
      </c>
      <c r="M775" s="39" t="n">
        <v>1840</v>
      </c>
      <c r="N775" s="38" t="s">
        <v>66</v>
      </c>
      <c r="O775" s="38" t="n">
        <f aca="false">YEAR(B775)</f>
        <v>2026</v>
      </c>
      <c r="P775" s="41" t="n">
        <f aca="false">DATE(YEAR(B775),MONTH(B775),1)</f>
        <v>46113</v>
      </c>
      <c r="Q775" s="0" t="str">
        <f aca="false">INDEX(Products!$C$2:$C$16,MATCH(E775,Products!$A$2:$A$16,0))</f>
        <v>Technology</v>
      </c>
      <c r="R775" s="0" t="str">
        <f aca="false">INDEX(Customers!$F$2:$F$101,MATCH(D775,Customers!$A$2:$A$101,0))</f>
        <v>East</v>
      </c>
      <c r="S775" s="0" t="str">
        <f aca="false">INDEX(Customers!$C$2:$C$101,MATCH(D775,Customers!$A$2:$A$101,0))</f>
        <v>Small Business</v>
      </c>
      <c r="T775" s="0" t="str">
        <f aca="false">INDEX(Customers!$D$2:$D$101,MATCH(D775,Customers!$A$2:$A$101,0))</f>
        <v>Bhubaneswar</v>
      </c>
    </row>
    <row r="776" customFormat="false" ht="15" hidden="false" customHeight="false" outlineLevel="0" collapsed="false">
      <c r="A776" s="0" t="s">
        <v>1047</v>
      </c>
      <c r="B776" s="37" t="n">
        <v>45883</v>
      </c>
      <c r="C776" s="37" t="n">
        <v>45887</v>
      </c>
      <c r="D776" s="38" t="s">
        <v>473</v>
      </c>
      <c r="E776" s="38" t="s">
        <v>122</v>
      </c>
      <c r="F776" s="38" t="s">
        <v>101</v>
      </c>
      <c r="G776" s="38" t="s">
        <v>170</v>
      </c>
      <c r="H776" s="0" t="n">
        <v>1</v>
      </c>
      <c r="I776" s="39" t="n">
        <v>5500</v>
      </c>
      <c r="J776" s="40" t="n">
        <v>0.2</v>
      </c>
      <c r="K776" s="39" t="n">
        <v>4400</v>
      </c>
      <c r="L776" s="39" t="n">
        <v>3700</v>
      </c>
      <c r="M776" s="39" t="n">
        <v>700</v>
      </c>
      <c r="N776" s="38" t="s">
        <v>66</v>
      </c>
      <c r="O776" s="38" t="n">
        <f aca="false">YEAR(B776)</f>
        <v>2025</v>
      </c>
      <c r="P776" s="41" t="n">
        <f aca="false">DATE(YEAR(B776),MONTH(B776),1)</f>
        <v>45870</v>
      </c>
      <c r="Q776" s="0" t="str">
        <f aca="false">INDEX(Products!$C$2:$C$16,MATCH(E776,Products!$A$2:$A$16,0))</f>
        <v>Furniture</v>
      </c>
      <c r="R776" s="0" t="str">
        <f aca="false">INDEX(Customers!$F$2:$F$101,MATCH(D776,Customers!$A$2:$A$101,0))</f>
        <v>North</v>
      </c>
      <c r="S776" s="0" t="str">
        <f aca="false">INDEX(Customers!$C$2:$C$101,MATCH(D776,Customers!$A$2:$A$101,0))</f>
        <v>Consumer</v>
      </c>
      <c r="T776" s="0" t="str">
        <f aca="false">INDEX(Customers!$D$2:$D$101,MATCH(D776,Customers!$A$2:$A$101,0))</f>
        <v>Gurugram</v>
      </c>
    </row>
    <row r="777" customFormat="false" ht="15" hidden="false" customHeight="false" outlineLevel="0" collapsed="false">
      <c r="A777" s="0" t="s">
        <v>1048</v>
      </c>
      <c r="B777" s="37" t="n">
        <v>46232</v>
      </c>
      <c r="C777" s="37" t="n">
        <v>46236</v>
      </c>
      <c r="D777" s="38" t="s">
        <v>268</v>
      </c>
      <c r="E777" s="38" t="s">
        <v>117</v>
      </c>
      <c r="F777" s="38" t="s">
        <v>100</v>
      </c>
      <c r="G777" s="38" t="s">
        <v>188</v>
      </c>
      <c r="H777" s="0" t="n">
        <v>4</v>
      </c>
      <c r="I777" s="39" t="n">
        <v>6500</v>
      </c>
      <c r="J777" s="40" t="n">
        <v>0.05</v>
      </c>
      <c r="K777" s="39" t="n">
        <v>24700</v>
      </c>
      <c r="L777" s="39" t="n">
        <v>16800</v>
      </c>
      <c r="M777" s="39" t="n">
        <v>7900</v>
      </c>
      <c r="N777" s="38" t="s">
        <v>66</v>
      </c>
      <c r="O777" s="38" t="n">
        <f aca="false">YEAR(B777)</f>
        <v>2026</v>
      </c>
      <c r="P777" s="41" t="n">
        <f aca="false">DATE(YEAR(B777),MONTH(B777),1)</f>
        <v>46204</v>
      </c>
      <c r="Q777" s="0" t="str">
        <f aca="false">INDEX(Products!$C$2:$C$16,MATCH(E777,Products!$A$2:$A$16,0))</f>
        <v>Furniture</v>
      </c>
      <c r="R777" s="0" t="str">
        <f aca="false">INDEX(Customers!$F$2:$F$101,MATCH(D777,Customers!$A$2:$A$101,0))</f>
        <v>South</v>
      </c>
      <c r="S777" s="0" t="str">
        <f aca="false">INDEX(Customers!$C$2:$C$101,MATCH(D777,Customers!$A$2:$A$101,0))</f>
        <v>Consumer</v>
      </c>
      <c r="T777" s="0" t="str">
        <f aca="false">INDEX(Customers!$D$2:$D$101,MATCH(D777,Customers!$A$2:$A$101,0))</f>
        <v>Bengaluru</v>
      </c>
    </row>
    <row r="778" customFormat="false" ht="15" hidden="false" customHeight="false" outlineLevel="0" collapsed="false">
      <c r="A778" s="0" t="s">
        <v>1049</v>
      </c>
      <c r="B778" s="37" t="n">
        <v>46159</v>
      </c>
      <c r="C778" s="37" t="n">
        <v>46161</v>
      </c>
      <c r="D778" s="38" t="s">
        <v>447</v>
      </c>
      <c r="E778" s="38" t="s">
        <v>119</v>
      </c>
      <c r="F778" s="38" t="s">
        <v>101</v>
      </c>
      <c r="G778" s="38" t="s">
        <v>188</v>
      </c>
      <c r="H778" s="0" t="n">
        <v>5</v>
      </c>
      <c r="I778" s="39" t="n">
        <v>250</v>
      </c>
      <c r="J778" s="40" t="n">
        <v>0</v>
      </c>
      <c r="K778" s="39" t="n">
        <v>1250</v>
      </c>
      <c r="L778" s="39" t="n">
        <v>600</v>
      </c>
      <c r="M778" s="39" t="n">
        <v>650</v>
      </c>
      <c r="N778" s="38" t="s">
        <v>146</v>
      </c>
      <c r="O778" s="38" t="n">
        <f aca="false">YEAR(B778)</f>
        <v>2026</v>
      </c>
      <c r="P778" s="41" t="n">
        <f aca="false">DATE(YEAR(B778),MONTH(B778),1)</f>
        <v>46143</v>
      </c>
      <c r="Q778" s="0" t="str">
        <f aca="false">INDEX(Products!$C$2:$C$16,MATCH(E778,Products!$A$2:$A$16,0))</f>
        <v>Office Supplies</v>
      </c>
      <c r="R778" s="0" t="str">
        <f aca="false">INDEX(Customers!$F$2:$F$101,MATCH(D778,Customers!$A$2:$A$101,0))</f>
        <v>North</v>
      </c>
      <c r="S778" s="0" t="str">
        <f aca="false">INDEX(Customers!$C$2:$C$101,MATCH(D778,Customers!$A$2:$A$101,0))</f>
        <v>Corporate</v>
      </c>
      <c r="T778" s="0" t="str">
        <f aca="false">INDEX(Customers!$D$2:$D$101,MATCH(D778,Customers!$A$2:$A$101,0))</f>
        <v>Jaipur</v>
      </c>
    </row>
    <row r="779" customFormat="false" ht="15" hidden="false" customHeight="false" outlineLevel="0" collapsed="false">
      <c r="A779" s="0" t="s">
        <v>1050</v>
      </c>
      <c r="B779" s="37" t="n">
        <v>45865</v>
      </c>
      <c r="C779" s="37" t="n">
        <v>45872</v>
      </c>
      <c r="D779" s="38" t="s">
        <v>169</v>
      </c>
      <c r="E779" s="38" t="s">
        <v>124</v>
      </c>
      <c r="F779" s="38" t="s">
        <v>101</v>
      </c>
      <c r="G779" s="38" t="s">
        <v>178</v>
      </c>
      <c r="H779" s="0" t="n">
        <v>8</v>
      </c>
      <c r="I779" s="39" t="n">
        <v>3000</v>
      </c>
      <c r="J779" s="40" t="n">
        <v>0</v>
      </c>
      <c r="K779" s="39" t="n">
        <v>24000</v>
      </c>
      <c r="L779" s="39" t="n">
        <v>15200</v>
      </c>
      <c r="M779" s="39" t="n">
        <v>8800</v>
      </c>
      <c r="N779" s="38" t="s">
        <v>66</v>
      </c>
      <c r="O779" s="38" t="n">
        <f aca="false">YEAR(B779)</f>
        <v>2025</v>
      </c>
      <c r="P779" s="41" t="n">
        <f aca="false">DATE(YEAR(B779),MONTH(B779),1)</f>
        <v>45839</v>
      </c>
      <c r="Q779" s="0" t="str">
        <f aca="false">INDEX(Products!$C$2:$C$16,MATCH(E779,Products!$A$2:$A$16,0))</f>
        <v>Technology</v>
      </c>
      <c r="R779" s="0" t="str">
        <f aca="false">INDEX(Customers!$F$2:$F$101,MATCH(D779,Customers!$A$2:$A$101,0))</f>
        <v>East</v>
      </c>
      <c r="S779" s="0" t="str">
        <f aca="false">INDEX(Customers!$C$2:$C$101,MATCH(D779,Customers!$A$2:$A$101,0))</f>
        <v>Small Business</v>
      </c>
      <c r="T779" s="0" t="str">
        <f aca="false">INDEX(Customers!$D$2:$D$101,MATCH(D779,Customers!$A$2:$A$101,0))</f>
        <v>Kolkata</v>
      </c>
    </row>
    <row r="780" customFormat="false" ht="15" hidden="false" customHeight="false" outlineLevel="0" collapsed="false">
      <c r="A780" s="0" t="s">
        <v>1051</v>
      </c>
      <c r="B780" s="37" t="n">
        <v>45695</v>
      </c>
      <c r="C780" s="37" t="n">
        <v>45701</v>
      </c>
      <c r="D780" s="38" t="s">
        <v>184</v>
      </c>
      <c r="E780" s="38" t="s">
        <v>122</v>
      </c>
      <c r="F780" s="38" t="s">
        <v>101</v>
      </c>
      <c r="G780" s="38" t="s">
        <v>185</v>
      </c>
      <c r="H780" s="0" t="n">
        <v>2</v>
      </c>
      <c r="I780" s="39" t="n">
        <v>5500</v>
      </c>
      <c r="J780" s="40" t="n">
        <v>0.1</v>
      </c>
      <c r="K780" s="39" t="n">
        <v>9900</v>
      </c>
      <c r="L780" s="39" t="n">
        <v>7400</v>
      </c>
      <c r="M780" s="39" t="n">
        <v>2500</v>
      </c>
      <c r="N780" s="38" t="s">
        <v>66</v>
      </c>
      <c r="O780" s="38" t="n">
        <f aca="false">YEAR(B780)</f>
        <v>2025</v>
      </c>
      <c r="P780" s="41" t="n">
        <f aca="false">DATE(YEAR(B780),MONTH(B780),1)</f>
        <v>45689</v>
      </c>
      <c r="Q780" s="0" t="str">
        <f aca="false">INDEX(Products!$C$2:$C$16,MATCH(E780,Products!$A$2:$A$16,0))</f>
        <v>Furniture</v>
      </c>
      <c r="R780" s="0" t="str">
        <f aca="false">INDEX(Customers!$F$2:$F$101,MATCH(D780,Customers!$A$2:$A$101,0))</f>
        <v>West</v>
      </c>
      <c r="S780" s="0" t="str">
        <f aca="false">INDEX(Customers!$C$2:$C$101,MATCH(D780,Customers!$A$2:$A$101,0))</f>
        <v>Consumer</v>
      </c>
      <c r="T780" s="0" t="str">
        <f aca="false">INDEX(Customers!$D$2:$D$101,MATCH(D780,Customers!$A$2:$A$101,0))</f>
        <v>Ahmedabad</v>
      </c>
    </row>
    <row r="781" customFormat="false" ht="15" hidden="false" customHeight="false" outlineLevel="0" collapsed="false">
      <c r="A781" s="0" t="s">
        <v>1052</v>
      </c>
      <c r="B781" s="37" t="n">
        <v>45469</v>
      </c>
      <c r="C781" s="37" t="n">
        <v>45473</v>
      </c>
      <c r="D781" s="38" t="s">
        <v>352</v>
      </c>
      <c r="E781" s="38" t="s">
        <v>123</v>
      </c>
      <c r="F781" s="38" t="s">
        <v>101</v>
      </c>
      <c r="G781" s="38" t="s">
        <v>170</v>
      </c>
      <c r="H781" s="0" t="n">
        <v>1</v>
      </c>
      <c r="I781" s="39" t="n">
        <v>2200</v>
      </c>
      <c r="J781" s="40" t="n">
        <v>0.15</v>
      </c>
      <c r="K781" s="39" t="n">
        <v>1870</v>
      </c>
      <c r="L781" s="39" t="n">
        <v>1300</v>
      </c>
      <c r="M781" s="39" t="n">
        <v>570</v>
      </c>
      <c r="N781" s="38" t="s">
        <v>66</v>
      </c>
      <c r="O781" s="38" t="n">
        <f aca="false">YEAR(B781)</f>
        <v>2024</v>
      </c>
      <c r="P781" s="41" t="n">
        <f aca="false">DATE(YEAR(B781),MONTH(B781),1)</f>
        <v>45444</v>
      </c>
      <c r="Q781" s="0" t="str">
        <f aca="false">INDEX(Products!$C$2:$C$16,MATCH(E781,Products!$A$2:$A$16,0))</f>
        <v>Technology</v>
      </c>
      <c r="R781" s="0" t="str">
        <f aca="false">INDEX(Customers!$F$2:$F$101,MATCH(D781,Customers!$A$2:$A$101,0))</f>
        <v>South</v>
      </c>
      <c r="S781" s="0" t="str">
        <f aca="false">INDEX(Customers!$C$2:$C$101,MATCH(D781,Customers!$A$2:$A$101,0))</f>
        <v>Small Business</v>
      </c>
      <c r="T781" s="0" t="str">
        <f aca="false">INDEX(Customers!$D$2:$D$101,MATCH(D781,Customers!$A$2:$A$101,0))</f>
        <v>Hyderabad</v>
      </c>
    </row>
    <row r="782" customFormat="false" ht="15" hidden="false" customHeight="false" outlineLevel="0" collapsed="false">
      <c r="A782" s="0" t="s">
        <v>1053</v>
      </c>
      <c r="B782" s="37" t="n">
        <v>46185</v>
      </c>
      <c r="C782" s="37" t="n">
        <v>46191</v>
      </c>
      <c r="D782" s="38" t="s">
        <v>331</v>
      </c>
      <c r="E782" s="38" t="s">
        <v>117</v>
      </c>
      <c r="F782" s="38" t="s">
        <v>100</v>
      </c>
      <c r="G782" s="38" t="s">
        <v>178</v>
      </c>
      <c r="H782" s="0" t="n">
        <v>1</v>
      </c>
      <c r="I782" s="39" t="n">
        <v>6500</v>
      </c>
      <c r="J782" s="40" t="n">
        <v>0</v>
      </c>
      <c r="K782" s="39" t="n">
        <v>6500</v>
      </c>
      <c r="L782" s="39" t="n">
        <v>4200</v>
      </c>
      <c r="M782" s="39" t="n">
        <v>2300</v>
      </c>
      <c r="N782" s="38" t="s">
        <v>66</v>
      </c>
      <c r="O782" s="38" t="n">
        <f aca="false">YEAR(B782)</f>
        <v>2026</v>
      </c>
      <c r="P782" s="41" t="n">
        <f aca="false">DATE(YEAR(B782),MONTH(B782),1)</f>
        <v>46174</v>
      </c>
      <c r="Q782" s="0" t="str">
        <f aca="false">INDEX(Products!$C$2:$C$16,MATCH(E782,Products!$A$2:$A$16,0))</f>
        <v>Furniture</v>
      </c>
      <c r="R782" s="0" t="str">
        <f aca="false">INDEX(Customers!$F$2:$F$101,MATCH(D782,Customers!$A$2:$A$101,0))</f>
        <v>North</v>
      </c>
      <c r="S782" s="0" t="str">
        <f aca="false">INDEX(Customers!$C$2:$C$101,MATCH(D782,Customers!$A$2:$A$101,0))</f>
        <v>Corporate</v>
      </c>
      <c r="T782" s="0" t="str">
        <f aca="false">INDEX(Customers!$D$2:$D$101,MATCH(D782,Customers!$A$2:$A$101,0))</f>
        <v>Delhi</v>
      </c>
    </row>
    <row r="783" customFormat="false" ht="15" hidden="false" customHeight="false" outlineLevel="0" collapsed="false">
      <c r="A783" s="0" t="s">
        <v>1054</v>
      </c>
      <c r="B783" s="37" t="n">
        <v>45739</v>
      </c>
      <c r="C783" s="37" t="n">
        <v>45741</v>
      </c>
      <c r="D783" s="38" t="s">
        <v>238</v>
      </c>
      <c r="E783" s="38" t="s">
        <v>123</v>
      </c>
      <c r="F783" s="38" t="s">
        <v>101</v>
      </c>
      <c r="G783" s="38" t="s">
        <v>185</v>
      </c>
      <c r="H783" s="0" t="n">
        <v>1</v>
      </c>
      <c r="I783" s="39" t="n">
        <v>2200</v>
      </c>
      <c r="J783" s="40" t="n">
        <v>0.2</v>
      </c>
      <c r="K783" s="39" t="n">
        <v>1760</v>
      </c>
      <c r="L783" s="39" t="n">
        <v>1300</v>
      </c>
      <c r="M783" s="39" t="n">
        <v>460</v>
      </c>
      <c r="N783" s="38" t="s">
        <v>66</v>
      </c>
      <c r="O783" s="38" t="n">
        <f aca="false">YEAR(B783)</f>
        <v>2025</v>
      </c>
      <c r="P783" s="41" t="n">
        <f aca="false">DATE(YEAR(B783),MONTH(B783),1)</f>
        <v>45717</v>
      </c>
      <c r="Q783" s="0" t="str">
        <f aca="false">INDEX(Products!$C$2:$C$16,MATCH(E783,Products!$A$2:$A$16,0))</f>
        <v>Technology</v>
      </c>
      <c r="R783" s="0" t="str">
        <f aca="false">INDEX(Customers!$F$2:$F$101,MATCH(D783,Customers!$A$2:$A$101,0))</f>
        <v>North</v>
      </c>
      <c r="S783" s="0" t="str">
        <f aca="false">INDEX(Customers!$C$2:$C$101,MATCH(D783,Customers!$A$2:$A$101,0))</f>
        <v>Small Business</v>
      </c>
      <c r="T783" s="0" t="str">
        <f aca="false">INDEX(Customers!$D$2:$D$101,MATCH(D783,Customers!$A$2:$A$101,0))</f>
        <v>Lucknow</v>
      </c>
    </row>
    <row r="784" customFormat="false" ht="15" hidden="false" customHeight="false" outlineLevel="0" collapsed="false">
      <c r="A784" s="0" t="s">
        <v>1055</v>
      </c>
      <c r="B784" s="37" t="n">
        <v>46244</v>
      </c>
      <c r="C784" s="37" t="n">
        <v>46248</v>
      </c>
      <c r="D784" s="38" t="s">
        <v>184</v>
      </c>
      <c r="E784" s="38" t="s">
        <v>122</v>
      </c>
      <c r="F784" s="38" t="s">
        <v>102</v>
      </c>
      <c r="G784" s="38" t="s">
        <v>185</v>
      </c>
      <c r="H784" s="0" t="n">
        <v>3</v>
      </c>
      <c r="I784" s="39" t="n">
        <v>5500</v>
      </c>
      <c r="J784" s="40" t="n">
        <v>0.1</v>
      </c>
      <c r="K784" s="39" t="n">
        <v>14850</v>
      </c>
      <c r="L784" s="39" t="n">
        <v>11100</v>
      </c>
      <c r="M784" s="39" t="n">
        <v>3750</v>
      </c>
      <c r="N784" s="38" t="s">
        <v>66</v>
      </c>
      <c r="O784" s="38" t="n">
        <f aca="false">YEAR(B784)</f>
        <v>2026</v>
      </c>
      <c r="P784" s="41" t="n">
        <f aca="false">DATE(YEAR(B784),MONTH(B784),1)</f>
        <v>46235</v>
      </c>
      <c r="Q784" s="0" t="str">
        <f aca="false">INDEX(Products!$C$2:$C$16,MATCH(E784,Products!$A$2:$A$16,0))</f>
        <v>Furniture</v>
      </c>
      <c r="R784" s="0" t="str">
        <f aca="false">INDEX(Customers!$F$2:$F$101,MATCH(D784,Customers!$A$2:$A$101,0))</f>
        <v>West</v>
      </c>
      <c r="S784" s="0" t="str">
        <f aca="false">INDEX(Customers!$C$2:$C$101,MATCH(D784,Customers!$A$2:$A$101,0))</f>
        <v>Consumer</v>
      </c>
      <c r="T784" s="0" t="str">
        <f aca="false">INDEX(Customers!$D$2:$D$101,MATCH(D784,Customers!$A$2:$A$101,0))</f>
        <v>Ahmedabad</v>
      </c>
    </row>
    <row r="785" customFormat="false" ht="15" hidden="false" customHeight="false" outlineLevel="0" collapsed="false">
      <c r="A785" s="0" t="s">
        <v>1056</v>
      </c>
      <c r="B785" s="37" t="n">
        <v>45655</v>
      </c>
      <c r="C785" s="37" t="n">
        <v>45657</v>
      </c>
      <c r="D785" s="38" t="s">
        <v>260</v>
      </c>
      <c r="E785" s="38" t="s">
        <v>119</v>
      </c>
      <c r="F785" s="38" t="s">
        <v>100</v>
      </c>
      <c r="G785" s="38" t="s">
        <v>188</v>
      </c>
      <c r="H785" s="0" t="n">
        <v>1</v>
      </c>
      <c r="I785" s="39" t="n">
        <v>250</v>
      </c>
      <c r="J785" s="40" t="n">
        <v>0.15</v>
      </c>
      <c r="K785" s="39" t="n">
        <v>212.5</v>
      </c>
      <c r="L785" s="39" t="n">
        <v>120</v>
      </c>
      <c r="M785" s="39" t="n">
        <v>92.5</v>
      </c>
      <c r="N785" s="38" t="s">
        <v>66</v>
      </c>
      <c r="O785" s="38" t="n">
        <f aca="false">YEAR(B785)</f>
        <v>2024</v>
      </c>
      <c r="P785" s="41" t="n">
        <f aca="false">DATE(YEAR(B785),MONTH(B785),1)</f>
        <v>45627</v>
      </c>
      <c r="Q785" s="0" t="str">
        <f aca="false">INDEX(Products!$C$2:$C$16,MATCH(E785,Products!$A$2:$A$16,0))</f>
        <v>Office Supplies</v>
      </c>
      <c r="R785" s="0" t="str">
        <f aca="false">INDEX(Customers!$F$2:$F$101,MATCH(D785,Customers!$A$2:$A$101,0))</f>
        <v>West</v>
      </c>
      <c r="S785" s="0" t="str">
        <f aca="false">INDEX(Customers!$C$2:$C$101,MATCH(D785,Customers!$A$2:$A$101,0))</f>
        <v>Small Business</v>
      </c>
      <c r="T785" s="0" t="str">
        <f aca="false">INDEX(Customers!$D$2:$D$101,MATCH(D785,Customers!$A$2:$A$101,0))</f>
        <v>Mumbai</v>
      </c>
    </row>
    <row r="786" customFormat="false" ht="15" hidden="false" customHeight="false" outlineLevel="0" collapsed="false">
      <c r="A786" s="0" t="s">
        <v>1057</v>
      </c>
      <c r="B786" s="37" t="n">
        <v>46021</v>
      </c>
      <c r="C786" s="37" t="n">
        <v>46026</v>
      </c>
      <c r="D786" s="38" t="s">
        <v>425</v>
      </c>
      <c r="E786" s="38" t="s">
        <v>116</v>
      </c>
      <c r="F786" s="38" t="s">
        <v>102</v>
      </c>
      <c r="G786" s="38" t="s">
        <v>170</v>
      </c>
      <c r="H786" s="0" t="n">
        <v>1</v>
      </c>
      <c r="I786" s="39" t="n">
        <v>12000</v>
      </c>
      <c r="J786" s="40" t="n">
        <v>0.15</v>
      </c>
      <c r="K786" s="39" t="n">
        <v>10200</v>
      </c>
      <c r="L786" s="39" t="n">
        <v>9000</v>
      </c>
      <c r="M786" s="39" t="n">
        <v>1200</v>
      </c>
      <c r="N786" s="38" t="s">
        <v>66</v>
      </c>
      <c r="O786" s="38" t="n">
        <f aca="false">YEAR(B786)</f>
        <v>2025</v>
      </c>
      <c r="P786" s="41" t="n">
        <f aca="false">DATE(YEAR(B786),MONTH(B786),1)</f>
        <v>45992</v>
      </c>
      <c r="Q786" s="0" t="str">
        <f aca="false">INDEX(Products!$C$2:$C$16,MATCH(E786,Products!$A$2:$A$16,0))</f>
        <v>Technology</v>
      </c>
      <c r="R786" s="0" t="str">
        <f aca="false">INDEX(Customers!$F$2:$F$101,MATCH(D786,Customers!$A$2:$A$101,0))</f>
        <v>North</v>
      </c>
      <c r="S786" s="0" t="str">
        <f aca="false">INDEX(Customers!$C$2:$C$101,MATCH(D786,Customers!$A$2:$A$101,0))</f>
        <v>Small Business</v>
      </c>
      <c r="T786" s="0" t="str">
        <f aca="false">INDEX(Customers!$D$2:$D$101,MATCH(D786,Customers!$A$2:$A$101,0))</f>
        <v>Lucknow</v>
      </c>
    </row>
    <row r="787" customFormat="false" ht="15" hidden="false" customHeight="false" outlineLevel="0" collapsed="false">
      <c r="A787" s="0" t="s">
        <v>1058</v>
      </c>
      <c r="B787" s="37" t="n">
        <v>45786</v>
      </c>
      <c r="C787" s="37" t="n">
        <v>45792</v>
      </c>
      <c r="D787" s="38" t="s">
        <v>294</v>
      </c>
      <c r="E787" s="38" t="s">
        <v>122</v>
      </c>
      <c r="F787" s="38" t="s">
        <v>101</v>
      </c>
      <c r="G787" s="38" t="s">
        <v>178</v>
      </c>
      <c r="H787" s="0" t="n">
        <v>2</v>
      </c>
      <c r="I787" s="39" t="n">
        <v>5500</v>
      </c>
      <c r="J787" s="40" t="n">
        <v>0.15</v>
      </c>
      <c r="K787" s="39" t="n">
        <v>9350</v>
      </c>
      <c r="L787" s="39" t="n">
        <v>7400</v>
      </c>
      <c r="M787" s="39" t="n">
        <v>1950</v>
      </c>
      <c r="N787" s="38" t="s">
        <v>66</v>
      </c>
      <c r="O787" s="38" t="n">
        <f aca="false">YEAR(B787)</f>
        <v>2025</v>
      </c>
      <c r="P787" s="41" t="n">
        <f aca="false">DATE(YEAR(B787),MONTH(B787),1)</f>
        <v>45778</v>
      </c>
      <c r="Q787" s="0" t="str">
        <f aca="false">INDEX(Products!$C$2:$C$16,MATCH(E787,Products!$A$2:$A$16,0))</f>
        <v>Furniture</v>
      </c>
      <c r="R787" s="0" t="str">
        <f aca="false">INDEX(Customers!$F$2:$F$101,MATCH(D787,Customers!$A$2:$A$101,0))</f>
        <v>South</v>
      </c>
      <c r="S787" s="0" t="str">
        <f aca="false">INDEX(Customers!$C$2:$C$101,MATCH(D787,Customers!$A$2:$A$101,0))</f>
        <v>Small Business</v>
      </c>
      <c r="T787" s="0" t="str">
        <f aca="false">INDEX(Customers!$D$2:$D$101,MATCH(D787,Customers!$A$2:$A$101,0))</f>
        <v>Chennai</v>
      </c>
    </row>
    <row r="788" customFormat="false" ht="15" hidden="false" customHeight="false" outlineLevel="0" collapsed="false">
      <c r="A788" s="0" t="s">
        <v>1059</v>
      </c>
      <c r="B788" s="37" t="n">
        <v>46171</v>
      </c>
      <c r="C788" s="37" t="n">
        <v>46178</v>
      </c>
      <c r="D788" s="38" t="s">
        <v>425</v>
      </c>
      <c r="E788" s="38" t="s">
        <v>121</v>
      </c>
      <c r="F788" s="38" t="s">
        <v>102</v>
      </c>
      <c r="G788" s="38" t="s">
        <v>178</v>
      </c>
      <c r="H788" s="0" t="n">
        <v>4</v>
      </c>
      <c r="I788" s="39" t="n">
        <v>180</v>
      </c>
      <c r="J788" s="40" t="n">
        <v>0.1</v>
      </c>
      <c r="K788" s="39" t="n">
        <v>648</v>
      </c>
      <c r="L788" s="39" t="n">
        <v>280</v>
      </c>
      <c r="M788" s="39" t="n">
        <v>368</v>
      </c>
      <c r="N788" s="38" t="s">
        <v>66</v>
      </c>
      <c r="O788" s="38" t="n">
        <f aca="false">YEAR(B788)</f>
        <v>2026</v>
      </c>
      <c r="P788" s="41" t="n">
        <f aca="false">DATE(YEAR(B788),MONTH(B788),1)</f>
        <v>46143</v>
      </c>
      <c r="Q788" s="0" t="str">
        <f aca="false">INDEX(Products!$C$2:$C$16,MATCH(E788,Products!$A$2:$A$16,0))</f>
        <v>Office Supplies</v>
      </c>
      <c r="R788" s="0" t="str">
        <f aca="false">INDEX(Customers!$F$2:$F$101,MATCH(D788,Customers!$A$2:$A$101,0))</f>
        <v>North</v>
      </c>
      <c r="S788" s="0" t="str">
        <f aca="false">INDEX(Customers!$C$2:$C$101,MATCH(D788,Customers!$A$2:$A$101,0))</f>
        <v>Small Business</v>
      </c>
      <c r="T788" s="0" t="str">
        <f aca="false">INDEX(Customers!$D$2:$D$101,MATCH(D788,Customers!$A$2:$A$101,0))</f>
        <v>Lucknow</v>
      </c>
    </row>
    <row r="789" customFormat="false" ht="15" hidden="false" customHeight="false" outlineLevel="0" collapsed="false">
      <c r="A789" s="0" t="s">
        <v>1060</v>
      </c>
      <c r="B789" s="37" t="n">
        <v>45543</v>
      </c>
      <c r="C789" s="37" t="n">
        <v>45547</v>
      </c>
      <c r="D789" s="38" t="s">
        <v>621</v>
      </c>
      <c r="E789" s="38" t="s">
        <v>114</v>
      </c>
      <c r="F789" s="38" t="s">
        <v>102</v>
      </c>
      <c r="G789" s="38" t="s">
        <v>178</v>
      </c>
      <c r="H789" s="0" t="n">
        <v>3</v>
      </c>
      <c r="I789" s="39" t="n">
        <v>800</v>
      </c>
      <c r="J789" s="40" t="n">
        <v>0.2</v>
      </c>
      <c r="K789" s="39" t="n">
        <v>1920</v>
      </c>
      <c r="L789" s="39" t="n">
        <v>1260</v>
      </c>
      <c r="M789" s="39" t="n">
        <v>660</v>
      </c>
      <c r="N789" s="38" t="s">
        <v>66</v>
      </c>
      <c r="O789" s="38" t="n">
        <f aca="false">YEAR(B789)</f>
        <v>2024</v>
      </c>
      <c r="P789" s="41" t="n">
        <f aca="false">DATE(YEAR(B789),MONTH(B789),1)</f>
        <v>45536</v>
      </c>
      <c r="Q789" s="0" t="str">
        <f aca="false">INDEX(Products!$C$2:$C$16,MATCH(E789,Products!$A$2:$A$16,0))</f>
        <v>Technology</v>
      </c>
      <c r="R789" s="0" t="str">
        <f aca="false">INDEX(Customers!$F$2:$F$101,MATCH(D789,Customers!$A$2:$A$101,0))</f>
        <v>East</v>
      </c>
      <c r="S789" s="0" t="str">
        <f aca="false">INDEX(Customers!$C$2:$C$101,MATCH(D789,Customers!$A$2:$A$101,0))</f>
        <v>Corporate</v>
      </c>
      <c r="T789" s="0" t="str">
        <f aca="false">INDEX(Customers!$D$2:$D$101,MATCH(D789,Customers!$A$2:$A$101,0))</f>
        <v>Bhubaneswar</v>
      </c>
    </row>
    <row r="790" customFormat="false" ht="15" hidden="false" customHeight="false" outlineLevel="0" collapsed="false">
      <c r="A790" s="0" t="s">
        <v>1061</v>
      </c>
      <c r="B790" s="37" t="n">
        <v>45885</v>
      </c>
      <c r="C790" s="37" t="n">
        <v>45888</v>
      </c>
      <c r="D790" s="38" t="s">
        <v>204</v>
      </c>
      <c r="E790" s="38" t="s">
        <v>125</v>
      </c>
      <c r="F790" s="38" t="s">
        <v>102</v>
      </c>
      <c r="G790" s="38" t="s">
        <v>178</v>
      </c>
      <c r="H790" s="0" t="n">
        <v>3</v>
      </c>
      <c r="I790" s="39" t="n">
        <v>600</v>
      </c>
      <c r="J790" s="40" t="n">
        <v>0.05</v>
      </c>
      <c r="K790" s="39" t="n">
        <v>1710</v>
      </c>
      <c r="L790" s="39" t="n">
        <v>1050</v>
      </c>
      <c r="M790" s="39" t="n">
        <v>660</v>
      </c>
      <c r="N790" s="38" t="s">
        <v>66</v>
      </c>
      <c r="O790" s="38" t="n">
        <f aca="false">YEAR(B790)</f>
        <v>2025</v>
      </c>
      <c r="P790" s="41" t="n">
        <f aca="false">DATE(YEAR(B790),MONTH(B790),1)</f>
        <v>45870</v>
      </c>
      <c r="Q790" s="0" t="str">
        <f aca="false">INDEX(Products!$C$2:$C$16,MATCH(E790,Products!$A$2:$A$16,0))</f>
        <v>Office Supplies</v>
      </c>
      <c r="R790" s="0" t="str">
        <f aca="false">INDEX(Customers!$F$2:$F$101,MATCH(D790,Customers!$A$2:$A$101,0))</f>
        <v>South</v>
      </c>
      <c r="S790" s="0" t="str">
        <f aca="false">INDEX(Customers!$C$2:$C$101,MATCH(D790,Customers!$A$2:$A$101,0))</f>
        <v>Small Business</v>
      </c>
      <c r="T790" s="0" t="str">
        <f aca="false">INDEX(Customers!$D$2:$D$101,MATCH(D790,Customers!$A$2:$A$101,0))</f>
        <v>Bengaluru</v>
      </c>
    </row>
    <row r="791" customFormat="false" ht="15" hidden="false" customHeight="false" outlineLevel="0" collapsed="false">
      <c r="A791" s="0" t="s">
        <v>1062</v>
      </c>
      <c r="B791" s="37" t="n">
        <v>45772</v>
      </c>
      <c r="C791" s="37" t="n">
        <v>45777</v>
      </c>
      <c r="D791" s="38" t="s">
        <v>447</v>
      </c>
      <c r="E791" s="38" t="s">
        <v>127</v>
      </c>
      <c r="F791" s="38" t="s">
        <v>101</v>
      </c>
      <c r="G791" s="38" t="s">
        <v>170</v>
      </c>
      <c r="H791" s="0" t="n">
        <v>4</v>
      </c>
      <c r="I791" s="39" t="n">
        <v>18000</v>
      </c>
      <c r="J791" s="40" t="n">
        <v>0.1</v>
      </c>
      <c r="K791" s="39" t="n">
        <v>64800</v>
      </c>
      <c r="L791" s="39" t="n">
        <v>56000</v>
      </c>
      <c r="M791" s="39" t="n">
        <v>8800</v>
      </c>
      <c r="N791" s="38" t="s">
        <v>66</v>
      </c>
      <c r="O791" s="38" t="n">
        <f aca="false">YEAR(B791)</f>
        <v>2025</v>
      </c>
      <c r="P791" s="41" t="n">
        <f aca="false">DATE(YEAR(B791),MONTH(B791),1)</f>
        <v>45748</v>
      </c>
      <c r="Q791" s="0" t="str">
        <f aca="false">INDEX(Products!$C$2:$C$16,MATCH(E791,Products!$A$2:$A$16,0))</f>
        <v>Technology</v>
      </c>
      <c r="R791" s="0" t="str">
        <f aca="false">INDEX(Customers!$F$2:$F$101,MATCH(D791,Customers!$A$2:$A$101,0))</f>
        <v>North</v>
      </c>
      <c r="S791" s="0" t="str">
        <f aca="false">INDEX(Customers!$C$2:$C$101,MATCH(D791,Customers!$A$2:$A$101,0))</f>
        <v>Corporate</v>
      </c>
      <c r="T791" s="0" t="str">
        <f aca="false">INDEX(Customers!$D$2:$D$101,MATCH(D791,Customers!$A$2:$A$101,0))</f>
        <v>Jaipur</v>
      </c>
    </row>
    <row r="792" customFormat="false" ht="15" hidden="false" customHeight="false" outlineLevel="0" collapsed="false">
      <c r="A792" s="0" t="s">
        <v>1063</v>
      </c>
      <c r="B792" s="37" t="n">
        <v>46237</v>
      </c>
      <c r="C792" s="37" t="n">
        <v>46242</v>
      </c>
      <c r="D792" s="38" t="s">
        <v>294</v>
      </c>
      <c r="E792" s="38" t="s">
        <v>124</v>
      </c>
      <c r="F792" s="38" t="s">
        <v>102</v>
      </c>
      <c r="G792" s="38" t="s">
        <v>170</v>
      </c>
      <c r="H792" s="0" t="n">
        <v>4</v>
      </c>
      <c r="I792" s="39" t="n">
        <v>3000</v>
      </c>
      <c r="J792" s="40" t="n">
        <v>0.2</v>
      </c>
      <c r="K792" s="39" t="n">
        <v>9600</v>
      </c>
      <c r="L792" s="39" t="n">
        <v>7600</v>
      </c>
      <c r="M792" s="39" t="n">
        <v>2000</v>
      </c>
      <c r="N792" s="38" t="s">
        <v>66</v>
      </c>
      <c r="O792" s="38" t="n">
        <f aca="false">YEAR(B792)</f>
        <v>2026</v>
      </c>
      <c r="P792" s="41" t="n">
        <f aca="false">DATE(YEAR(B792),MONTH(B792),1)</f>
        <v>46235</v>
      </c>
      <c r="Q792" s="0" t="str">
        <f aca="false">INDEX(Products!$C$2:$C$16,MATCH(E792,Products!$A$2:$A$16,0))</f>
        <v>Technology</v>
      </c>
      <c r="R792" s="0" t="str">
        <f aca="false">INDEX(Customers!$F$2:$F$101,MATCH(D792,Customers!$A$2:$A$101,0))</f>
        <v>South</v>
      </c>
      <c r="S792" s="0" t="str">
        <f aca="false">INDEX(Customers!$C$2:$C$101,MATCH(D792,Customers!$A$2:$A$101,0))</f>
        <v>Small Business</v>
      </c>
      <c r="T792" s="0" t="str">
        <f aca="false">INDEX(Customers!$D$2:$D$101,MATCH(D792,Customers!$A$2:$A$101,0))</f>
        <v>Chennai</v>
      </c>
    </row>
    <row r="793" customFormat="false" ht="15" hidden="false" customHeight="false" outlineLevel="0" collapsed="false">
      <c r="A793" s="0" t="s">
        <v>1064</v>
      </c>
      <c r="B793" s="37" t="n">
        <v>45465</v>
      </c>
      <c r="C793" s="37" t="n">
        <v>45470</v>
      </c>
      <c r="D793" s="38" t="s">
        <v>213</v>
      </c>
      <c r="E793" s="38" t="s">
        <v>122</v>
      </c>
      <c r="F793" s="38" t="s">
        <v>102</v>
      </c>
      <c r="G793" s="38" t="s">
        <v>188</v>
      </c>
      <c r="H793" s="0" t="n">
        <v>1</v>
      </c>
      <c r="I793" s="39" t="n">
        <v>5500</v>
      </c>
      <c r="J793" s="40" t="n">
        <v>0.05</v>
      </c>
      <c r="K793" s="39" t="n">
        <v>5225</v>
      </c>
      <c r="L793" s="39" t="n">
        <v>3700</v>
      </c>
      <c r="M793" s="39" t="n">
        <v>1525</v>
      </c>
      <c r="N793" s="38" t="s">
        <v>66</v>
      </c>
      <c r="O793" s="38" t="n">
        <f aca="false">YEAR(B793)</f>
        <v>2024</v>
      </c>
      <c r="P793" s="41" t="n">
        <f aca="false">DATE(YEAR(B793),MONTH(B793),1)</f>
        <v>45444</v>
      </c>
      <c r="Q793" s="0" t="str">
        <f aca="false">INDEX(Products!$C$2:$C$16,MATCH(E793,Products!$A$2:$A$16,0))</f>
        <v>Furniture</v>
      </c>
      <c r="R793" s="0" t="str">
        <f aca="false">INDEX(Customers!$F$2:$F$101,MATCH(D793,Customers!$A$2:$A$101,0))</f>
        <v>North</v>
      </c>
      <c r="S793" s="0" t="str">
        <f aca="false">INDEX(Customers!$C$2:$C$101,MATCH(D793,Customers!$A$2:$A$101,0))</f>
        <v>Small Business</v>
      </c>
      <c r="T793" s="0" t="str">
        <f aca="false">INDEX(Customers!$D$2:$D$101,MATCH(D793,Customers!$A$2:$A$101,0))</f>
        <v>Gurugram</v>
      </c>
    </row>
    <row r="794" customFormat="false" ht="15" hidden="false" customHeight="false" outlineLevel="0" collapsed="false">
      <c r="A794" s="0" t="s">
        <v>1065</v>
      </c>
      <c r="B794" s="37" t="n">
        <v>45421</v>
      </c>
      <c r="C794" s="37" t="n">
        <v>45426</v>
      </c>
      <c r="D794" s="38" t="s">
        <v>238</v>
      </c>
      <c r="E794" s="38" t="s">
        <v>114</v>
      </c>
      <c r="F794" s="38" t="s">
        <v>101</v>
      </c>
      <c r="G794" s="38" t="s">
        <v>170</v>
      </c>
      <c r="H794" s="0" t="n">
        <v>1</v>
      </c>
      <c r="I794" s="39" t="n">
        <v>800</v>
      </c>
      <c r="J794" s="40" t="n">
        <v>0.25</v>
      </c>
      <c r="K794" s="39" t="n">
        <v>600</v>
      </c>
      <c r="L794" s="39" t="n">
        <v>420</v>
      </c>
      <c r="M794" s="39" t="n">
        <v>180</v>
      </c>
      <c r="N794" s="38" t="s">
        <v>66</v>
      </c>
      <c r="O794" s="38" t="n">
        <f aca="false">YEAR(B794)</f>
        <v>2024</v>
      </c>
      <c r="P794" s="41" t="n">
        <f aca="false">DATE(YEAR(B794),MONTH(B794),1)</f>
        <v>45413</v>
      </c>
      <c r="Q794" s="0" t="str">
        <f aca="false">INDEX(Products!$C$2:$C$16,MATCH(E794,Products!$A$2:$A$16,0))</f>
        <v>Technology</v>
      </c>
      <c r="R794" s="0" t="str">
        <f aca="false">INDEX(Customers!$F$2:$F$101,MATCH(D794,Customers!$A$2:$A$101,0))</f>
        <v>North</v>
      </c>
      <c r="S794" s="0" t="str">
        <f aca="false">INDEX(Customers!$C$2:$C$101,MATCH(D794,Customers!$A$2:$A$101,0))</f>
        <v>Small Business</v>
      </c>
      <c r="T794" s="0" t="str">
        <f aca="false">INDEX(Customers!$D$2:$D$101,MATCH(D794,Customers!$A$2:$A$101,0))</f>
        <v>Lucknow</v>
      </c>
    </row>
    <row r="795" customFormat="false" ht="15" hidden="false" customHeight="false" outlineLevel="0" collapsed="false">
      <c r="A795" s="0" t="s">
        <v>1066</v>
      </c>
      <c r="B795" s="37" t="n">
        <v>46170</v>
      </c>
      <c r="C795" s="37" t="n">
        <v>46173</v>
      </c>
      <c r="D795" s="38" t="s">
        <v>194</v>
      </c>
      <c r="E795" s="38" t="s">
        <v>117</v>
      </c>
      <c r="F795" s="38" t="s">
        <v>102</v>
      </c>
      <c r="G795" s="38" t="s">
        <v>173</v>
      </c>
      <c r="H795" s="0" t="n">
        <v>1</v>
      </c>
      <c r="I795" s="39" t="n">
        <v>6500</v>
      </c>
      <c r="J795" s="40" t="n">
        <v>0</v>
      </c>
      <c r="K795" s="39" t="n">
        <v>6500</v>
      </c>
      <c r="L795" s="39" t="n">
        <v>4200</v>
      </c>
      <c r="M795" s="39" t="n">
        <v>2300</v>
      </c>
      <c r="N795" s="38" t="s">
        <v>146</v>
      </c>
      <c r="O795" s="38" t="n">
        <f aca="false">YEAR(B795)</f>
        <v>2026</v>
      </c>
      <c r="P795" s="41" t="n">
        <f aca="false">DATE(YEAR(B795),MONTH(B795),1)</f>
        <v>46143</v>
      </c>
      <c r="Q795" s="0" t="str">
        <f aca="false">INDEX(Products!$C$2:$C$16,MATCH(E795,Products!$A$2:$A$16,0))</f>
        <v>Furniture</v>
      </c>
      <c r="R795" s="0" t="str">
        <f aca="false">INDEX(Customers!$F$2:$F$101,MATCH(D795,Customers!$A$2:$A$101,0))</f>
        <v>North</v>
      </c>
      <c r="S795" s="0" t="str">
        <f aca="false">INDEX(Customers!$C$2:$C$101,MATCH(D795,Customers!$A$2:$A$101,0))</f>
        <v>Small Business</v>
      </c>
      <c r="T795" s="0" t="str">
        <f aca="false">INDEX(Customers!$D$2:$D$101,MATCH(D795,Customers!$A$2:$A$101,0))</f>
        <v>Gurugram</v>
      </c>
    </row>
    <row r="796" customFormat="false" ht="15" hidden="false" customHeight="false" outlineLevel="0" collapsed="false">
      <c r="A796" s="0" t="s">
        <v>1067</v>
      </c>
      <c r="B796" s="37" t="n">
        <v>45966</v>
      </c>
      <c r="C796" s="37" t="n">
        <v>45970</v>
      </c>
      <c r="D796" s="38" t="s">
        <v>341</v>
      </c>
      <c r="E796" s="38" t="s">
        <v>115</v>
      </c>
      <c r="F796" s="38" t="s">
        <v>101</v>
      </c>
      <c r="G796" s="38" t="s">
        <v>173</v>
      </c>
      <c r="H796" s="0" t="n">
        <v>2</v>
      </c>
      <c r="I796" s="39" t="n">
        <v>1500</v>
      </c>
      <c r="J796" s="40" t="n">
        <v>0</v>
      </c>
      <c r="K796" s="39" t="n">
        <v>3000</v>
      </c>
      <c r="L796" s="39" t="n">
        <v>1700</v>
      </c>
      <c r="M796" s="39" t="n">
        <v>1300</v>
      </c>
      <c r="N796" s="38" t="s">
        <v>66</v>
      </c>
      <c r="O796" s="38" t="n">
        <f aca="false">YEAR(B796)</f>
        <v>2025</v>
      </c>
      <c r="P796" s="41" t="n">
        <f aca="false">DATE(YEAR(B796),MONTH(B796),1)</f>
        <v>45962</v>
      </c>
      <c r="Q796" s="0" t="str">
        <f aca="false">INDEX(Products!$C$2:$C$16,MATCH(E796,Products!$A$2:$A$16,0))</f>
        <v>Technology</v>
      </c>
      <c r="R796" s="0" t="str">
        <f aca="false">INDEX(Customers!$F$2:$F$101,MATCH(D796,Customers!$A$2:$A$101,0))</f>
        <v>North</v>
      </c>
      <c r="S796" s="0" t="str">
        <f aca="false">INDEX(Customers!$C$2:$C$101,MATCH(D796,Customers!$A$2:$A$101,0))</f>
        <v>Corporate</v>
      </c>
      <c r="T796" s="0" t="str">
        <f aca="false">INDEX(Customers!$D$2:$D$101,MATCH(D796,Customers!$A$2:$A$101,0))</f>
        <v>Delhi</v>
      </c>
    </row>
    <row r="797" customFormat="false" ht="15" hidden="false" customHeight="false" outlineLevel="0" collapsed="false">
      <c r="A797" s="0" t="s">
        <v>1068</v>
      </c>
      <c r="B797" s="37" t="n">
        <v>45325</v>
      </c>
      <c r="C797" s="37" t="n">
        <v>45328</v>
      </c>
      <c r="D797" s="38" t="s">
        <v>379</v>
      </c>
      <c r="E797" s="38" t="s">
        <v>126</v>
      </c>
      <c r="F797" s="38" t="s">
        <v>102</v>
      </c>
      <c r="G797" s="38" t="s">
        <v>173</v>
      </c>
      <c r="H797" s="0" t="n">
        <v>10</v>
      </c>
      <c r="I797" s="39" t="n">
        <v>1200</v>
      </c>
      <c r="J797" s="40" t="n">
        <v>0</v>
      </c>
      <c r="K797" s="39" t="n">
        <v>12000</v>
      </c>
      <c r="L797" s="39" t="n">
        <v>7000</v>
      </c>
      <c r="M797" s="39" t="n">
        <v>5000</v>
      </c>
      <c r="N797" s="38" t="s">
        <v>66</v>
      </c>
      <c r="O797" s="38" t="n">
        <f aca="false">YEAR(B797)</f>
        <v>2024</v>
      </c>
      <c r="P797" s="41" t="n">
        <f aca="false">DATE(YEAR(B797),MONTH(B797),1)</f>
        <v>45323</v>
      </c>
      <c r="Q797" s="0" t="str">
        <f aca="false">INDEX(Products!$C$2:$C$16,MATCH(E797,Products!$A$2:$A$16,0))</f>
        <v>Furniture</v>
      </c>
      <c r="R797" s="0" t="str">
        <f aca="false">INDEX(Customers!$F$2:$F$101,MATCH(D797,Customers!$A$2:$A$101,0))</f>
        <v>North</v>
      </c>
      <c r="S797" s="0" t="str">
        <f aca="false">INDEX(Customers!$C$2:$C$101,MATCH(D797,Customers!$A$2:$A$101,0))</f>
        <v>Consumer</v>
      </c>
      <c r="T797" s="0" t="str">
        <f aca="false">INDEX(Customers!$D$2:$D$101,MATCH(D797,Customers!$A$2:$A$101,0))</f>
        <v>Lucknow</v>
      </c>
    </row>
    <row r="798" customFormat="false" ht="15" hidden="false" customHeight="false" outlineLevel="0" collapsed="false">
      <c r="A798" s="0" t="s">
        <v>1069</v>
      </c>
      <c r="B798" s="37" t="n">
        <v>46080</v>
      </c>
      <c r="C798" s="37" t="n">
        <v>46084</v>
      </c>
      <c r="D798" s="38" t="s">
        <v>192</v>
      </c>
      <c r="E798" s="38" t="s">
        <v>119</v>
      </c>
      <c r="F798" s="38" t="s">
        <v>102</v>
      </c>
      <c r="G798" s="38" t="s">
        <v>173</v>
      </c>
      <c r="H798" s="0" t="n">
        <v>1</v>
      </c>
      <c r="I798" s="39" t="n">
        <v>250</v>
      </c>
      <c r="J798" s="40" t="n">
        <v>0.1</v>
      </c>
      <c r="K798" s="39" t="n">
        <v>225</v>
      </c>
      <c r="L798" s="39" t="n">
        <v>120</v>
      </c>
      <c r="M798" s="39" t="n">
        <v>105</v>
      </c>
      <c r="N798" s="38" t="s">
        <v>66</v>
      </c>
      <c r="O798" s="38" t="n">
        <f aca="false">YEAR(B798)</f>
        <v>2026</v>
      </c>
      <c r="P798" s="41" t="n">
        <f aca="false">DATE(YEAR(B798),MONTH(B798),1)</f>
        <v>46054</v>
      </c>
      <c r="Q798" s="0" t="str">
        <f aca="false">INDEX(Products!$C$2:$C$16,MATCH(E798,Products!$A$2:$A$16,0))</f>
        <v>Office Supplies</v>
      </c>
      <c r="R798" s="0" t="str">
        <f aca="false">INDEX(Customers!$F$2:$F$101,MATCH(D798,Customers!$A$2:$A$101,0))</f>
        <v>East</v>
      </c>
      <c r="S798" s="0" t="str">
        <f aca="false">INDEX(Customers!$C$2:$C$101,MATCH(D798,Customers!$A$2:$A$101,0))</f>
        <v>Small Business</v>
      </c>
      <c r="T798" s="0" t="str">
        <f aca="false">INDEX(Customers!$D$2:$D$101,MATCH(D798,Customers!$A$2:$A$101,0))</f>
        <v>Bhubaneswar</v>
      </c>
    </row>
    <row r="799" customFormat="false" ht="15" hidden="false" customHeight="false" outlineLevel="0" collapsed="false">
      <c r="A799" s="0" t="s">
        <v>1070</v>
      </c>
      <c r="B799" s="37" t="n">
        <v>45645</v>
      </c>
      <c r="C799" s="37" t="n">
        <v>45646</v>
      </c>
      <c r="D799" s="38" t="s">
        <v>425</v>
      </c>
      <c r="E799" s="38" t="s">
        <v>126</v>
      </c>
      <c r="F799" s="38" t="s">
        <v>100</v>
      </c>
      <c r="G799" s="38" t="s">
        <v>178</v>
      </c>
      <c r="H799" s="0" t="n">
        <v>3</v>
      </c>
      <c r="I799" s="39" t="n">
        <v>1200</v>
      </c>
      <c r="J799" s="40" t="n">
        <v>0.25</v>
      </c>
      <c r="K799" s="39" t="n">
        <v>2700</v>
      </c>
      <c r="L799" s="39" t="n">
        <v>2100</v>
      </c>
      <c r="M799" s="39" t="n">
        <v>600</v>
      </c>
      <c r="N799" s="38" t="s">
        <v>66</v>
      </c>
      <c r="O799" s="38" t="n">
        <f aca="false">YEAR(B799)</f>
        <v>2024</v>
      </c>
      <c r="P799" s="41" t="n">
        <f aca="false">DATE(YEAR(B799),MONTH(B799),1)</f>
        <v>45627</v>
      </c>
      <c r="Q799" s="0" t="str">
        <f aca="false">INDEX(Products!$C$2:$C$16,MATCH(E799,Products!$A$2:$A$16,0))</f>
        <v>Furniture</v>
      </c>
      <c r="R799" s="0" t="str">
        <f aca="false">INDEX(Customers!$F$2:$F$101,MATCH(D799,Customers!$A$2:$A$101,0))</f>
        <v>North</v>
      </c>
      <c r="S799" s="0" t="str">
        <f aca="false">INDEX(Customers!$C$2:$C$101,MATCH(D799,Customers!$A$2:$A$101,0))</f>
        <v>Small Business</v>
      </c>
      <c r="T799" s="0" t="str">
        <f aca="false">INDEX(Customers!$D$2:$D$101,MATCH(D799,Customers!$A$2:$A$101,0))</f>
        <v>Lucknow</v>
      </c>
    </row>
    <row r="800" customFormat="false" ht="15" hidden="false" customHeight="false" outlineLevel="0" collapsed="false">
      <c r="A800" s="0" t="s">
        <v>1071</v>
      </c>
      <c r="B800" s="37" t="n">
        <v>45600</v>
      </c>
      <c r="C800" s="37" t="n">
        <v>45604</v>
      </c>
      <c r="D800" s="38" t="s">
        <v>251</v>
      </c>
      <c r="E800" s="38" t="s">
        <v>120</v>
      </c>
      <c r="F800" s="38" t="s">
        <v>102</v>
      </c>
      <c r="G800" s="38" t="s">
        <v>173</v>
      </c>
      <c r="H800" s="0" t="n">
        <v>4</v>
      </c>
      <c r="I800" s="39" t="n">
        <v>400</v>
      </c>
      <c r="J800" s="40" t="n">
        <v>0.25</v>
      </c>
      <c r="K800" s="39" t="n">
        <v>1200</v>
      </c>
      <c r="L800" s="39" t="n">
        <v>1040</v>
      </c>
      <c r="M800" s="39" t="n">
        <v>160</v>
      </c>
      <c r="N800" s="38" t="s">
        <v>66</v>
      </c>
      <c r="O800" s="38" t="n">
        <f aca="false">YEAR(B800)</f>
        <v>2024</v>
      </c>
      <c r="P800" s="41" t="n">
        <f aca="false">DATE(YEAR(B800),MONTH(B800),1)</f>
        <v>45597</v>
      </c>
      <c r="Q800" s="0" t="str">
        <f aca="false">INDEX(Products!$C$2:$C$16,MATCH(E800,Products!$A$2:$A$16,0))</f>
        <v>Office Supplies</v>
      </c>
      <c r="R800" s="0" t="str">
        <f aca="false">INDEX(Customers!$F$2:$F$101,MATCH(D800,Customers!$A$2:$A$101,0))</f>
        <v>South</v>
      </c>
      <c r="S800" s="0" t="str">
        <f aca="false">INDEX(Customers!$C$2:$C$101,MATCH(D800,Customers!$A$2:$A$101,0))</f>
        <v>Corporate</v>
      </c>
      <c r="T800" s="0" t="str">
        <f aca="false">INDEX(Customers!$D$2:$D$101,MATCH(D800,Customers!$A$2:$A$101,0))</f>
        <v>Bengaluru</v>
      </c>
    </row>
    <row r="801" customFormat="false" ht="15" hidden="false" customHeight="false" outlineLevel="0" collapsed="false">
      <c r="A801" s="0" t="s">
        <v>1072</v>
      </c>
      <c r="B801" s="37" t="n">
        <v>45777</v>
      </c>
      <c r="C801" s="37" t="n">
        <v>45780</v>
      </c>
      <c r="D801" s="38" t="s">
        <v>397</v>
      </c>
      <c r="E801" s="38" t="s">
        <v>119</v>
      </c>
      <c r="F801" s="38" t="s">
        <v>101</v>
      </c>
      <c r="G801" s="38" t="s">
        <v>178</v>
      </c>
      <c r="H801" s="0" t="n">
        <v>1</v>
      </c>
      <c r="I801" s="39" t="n">
        <v>250</v>
      </c>
      <c r="J801" s="40" t="n">
        <v>0.25</v>
      </c>
      <c r="K801" s="39" t="n">
        <v>187.5</v>
      </c>
      <c r="L801" s="39" t="n">
        <v>120</v>
      </c>
      <c r="M801" s="39" t="n">
        <v>67.5</v>
      </c>
      <c r="N801" s="38" t="s">
        <v>66</v>
      </c>
      <c r="O801" s="38" t="n">
        <f aca="false">YEAR(B801)</f>
        <v>2025</v>
      </c>
      <c r="P801" s="41" t="n">
        <f aca="false">DATE(YEAR(B801),MONTH(B801),1)</f>
        <v>45748</v>
      </c>
      <c r="Q801" s="0" t="str">
        <f aca="false">INDEX(Products!$C$2:$C$16,MATCH(E801,Products!$A$2:$A$16,0))</f>
        <v>Office Supplies</v>
      </c>
      <c r="R801" s="0" t="str">
        <f aca="false">INDEX(Customers!$F$2:$F$101,MATCH(D801,Customers!$A$2:$A$101,0))</f>
        <v>West</v>
      </c>
      <c r="S801" s="0" t="str">
        <f aca="false">INDEX(Customers!$C$2:$C$101,MATCH(D801,Customers!$A$2:$A$101,0))</f>
        <v>Consumer</v>
      </c>
      <c r="T801" s="0" t="str">
        <f aca="false">INDEX(Customers!$D$2:$D$101,MATCH(D801,Customers!$A$2:$A$101,0))</f>
        <v>Mumbai</v>
      </c>
    </row>
    <row r="802" customFormat="false" ht="15" hidden="false" customHeight="false" outlineLevel="0" collapsed="false">
      <c r="A802" s="0" t="s">
        <v>1073</v>
      </c>
      <c r="B802" s="37" t="n">
        <v>45986</v>
      </c>
      <c r="C802" s="37" t="n">
        <v>45989</v>
      </c>
      <c r="D802" s="38" t="s">
        <v>260</v>
      </c>
      <c r="E802" s="38" t="s">
        <v>119</v>
      </c>
      <c r="F802" s="38" t="s">
        <v>100</v>
      </c>
      <c r="G802" s="38" t="s">
        <v>178</v>
      </c>
      <c r="H802" s="0" t="n">
        <v>8</v>
      </c>
      <c r="I802" s="39" t="n">
        <v>250</v>
      </c>
      <c r="J802" s="40" t="n">
        <v>0.2</v>
      </c>
      <c r="K802" s="39" t="n">
        <v>1600</v>
      </c>
      <c r="L802" s="39" t="n">
        <v>960</v>
      </c>
      <c r="M802" s="39" t="n">
        <v>640</v>
      </c>
      <c r="N802" s="38" t="s">
        <v>146</v>
      </c>
      <c r="O802" s="38" t="n">
        <f aca="false">YEAR(B802)</f>
        <v>2025</v>
      </c>
      <c r="P802" s="41" t="n">
        <f aca="false">DATE(YEAR(B802),MONTH(B802),1)</f>
        <v>45962</v>
      </c>
      <c r="Q802" s="0" t="str">
        <f aca="false">INDEX(Products!$C$2:$C$16,MATCH(E802,Products!$A$2:$A$16,0))</f>
        <v>Office Supplies</v>
      </c>
      <c r="R802" s="0" t="str">
        <f aca="false">INDEX(Customers!$F$2:$F$101,MATCH(D802,Customers!$A$2:$A$101,0))</f>
        <v>West</v>
      </c>
      <c r="S802" s="0" t="str">
        <f aca="false">INDEX(Customers!$C$2:$C$101,MATCH(D802,Customers!$A$2:$A$101,0))</f>
        <v>Small Business</v>
      </c>
      <c r="T802" s="0" t="str">
        <f aca="false">INDEX(Customers!$D$2:$D$101,MATCH(D802,Customers!$A$2:$A$101,0))</f>
        <v>Mumbai</v>
      </c>
    </row>
    <row r="803" customFormat="false" ht="15" hidden="false" customHeight="false" outlineLevel="0" collapsed="false">
      <c r="A803" s="0" t="s">
        <v>1074</v>
      </c>
      <c r="B803" s="37" t="n">
        <v>46271</v>
      </c>
      <c r="C803" s="37" t="n">
        <v>46278</v>
      </c>
      <c r="D803" s="38" t="s">
        <v>348</v>
      </c>
      <c r="E803" s="38" t="s">
        <v>118</v>
      </c>
      <c r="F803" s="38" t="s">
        <v>101</v>
      </c>
      <c r="G803" s="38" t="s">
        <v>170</v>
      </c>
      <c r="H803" s="0" t="n">
        <v>2</v>
      </c>
      <c r="I803" s="39" t="n">
        <v>9000</v>
      </c>
      <c r="J803" s="40" t="n">
        <v>0.2</v>
      </c>
      <c r="K803" s="39" t="n">
        <v>14400</v>
      </c>
      <c r="L803" s="39" t="n">
        <v>13000</v>
      </c>
      <c r="M803" s="39" t="n">
        <v>1400</v>
      </c>
      <c r="N803" s="38" t="s">
        <v>66</v>
      </c>
      <c r="O803" s="38" t="n">
        <f aca="false">YEAR(B803)</f>
        <v>2026</v>
      </c>
      <c r="P803" s="41" t="n">
        <f aca="false">DATE(YEAR(B803),MONTH(B803),1)</f>
        <v>46266</v>
      </c>
      <c r="Q803" s="0" t="str">
        <f aca="false">INDEX(Products!$C$2:$C$16,MATCH(E803,Products!$A$2:$A$16,0))</f>
        <v>Furniture</v>
      </c>
      <c r="R803" s="0" t="str">
        <f aca="false">INDEX(Customers!$F$2:$F$101,MATCH(D803,Customers!$A$2:$A$101,0))</f>
        <v>East</v>
      </c>
      <c r="S803" s="0" t="str">
        <f aca="false">INDEX(Customers!$C$2:$C$101,MATCH(D803,Customers!$A$2:$A$101,0))</f>
        <v>Corporate</v>
      </c>
      <c r="T803" s="0" t="str">
        <f aca="false">INDEX(Customers!$D$2:$D$101,MATCH(D803,Customers!$A$2:$A$101,0))</f>
        <v>Kolkata</v>
      </c>
    </row>
    <row r="804" customFormat="false" ht="15" hidden="false" customHeight="false" outlineLevel="0" collapsed="false">
      <c r="A804" s="0" t="s">
        <v>1075</v>
      </c>
      <c r="B804" s="37" t="n">
        <v>45962</v>
      </c>
      <c r="C804" s="37" t="n">
        <v>45967</v>
      </c>
      <c r="D804" s="38" t="s">
        <v>354</v>
      </c>
      <c r="E804" s="38" t="s">
        <v>117</v>
      </c>
      <c r="F804" s="38" t="s">
        <v>102</v>
      </c>
      <c r="G804" s="38" t="s">
        <v>173</v>
      </c>
      <c r="H804" s="0" t="n">
        <v>2</v>
      </c>
      <c r="I804" s="39" t="n">
        <v>6500</v>
      </c>
      <c r="J804" s="40" t="n">
        <v>0.25</v>
      </c>
      <c r="K804" s="39" t="n">
        <v>9750</v>
      </c>
      <c r="L804" s="39" t="n">
        <v>8400</v>
      </c>
      <c r="M804" s="39" t="n">
        <v>1350</v>
      </c>
      <c r="N804" s="38" t="s">
        <v>66</v>
      </c>
      <c r="O804" s="38" t="n">
        <f aca="false">YEAR(B804)</f>
        <v>2025</v>
      </c>
      <c r="P804" s="41" t="n">
        <f aca="false">DATE(YEAR(B804),MONTH(B804),1)</f>
        <v>45962</v>
      </c>
      <c r="Q804" s="0" t="str">
        <f aca="false">INDEX(Products!$C$2:$C$16,MATCH(E804,Products!$A$2:$A$16,0))</f>
        <v>Furniture</v>
      </c>
      <c r="R804" s="0" t="str">
        <f aca="false">INDEX(Customers!$F$2:$F$101,MATCH(D804,Customers!$A$2:$A$101,0))</f>
        <v>East</v>
      </c>
      <c r="S804" s="0" t="str">
        <f aca="false">INDEX(Customers!$C$2:$C$101,MATCH(D804,Customers!$A$2:$A$101,0))</f>
        <v>Small Business</v>
      </c>
      <c r="T804" s="0" t="str">
        <f aca="false">INDEX(Customers!$D$2:$D$101,MATCH(D804,Customers!$A$2:$A$101,0))</f>
        <v>Bhubaneswar</v>
      </c>
    </row>
    <row r="805" customFormat="false" ht="15" hidden="false" customHeight="false" outlineLevel="0" collapsed="false">
      <c r="A805" s="0" t="s">
        <v>1076</v>
      </c>
      <c r="B805" s="37" t="n">
        <v>45491</v>
      </c>
      <c r="C805" s="37" t="n">
        <v>45496</v>
      </c>
      <c r="D805" s="38" t="s">
        <v>244</v>
      </c>
      <c r="E805" s="38" t="s">
        <v>125</v>
      </c>
      <c r="F805" s="38" t="s">
        <v>100</v>
      </c>
      <c r="G805" s="38" t="s">
        <v>170</v>
      </c>
      <c r="H805" s="0" t="n">
        <v>2</v>
      </c>
      <c r="I805" s="39" t="n">
        <v>600</v>
      </c>
      <c r="J805" s="40" t="n">
        <v>0.2</v>
      </c>
      <c r="K805" s="39" t="n">
        <v>960</v>
      </c>
      <c r="L805" s="39" t="n">
        <v>700</v>
      </c>
      <c r="M805" s="39" t="n">
        <v>260</v>
      </c>
      <c r="N805" s="38" t="s">
        <v>66</v>
      </c>
      <c r="O805" s="38" t="n">
        <f aca="false">YEAR(B805)</f>
        <v>2024</v>
      </c>
      <c r="P805" s="41" t="n">
        <f aca="false">DATE(YEAR(B805),MONTH(B805),1)</f>
        <v>45474</v>
      </c>
      <c r="Q805" s="0" t="str">
        <f aca="false">INDEX(Products!$C$2:$C$16,MATCH(E805,Products!$A$2:$A$16,0))</f>
        <v>Office Supplies</v>
      </c>
      <c r="R805" s="0" t="str">
        <f aca="false">INDEX(Customers!$F$2:$F$101,MATCH(D805,Customers!$A$2:$A$101,0))</f>
        <v>North</v>
      </c>
      <c r="S805" s="0" t="str">
        <f aca="false">INDEX(Customers!$C$2:$C$101,MATCH(D805,Customers!$A$2:$A$101,0))</f>
        <v>Consumer</v>
      </c>
      <c r="T805" s="0" t="str">
        <f aca="false">INDEX(Customers!$D$2:$D$101,MATCH(D805,Customers!$A$2:$A$101,0))</f>
        <v>Gurugram</v>
      </c>
    </row>
    <row r="806" customFormat="false" ht="15" hidden="false" customHeight="false" outlineLevel="0" collapsed="false">
      <c r="A806" s="0" t="s">
        <v>1077</v>
      </c>
      <c r="B806" s="37" t="n">
        <v>46143</v>
      </c>
      <c r="C806" s="37" t="n">
        <v>46144</v>
      </c>
      <c r="D806" s="38" t="s">
        <v>268</v>
      </c>
      <c r="E806" s="38" t="s">
        <v>113</v>
      </c>
      <c r="F806" s="38" t="s">
        <v>102</v>
      </c>
      <c r="G806" s="38" t="s">
        <v>178</v>
      </c>
      <c r="H806" s="0" t="n">
        <v>1</v>
      </c>
      <c r="I806" s="39" t="n">
        <v>45000</v>
      </c>
      <c r="J806" s="40" t="n">
        <v>0</v>
      </c>
      <c r="K806" s="39" t="n">
        <v>45000</v>
      </c>
      <c r="L806" s="39" t="n">
        <v>36000</v>
      </c>
      <c r="M806" s="39" t="n">
        <v>9000</v>
      </c>
      <c r="N806" s="38" t="s">
        <v>66</v>
      </c>
      <c r="O806" s="38" t="n">
        <f aca="false">YEAR(B806)</f>
        <v>2026</v>
      </c>
      <c r="P806" s="41" t="n">
        <f aca="false">DATE(YEAR(B806),MONTH(B806),1)</f>
        <v>46143</v>
      </c>
      <c r="Q806" s="0" t="str">
        <f aca="false">INDEX(Products!$C$2:$C$16,MATCH(E806,Products!$A$2:$A$16,0))</f>
        <v>Technology</v>
      </c>
      <c r="R806" s="0" t="str">
        <f aca="false">INDEX(Customers!$F$2:$F$101,MATCH(D806,Customers!$A$2:$A$101,0))</f>
        <v>South</v>
      </c>
      <c r="S806" s="0" t="str">
        <f aca="false">INDEX(Customers!$C$2:$C$101,MATCH(D806,Customers!$A$2:$A$101,0))</f>
        <v>Consumer</v>
      </c>
      <c r="T806" s="0" t="str">
        <f aca="false">INDEX(Customers!$D$2:$D$101,MATCH(D806,Customers!$A$2:$A$101,0))</f>
        <v>Bengaluru</v>
      </c>
    </row>
    <row r="807" customFormat="false" ht="15" hidden="false" customHeight="false" outlineLevel="0" collapsed="false">
      <c r="A807" s="0" t="s">
        <v>1078</v>
      </c>
      <c r="B807" s="37" t="n">
        <v>46034</v>
      </c>
      <c r="C807" s="37" t="n">
        <v>46037</v>
      </c>
      <c r="D807" s="38" t="s">
        <v>414</v>
      </c>
      <c r="E807" s="38" t="s">
        <v>116</v>
      </c>
      <c r="F807" s="38" t="s">
        <v>100</v>
      </c>
      <c r="G807" s="38" t="s">
        <v>188</v>
      </c>
      <c r="H807" s="0" t="n">
        <v>1</v>
      </c>
      <c r="I807" s="39" t="n">
        <v>12000</v>
      </c>
      <c r="J807" s="40" t="n">
        <v>0</v>
      </c>
      <c r="K807" s="39" t="n">
        <v>12000</v>
      </c>
      <c r="L807" s="39" t="n">
        <v>9000</v>
      </c>
      <c r="M807" s="39" t="n">
        <v>3000</v>
      </c>
      <c r="N807" s="38" t="s">
        <v>66</v>
      </c>
      <c r="O807" s="38" t="n">
        <f aca="false">YEAR(B807)</f>
        <v>2026</v>
      </c>
      <c r="P807" s="41" t="n">
        <f aca="false">DATE(YEAR(B807),MONTH(B807),1)</f>
        <v>46023</v>
      </c>
      <c r="Q807" s="0" t="str">
        <f aca="false">INDEX(Products!$C$2:$C$16,MATCH(E807,Products!$A$2:$A$16,0))</f>
        <v>Technology</v>
      </c>
      <c r="R807" s="0" t="str">
        <f aca="false">INDEX(Customers!$F$2:$F$101,MATCH(D807,Customers!$A$2:$A$101,0))</f>
        <v>South</v>
      </c>
      <c r="S807" s="0" t="str">
        <f aca="false">INDEX(Customers!$C$2:$C$101,MATCH(D807,Customers!$A$2:$A$101,0))</f>
        <v>Small Business</v>
      </c>
      <c r="T807" s="0" t="str">
        <f aca="false">INDEX(Customers!$D$2:$D$101,MATCH(D807,Customers!$A$2:$A$101,0))</f>
        <v>Bengaluru</v>
      </c>
    </row>
    <row r="808" customFormat="false" ht="15" hidden="false" customHeight="false" outlineLevel="0" collapsed="false">
      <c r="A808" s="0" t="s">
        <v>1079</v>
      </c>
      <c r="B808" s="37" t="n">
        <v>46207</v>
      </c>
      <c r="C808" s="37" t="n">
        <v>46214</v>
      </c>
      <c r="D808" s="38" t="s">
        <v>266</v>
      </c>
      <c r="E808" s="38" t="s">
        <v>123</v>
      </c>
      <c r="F808" s="38" t="s">
        <v>102</v>
      </c>
      <c r="G808" s="38" t="s">
        <v>178</v>
      </c>
      <c r="H808" s="0" t="n">
        <v>1</v>
      </c>
      <c r="I808" s="39" t="n">
        <v>2200</v>
      </c>
      <c r="J808" s="40" t="n">
        <v>0.15</v>
      </c>
      <c r="K808" s="39" t="n">
        <v>1870</v>
      </c>
      <c r="L808" s="39" t="n">
        <v>1300</v>
      </c>
      <c r="M808" s="39" t="n">
        <v>570</v>
      </c>
      <c r="N808" s="38" t="s">
        <v>66</v>
      </c>
      <c r="O808" s="38" t="n">
        <f aca="false">YEAR(B808)</f>
        <v>2026</v>
      </c>
      <c r="P808" s="41" t="n">
        <f aca="false">DATE(YEAR(B808),MONTH(B808),1)</f>
        <v>46204</v>
      </c>
      <c r="Q808" s="0" t="str">
        <f aca="false">INDEX(Products!$C$2:$C$16,MATCH(E808,Products!$A$2:$A$16,0))</f>
        <v>Technology</v>
      </c>
      <c r="R808" s="0" t="str">
        <f aca="false">INDEX(Customers!$F$2:$F$101,MATCH(D808,Customers!$A$2:$A$101,0))</f>
        <v>West</v>
      </c>
      <c r="S808" s="0" t="str">
        <f aca="false">INDEX(Customers!$C$2:$C$101,MATCH(D808,Customers!$A$2:$A$101,0))</f>
        <v>Consumer</v>
      </c>
      <c r="T808" s="0" t="str">
        <f aca="false">INDEX(Customers!$D$2:$D$101,MATCH(D808,Customers!$A$2:$A$101,0))</f>
        <v>Pune</v>
      </c>
    </row>
    <row r="809" customFormat="false" ht="15" hidden="false" customHeight="false" outlineLevel="0" collapsed="false">
      <c r="A809" s="0" t="s">
        <v>1080</v>
      </c>
      <c r="B809" s="37" t="n">
        <v>46168</v>
      </c>
      <c r="C809" s="37" t="n">
        <v>46173</v>
      </c>
      <c r="D809" s="38" t="s">
        <v>373</v>
      </c>
      <c r="E809" s="38" t="s">
        <v>114</v>
      </c>
      <c r="F809" s="38" t="s">
        <v>102</v>
      </c>
      <c r="G809" s="38" t="s">
        <v>188</v>
      </c>
      <c r="H809" s="0" t="n">
        <v>1</v>
      </c>
      <c r="I809" s="39" t="n">
        <v>800</v>
      </c>
      <c r="J809" s="40" t="n">
        <v>0.2</v>
      </c>
      <c r="K809" s="39" t="n">
        <v>640</v>
      </c>
      <c r="L809" s="39" t="n">
        <v>420</v>
      </c>
      <c r="M809" s="39" t="n">
        <v>220</v>
      </c>
      <c r="N809" s="38" t="s">
        <v>66</v>
      </c>
      <c r="O809" s="38" t="n">
        <f aca="false">YEAR(B809)</f>
        <v>2026</v>
      </c>
      <c r="P809" s="41" t="n">
        <f aca="false">DATE(YEAR(B809),MONTH(B809),1)</f>
        <v>46143</v>
      </c>
      <c r="Q809" s="0" t="str">
        <f aca="false">INDEX(Products!$C$2:$C$16,MATCH(E809,Products!$A$2:$A$16,0))</f>
        <v>Technology</v>
      </c>
      <c r="R809" s="0" t="str">
        <f aca="false">INDEX(Customers!$F$2:$F$101,MATCH(D809,Customers!$A$2:$A$101,0))</f>
        <v>West</v>
      </c>
      <c r="S809" s="0" t="str">
        <f aca="false">INDEX(Customers!$C$2:$C$101,MATCH(D809,Customers!$A$2:$A$101,0))</f>
        <v>Small Business</v>
      </c>
      <c r="T809" s="0" t="str">
        <f aca="false">INDEX(Customers!$D$2:$D$101,MATCH(D809,Customers!$A$2:$A$101,0))</f>
        <v>Pune</v>
      </c>
    </row>
    <row r="810" customFormat="false" ht="15" hidden="false" customHeight="false" outlineLevel="0" collapsed="false">
      <c r="A810" s="0" t="s">
        <v>1081</v>
      </c>
      <c r="B810" s="37" t="n">
        <v>45405</v>
      </c>
      <c r="C810" s="37" t="n">
        <v>45411</v>
      </c>
      <c r="D810" s="38" t="s">
        <v>435</v>
      </c>
      <c r="E810" s="38" t="s">
        <v>127</v>
      </c>
      <c r="F810" s="38" t="s">
        <v>101</v>
      </c>
      <c r="G810" s="38" t="s">
        <v>178</v>
      </c>
      <c r="H810" s="0" t="n">
        <v>1</v>
      </c>
      <c r="I810" s="39" t="n">
        <v>18000</v>
      </c>
      <c r="J810" s="40" t="n">
        <v>0.05</v>
      </c>
      <c r="K810" s="39" t="n">
        <v>17100</v>
      </c>
      <c r="L810" s="39" t="n">
        <v>14000</v>
      </c>
      <c r="M810" s="39" t="n">
        <v>3100</v>
      </c>
      <c r="N810" s="38" t="s">
        <v>66</v>
      </c>
      <c r="O810" s="38" t="n">
        <f aca="false">YEAR(B810)</f>
        <v>2024</v>
      </c>
      <c r="P810" s="41" t="n">
        <f aca="false">DATE(YEAR(B810),MONTH(B810),1)</f>
        <v>45383</v>
      </c>
      <c r="Q810" s="0" t="str">
        <f aca="false">INDEX(Products!$C$2:$C$16,MATCH(E810,Products!$A$2:$A$16,0))</f>
        <v>Technology</v>
      </c>
      <c r="R810" s="0" t="str">
        <f aca="false">INDEX(Customers!$F$2:$F$101,MATCH(D810,Customers!$A$2:$A$101,0))</f>
        <v>South</v>
      </c>
      <c r="S810" s="0" t="str">
        <f aca="false">INDEX(Customers!$C$2:$C$101,MATCH(D810,Customers!$A$2:$A$101,0))</f>
        <v>Small Business</v>
      </c>
      <c r="T810" s="0" t="str">
        <f aca="false">INDEX(Customers!$D$2:$D$101,MATCH(D810,Customers!$A$2:$A$101,0))</f>
        <v>Chennai</v>
      </c>
    </row>
    <row r="811" customFormat="false" ht="15" hidden="false" customHeight="false" outlineLevel="0" collapsed="false">
      <c r="A811" s="0" t="s">
        <v>1082</v>
      </c>
      <c r="B811" s="37" t="n">
        <v>45729</v>
      </c>
      <c r="C811" s="37" t="n">
        <v>45735</v>
      </c>
      <c r="D811" s="38" t="s">
        <v>194</v>
      </c>
      <c r="E811" s="38" t="s">
        <v>125</v>
      </c>
      <c r="F811" s="38" t="s">
        <v>101</v>
      </c>
      <c r="G811" s="38" t="s">
        <v>170</v>
      </c>
      <c r="H811" s="0" t="n">
        <v>6</v>
      </c>
      <c r="I811" s="39" t="n">
        <v>600</v>
      </c>
      <c r="J811" s="40" t="n">
        <v>0.25</v>
      </c>
      <c r="K811" s="39" t="n">
        <v>2700</v>
      </c>
      <c r="L811" s="39" t="n">
        <v>2100</v>
      </c>
      <c r="M811" s="39" t="n">
        <v>600</v>
      </c>
      <c r="N811" s="38" t="s">
        <v>66</v>
      </c>
      <c r="O811" s="38" t="n">
        <f aca="false">YEAR(B811)</f>
        <v>2025</v>
      </c>
      <c r="P811" s="41" t="n">
        <f aca="false">DATE(YEAR(B811),MONTH(B811),1)</f>
        <v>45717</v>
      </c>
      <c r="Q811" s="0" t="str">
        <f aca="false">INDEX(Products!$C$2:$C$16,MATCH(E811,Products!$A$2:$A$16,0))</f>
        <v>Office Supplies</v>
      </c>
      <c r="R811" s="0" t="str">
        <f aca="false">INDEX(Customers!$F$2:$F$101,MATCH(D811,Customers!$A$2:$A$101,0))</f>
        <v>North</v>
      </c>
      <c r="S811" s="0" t="str">
        <f aca="false">INDEX(Customers!$C$2:$C$101,MATCH(D811,Customers!$A$2:$A$101,0))</f>
        <v>Small Business</v>
      </c>
      <c r="T811" s="0" t="str">
        <f aca="false">INDEX(Customers!$D$2:$D$101,MATCH(D811,Customers!$A$2:$A$101,0))</f>
        <v>Gurugram</v>
      </c>
    </row>
    <row r="812" customFormat="false" ht="15" hidden="false" customHeight="false" outlineLevel="0" collapsed="false">
      <c r="A812" s="0" t="s">
        <v>1083</v>
      </c>
      <c r="B812" s="37" t="n">
        <v>46087</v>
      </c>
      <c r="C812" s="37" t="n">
        <v>46088</v>
      </c>
      <c r="D812" s="38" t="s">
        <v>381</v>
      </c>
      <c r="E812" s="38" t="s">
        <v>117</v>
      </c>
      <c r="F812" s="38" t="s">
        <v>100</v>
      </c>
      <c r="G812" s="38" t="s">
        <v>170</v>
      </c>
      <c r="H812" s="0" t="n">
        <v>2</v>
      </c>
      <c r="I812" s="39" t="n">
        <v>6500</v>
      </c>
      <c r="J812" s="40" t="n">
        <v>0.05</v>
      </c>
      <c r="K812" s="39" t="n">
        <v>12350</v>
      </c>
      <c r="L812" s="39" t="n">
        <v>8400</v>
      </c>
      <c r="M812" s="39" t="n">
        <v>3950</v>
      </c>
      <c r="N812" s="38" t="s">
        <v>146</v>
      </c>
      <c r="O812" s="38" t="n">
        <f aca="false">YEAR(B812)</f>
        <v>2026</v>
      </c>
      <c r="P812" s="41" t="n">
        <f aca="false">DATE(YEAR(B812),MONTH(B812),1)</f>
        <v>46082</v>
      </c>
      <c r="Q812" s="0" t="str">
        <f aca="false">INDEX(Products!$C$2:$C$16,MATCH(E812,Products!$A$2:$A$16,0))</f>
        <v>Furniture</v>
      </c>
      <c r="R812" s="0" t="str">
        <f aca="false">INDEX(Customers!$F$2:$F$101,MATCH(D812,Customers!$A$2:$A$101,0))</f>
        <v>West</v>
      </c>
      <c r="S812" s="0" t="str">
        <f aca="false">INDEX(Customers!$C$2:$C$101,MATCH(D812,Customers!$A$2:$A$101,0))</f>
        <v>Consumer</v>
      </c>
      <c r="T812" s="0" t="str">
        <f aca="false">INDEX(Customers!$D$2:$D$101,MATCH(D812,Customers!$A$2:$A$101,0))</f>
        <v>Pune</v>
      </c>
    </row>
    <row r="813" customFormat="false" ht="15" hidden="false" customHeight="false" outlineLevel="0" collapsed="false">
      <c r="A813" s="0" t="s">
        <v>1084</v>
      </c>
      <c r="B813" s="37" t="n">
        <v>45743</v>
      </c>
      <c r="C813" s="37" t="n">
        <v>45744</v>
      </c>
      <c r="D813" s="38" t="s">
        <v>234</v>
      </c>
      <c r="E813" s="38" t="s">
        <v>115</v>
      </c>
      <c r="F813" s="38" t="s">
        <v>102</v>
      </c>
      <c r="G813" s="38" t="s">
        <v>185</v>
      </c>
      <c r="H813" s="0" t="n">
        <v>2</v>
      </c>
      <c r="I813" s="39" t="n">
        <v>1500</v>
      </c>
      <c r="J813" s="40" t="n">
        <v>0</v>
      </c>
      <c r="K813" s="39" t="n">
        <v>3000</v>
      </c>
      <c r="L813" s="39" t="n">
        <v>1700</v>
      </c>
      <c r="M813" s="39" t="n">
        <v>1300</v>
      </c>
      <c r="N813" s="38" t="s">
        <v>66</v>
      </c>
      <c r="O813" s="38" t="n">
        <f aca="false">YEAR(B813)</f>
        <v>2025</v>
      </c>
      <c r="P813" s="41" t="n">
        <f aca="false">DATE(YEAR(B813),MONTH(B813),1)</f>
        <v>45717</v>
      </c>
      <c r="Q813" s="0" t="str">
        <f aca="false">INDEX(Products!$C$2:$C$16,MATCH(E813,Products!$A$2:$A$16,0))</f>
        <v>Technology</v>
      </c>
      <c r="R813" s="0" t="str">
        <f aca="false">INDEX(Customers!$F$2:$F$101,MATCH(D813,Customers!$A$2:$A$101,0))</f>
        <v>South</v>
      </c>
      <c r="S813" s="0" t="str">
        <f aca="false">INDEX(Customers!$C$2:$C$101,MATCH(D813,Customers!$A$2:$A$101,0))</f>
        <v>Corporate</v>
      </c>
      <c r="T813" s="0" t="str">
        <f aca="false">INDEX(Customers!$D$2:$D$101,MATCH(D813,Customers!$A$2:$A$101,0))</f>
        <v>Bengaluru</v>
      </c>
    </row>
    <row r="814" customFormat="false" ht="15" hidden="false" customHeight="false" outlineLevel="0" collapsed="false">
      <c r="A814" s="0" t="s">
        <v>1085</v>
      </c>
      <c r="B814" s="37" t="n">
        <v>45439</v>
      </c>
      <c r="C814" s="37" t="n">
        <v>45444</v>
      </c>
      <c r="D814" s="38" t="s">
        <v>238</v>
      </c>
      <c r="E814" s="38" t="s">
        <v>114</v>
      </c>
      <c r="F814" s="38" t="s">
        <v>102</v>
      </c>
      <c r="G814" s="38" t="s">
        <v>178</v>
      </c>
      <c r="H814" s="0" t="n">
        <v>4</v>
      </c>
      <c r="I814" s="39" t="n">
        <v>800</v>
      </c>
      <c r="J814" s="40" t="n">
        <v>0</v>
      </c>
      <c r="K814" s="39" t="n">
        <v>3200</v>
      </c>
      <c r="L814" s="39" t="n">
        <v>1680</v>
      </c>
      <c r="M814" s="39" t="n">
        <v>1520</v>
      </c>
      <c r="N814" s="38" t="s">
        <v>146</v>
      </c>
      <c r="O814" s="38" t="n">
        <f aca="false">YEAR(B814)</f>
        <v>2024</v>
      </c>
      <c r="P814" s="41" t="n">
        <f aca="false">DATE(YEAR(B814),MONTH(B814),1)</f>
        <v>45413</v>
      </c>
      <c r="Q814" s="0" t="str">
        <f aca="false">INDEX(Products!$C$2:$C$16,MATCH(E814,Products!$A$2:$A$16,0))</f>
        <v>Technology</v>
      </c>
      <c r="R814" s="0" t="str">
        <f aca="false">INDEX(Customers!$F$2:$F$101,MATCH(D814,Customers!$A$2:$A$101,0))</f>
        <v>North</v>
      </c>
      <c r="S814" s="0" t="str">
        <f aca="false">INDEX(Customers!$C$2:$C$101,MATCH(D814,Customers!$A$2:$A$101,0))</f>
        <v>Small Business</v>
      </c>
      <c r="T814" s="0" t="str">
        <f aca="false">INDEX(Customers!$D$2:$D$101,MATCH(D814,Customers!$A$2:$A$101,0))</f>
        <v>Lucknow</v>
      </c>
    </row>
    <row r="815" customFormat="false" ht="15" hidden="false" customHeight="false" outlineLevel="0" collapsed="false">
      <c r="A815" s="0" t="s">
        <v>1086</v>
      </c>
      <c r="B815" s="37" t="n">
        <v>45397</v>
      </c>
      <c r="C815" s="37" t="n">
        <v>45398</v>
      </c>
      <c r="D815" s="38" t="s">
        <v>285</v>
      </c>
      <c r="E815" s="38" t="s">
        <v>117</v>
      </c>
      <c r="F815" s="38" t="s">
        <v>102</v>
      </c>
      <c r="G815" s="38" t="s">
        <v>170</v>
      </c>
      <c r="H815" s="0" t="n">
        <v>1</v>
      </c>
      <c r="I815" s="39" t="n">
        <v>6500</v>
      </c>
      <c r="J815" s="40" t="n">
        <v>0.15</v>
      </c>
      <c r="K815" s="39" t="n">
        <v>5525</v>
      </c>
      <c r="L815" s="39" t="n">
        <v>4200</v>
      </c>
      <c r="M815" s="39" t="n">
        <v>1325</v>
      </c>
      <c r="N815" s="38" t="s">
        <v>66</v>
      </c>
      <c r="O815" s="38" t="n">
        <f aca="false">YEAR(B815)</f>
        <v>2024</v>
      </c>
      <c r="P815" s="41" t="n">
        <f aca="false">DATE(YEAR(B815),MONTH(B815),1)</f>
        <v>45383</v>
      </c>
      <c r="Q815" s="0" t="str">
        <f aca="false">INDEX(Products!$C$2:$C$16,MATCH(E815,Products!$A$2:$A$16,0))</f>
        <v>Furniture</v>
      </c>
      <c r="R815" s="0" t="str">
        <f aca="false">INDEX(Customers!$F$2:$F$101,MATCH(D815,Customers!$A$2:$A$101,0))</f>
        <v>South</v>
      </c>
      <c r="S815" s="0" t="str">
        <f aca="false">INDEX(Customers!$C$2:$C$101,MATCH(D815,Customers!$A$2:$A$101,0))</f>
        <v>Small Business</v>
      </c>
      <c r="T815" s="0" t="str">
        <f aca="false">INDEX(Customers!$D$2:$D$101,MATCH(D815,Customers!$A$2:$A$101,0))</f>
        <v>Hyderabad</v>
      </c>
    </row>
    <row r="816" customFormat="false" ht="15" hidden="false" customHeight="false" outlineLevel="0" collapsed="false">
      <c r="A816" s="0" t="s">
        <v>1087</v>
      </c>
      <c r="B816" s="37" t="n">
        <v>45801</v>
      </c>
      <c r="C816" s="37" t="n">
        <v>45803</v>
      </c>
      <c r="D816" s="38" t="s">
        <v>675</v>
      </c>
      <c r="E816" s="38" t="s">
        <v>127</v>
      </c>
      <c r="F816" s="38" t="s">
        <v>100</v>
      </c>
      <c r="G816" s="38" t="s">
        <v>185</v>
      </c>
      <c r="H816" s="0" t="n">
        <v>3</v>
      </c>
      <c r="I816" s="39" t="n">
        <v>18000</v>
      </c>
      <c r="J816" s="40" t="n">
        <v>0</v>
      </c>
      <c r="K816" s="39" t="n">
        <v>54000</v>
      </c>
      <c r="L816" s="39" t="n">
        <v>42000</v>
      </c>
      <c r="M816" s="39" t="n">
        <v>12000</v>
      </c>
      <c r="N816" s="38" t="s">
        <v>66</v>
      </c>
      <c r="O816" s="38" t="n">
        <f aca="false">YEAR(B816)</f>
        <v>2025</v>
      </c>
      <c r="P816" s="41" t="n">
        <f aca="false">DATE(YEAR(B816),MONTH(B816),1)</f>
        <v>45778</v>
      </c>
      <c r="Q816" s="0" t="str">
        <f aca="false">INDEX(Products!$C$2:$C$16,MATCH(E816,Products!$A$2:$A$16,0))</f>
        <v>Technology</v>
      </c>
      <c r="R816" s="0" t="str">
        <f aca="false">INDEX(Customers!$F$2:$F$101,MATCH(D816,Customers!$A$2:$A$101,0))</f>
        <v>East</v>
      </c>
      <c r="S816" s="0" t="str">
        <f aca="false">INDEX(Customers!$C$2:$C$101,MATCH(D816,Customers!$A$2:$A$101,0))</f>
        <v>Small Business</v>
      </c>
      <c r="T816" s="0" t="str">
        <f aca="false">INDEX(Customers!$D$2:$D$101,MATCH(D816,Customers!$A$2:$A$101,0))</f>
        <v>Kolkata</v>
      </c>
    </row>
    <row r="817" customFormat="false" ht="15" hidden="false" customHeight="false" outlineLevel="0" collapsed="false">
      <c r="A817" s="0" t="s">
        <v>1088</v>
      </c>
      <c r="B817" s="37" t="n">
        <v>46218</v>
      </c>
      <c r="C817" s="37" t="n">
        <v>46222</v>
      </c>
      <c r="D817" s="38" t="s">
        <v>184</v>
      </c>
      <c r="E817" s="38" t="s">
        <v>118</v>
      </c>
      <c r="F817" s="38" t="s">
        <v>102</v>
      </c>
      <c r="G817" s="38" t="s">
        <v>185</v>
      </c>
      <c r="H817" s="0" t="n">
        <v>3</v>
      </c>
      <c r="I817" s="39" t="n">
        <v>9000</v>
      </c>
      <c r="J817" s="40" t="n">
        <v>0.15</v>
      </c>
      <c r="K817" s="39" t="n">
        <v>22950</v>
      </c>
      <c r="L817" s="39" t="n">
        <v>19500</v>
      </c>
      <c r="M817" s="39" t="n">
        <v>3450</v>
      </c>
      <c r="N817" s="38" t="s">
        <v>66</v>
      </c>
      <c r="O817" s="38" t="n">
        <f aca="false">YEAR(B817)</f>
        <v>2026</v>
      </c>
      <c r="P817" s="41" t="n">
        <f aca="false">DATE(YEAR(B817),MONTH(B817),1)</f>
        <v>46204</v>
      </c>
      <c r="Q817" s="0" t="str">
        <f aca="false">INDEX(Products!$C$2:$C$16,MATCH(E817,Products!$A$2:$A$16,0))</f>
        <v>Furniture</v>
      </c>
      <c r="R817" s="0" t="str">
        <f aca="false">INDEX(Customers!$F$2:$F$101,MATCH(D817,Customers!$A$2:$A$101,0))</f>
        <v>West</v>
      </c>
      <c r="S817" s="0" t="str">
        <f aca="false">INDEX(Customers!$C$2:$C$101,MATCH(D817,Customers!$A$2:$A$101,0))</f>
        <v>Consumer</v>
      </c>
      <c r="T817" s="0" t="str">
        <f aca="false">INDEX(Customers!$D$2:$D$101,MATCH(D817,Customers!$A$2:$A$101,0))</f>
        <v>Ahmedabad</v>
      </c>
    </row>
    <row r="818" customFormat="false" ht="15" hidden="false" customHeight="false" outlineLevel="0" collapsed="false">
      <c r="A818" s="0" t="s">
        <v>1089</v>
      </c>
      <c r="B818" s="37" t="n">
        <v>46037</v>
      </c>
      <c r="C818" s="37" t="n">
        <v>46044</v>
      </c>
      <c r="D818" s="38" t="s">
        <v>251</v>
      </c>
      <c r="E818" s="38" t="s">
        <v>126</v>
      </c>
      <c r="F818" s="38" t="s">
        <v>102</v>
      </c>
      <c r="G818" s="38" t="s">
        <v>173</v>
      </c>
      <c r="H818" s="0" t="n">
        <v>5</v>
      </c>
      <c r="I818" s="39" t="n">
        <v>1200</v>
      </c>
      <c r="J818" s="40" t="n">
        <v>0</v>
      </c>
      <c r="K818" s="39" t="n">
        <v>6000</v>
      </c>
      <c r="L818" s="39" t="n">
        <v>3500</v>
      </c>
      <c r="M818" s="39" t="n">
        <v>2500</v>
      </c>
      <c r="N818" s="38" t="s">
        <v>66</v>
      </c>
      <c r="O818" s="38" t="n">
        <f aca="false">YEAR(B818)</f>
        <v>2026</v>
      </c>
      <c r="P818" s="41" t="n">
        <f aca="false">DATE(YEAR(B818),MONTH(B818),1)</f>
        <v>46023</v>
      </c>
      <c r="Q818" s="0" t="str">
        <f aca="false">INDEX(Products!$C$2:$C$16,MATCH(E818,Products!$A$2:$A$16,0))</f>
        <v>Furniture</v>
      </c>
      <c r="R818" s="0" t="str">
        <f aca="false">INDEX(Customers!$F$2:$F$101,MATCH(D818,Customers!$A$2:$A$101,0))</f>
        <v>South</v>
      </c>
      <c r="S818" s="0" t="str">
        <f aca="false">INDEX(Customers!$C$2:$C$101,MATCH(D818,Customers!$A$2:$A$101,0))</f>
        <v>Corporate</v>
      </c>
      <c r="T818" s="0" t="str">
        <f aca="false">INDEX(Customers!$D$2:$D$101,MATCH(D818,Customers!$A$2:$A$101,0))</f>
        <v>Bengaluru</v>
      </c>
    </row>
    <row r="819" customFormat="false" ht="15" hidden="false" customHeight="false" outlineLevel="0" collapsed="false">
      <c r="A819" s="0" t="s">
        <v>1090</v>
      </c>
      <c r="B819" s="37" t="n">
        <v>46090</v>
      </c>
      <c r="C819" s="37" t="n">
        <v>46094</v>
      </c>
      <c r="D819" s="38" t="s">
        <v>182</v>
      </c>
      <c r="E819" s="38" t="s">
        <v>126</v>
      </c>
      <c r="F819" s="38" t="s">
        <v>101</v>
      </c>
      <c r="G819" s="38" t="s">
        <v>170</v>
      </c>
      <c r="H819" s="0" t="n">
        <v>1</v>
      </c>
      <c r="I819" s="39" t="n">
        <v>1200</v>
      </c>
      <c r="J819" s="40" t="n">
        <v>0.15</v>
      </c>
      <c r="K819" s="39" t="n">
        <v>1020</v>
      </c>
      <c r="L819" s="39" t="n">
        <v>700</v>
      </c>
      <c r="M819" s="39" t="n">
        <v>320</v>
      </c>
      <c r="N819" s="38" t="s">
        <v>66</v>
      </c>
      <c r="O819" s="38" t="n">
        <f aca="false">YEAR(B819)</f>
        <v>2026</v>
      </c>
      <c r="P819" s="41" t="n">
        <f aca="false">DATE(YEAR(B819),MONTH(B819),1)</f>
        <v>46082</v>
      </c>
      <c r="Q819" s="0" t="str">
        <f aca="false">INDEX(Products!$C$2:$C$16,MATCH(E819,Products!$A$2:$A$16,0))</f>
        <v>Furniture</v>
      </c>
      <c r="R819" s="0" t="str">
        <f aca="false">INDEX(Customers!$F$2:$F$101,MATCH(D819,Customers!$A$2:$A$101,0))</f>
        <v>North</v>
      </c>
      <c r="S819" s="0" t="str">
        <f aca="false">INDEX(Customers!$C$2:$C$101,MATCH(D819,Customers!$A$2:$A$101,0))</f>
        <v>Small Business</v>
      </c>
      <c r="T819" s="0" t="str">
        <f aca="false">INDEX(Customers!$D$2:$D$101,MATCH(D819,Customers!$A$2:$A$101,0))</f>
        <v>Gurugram</v>
      </c>
    </row>
    <row r="820" customFormat="false" ht="15" hidden="false" customHeight="false" outlineLevel="0" collapsed="false">
      <c r="A820" s="0" t="s">
        <v>1091</v>
      </c>
      <c r="B820" s="37" t="n">
        <v>45939</v>
      </c>
      <c r="C820" s="37" t="n">
        <v>45945</v>
      </c>
      <c r="D820" s="38" t="s">
        <v>251</v>
      </c>
      <c r="E820" s="38" t="s">
        <v>113</v>
      </c>
      <c r="F820" s="38" t="s">
        <v>101</v>
      </c>
      <c r="G820" s="38" t="s">
        <v>178</v>
      </c>
      <c r="H820" s="0" t="n">
        <v>1</v>
      </c>
      <c r="I820" s="39" t="n">
        <v>45000</v>
      </c>
      <c r="J820" s="40" t="n">
        <v>0.15</v>
      </c>
      <c r="K820" s="39" t="n">
        <v>38250</v>
      </c>
      <c r="L820" s="39" t="n">
        <v>36000</v>
      </c>
      <c r="M820" s="39" t="n">
        <v>2250</v>
      </c>
      <c r="N820" s="38" t="s">
        <v>66</v>
      </c>
      <c r="O820" s="38" t="n">
        <f aca="false">YEAR(B820)</f>
        <v>2025</v>
      </c>
      <c r="P820" s="41" t="n">
        <f aca="false">DATE(YEAR(B820),MONTH(B820),1)</f>
        <v>45931</v>
      </c>
      <c r="Q820" s="0" t="str">
        <f aca="false">INDEX(Products!$C$2:$C$16,MATCH(E820,Products!$A$2:$A$16,0))</f>
        <v>Technology</v>
      </c>
      <c r="R820" s="0" t="str">
        <f aca="false">INDEX(Customers!$F$2:$F$101,MATCH(D820,Customers!$A$2:$A$101,0))</f>
        <v>South</v>
      </c>
      <c r="S820" s="0" t="str">
        <f aca="false">INDEX(Customers!$C$2:$C$101,MATCH(D820,Customers!$A$2:$A$101,0))</f>
        <v>Corporate</v>
      </c>
      <c r="T820" s="0" t="str">
        <f aca="false">INDEX(Customers!$D$2:$D$101,MATCH(D820,Customers!$A$2:$A$101,0))</f>
        <v>Bengaluru</v>
      </c>
    </row>
    <row r="821" customFormat="false" ht="15" hidden="false" customHeight="false" outlineLevel="0" collapsed="false">
      <c r="A821" s="0" t="s">
        <v>1092</v>
      </c>
      <c r="B821" s="37" t="n">
        <v>45588</v>
      </c>
      <c r="C821" s="37" t="n">
        <v>45594</v>
      </c>
      <c r="D821" s="38" t="s">
        <v>270</v>
      </c>
      <c r="E821" s="38" t="s">
        <v>125</v>
      </c>
      <c r="F821" s="38" t="s">
        <v>100</v>
      </c>
      <c r="G821" s="38" t="s">
        <v>185</v>
      </c>
      <c r="H821" s="0" t="n">
        <v>1</v>
      </c>
      <c r="I821" s="39" t="n">
        <v>600</v>
      </c>
      <c r="J821" s="40" t="n">
        <v>0.15</v>
      </c>
      <c r="K821" s="39" t="n">
        <v>510</v>
      </c>
      <c r="L821" s="39" t="n">
        <v>350</v>
      </c>
      <c r="M821" s="39" t="n">
        <v>160</v>
      </c>
      <c r="N821" s="38" t="s">
        <v>66</v>
      </c>
      <c r="O821" s="38" t="n">
        <f aca="false">YEAR(B821)</f>
        <v>2024</v>
      </c>
      <c r="P821" s="41" t="n">
        <f aca="false">DATE(YEAR(B821),MONTH(B821),1)</f>
        <v>45566</v>
      </c>
      <c r="Q821" s="0" t="str">
        <f aca="false">INDEX(Products!$C$2:$C$16,MATCH(E821,Products!$A$2:$A$16,0))</f>
        <v>Office Supplies</v>
      </c>
      <c r="R821" s="0" t="str">
        <f aca="false">INDEX(Customers!$F$2:$F$101,MATCH(D821,Customers!$A$2:$A$101,0))</f>
        <v>West</v>
      </c>
      <c r="S821" s="0" t="str">
        <f aca="false">INDEX(Customers!$C$2:$C$101,MATCH(D821,Customers!$A$2:$A$101,0))</f>
        <v>Small Business</v>
      </c>
      <c r="T821" s="0" t="str">
        <f aca="false">INDEX(Customers!$D$2:$D$101,MATCH(D821,Customers!$A$2:$A$101,0))</f>
        <v>Pune</v>
      </c>
    </row>
    <row r="822" customFormat="false" ht="15" hidden="false" customHeight="false" outlineLevel="0" collapsed="false">
      <c r="A822" s="0" t="s">
        <v>1093</v>
      </c>
      <c r="B822" s="37" t="n">
        <v>45691</v>
      </c>
      <c r="C822" s="37" t="n">
        <v>45692</v>
      </c>
      <c r="D822" s="38" t="s">
        <v>253</v>
      </c>
      <c r="E822" s="38" t="s">
        <v>124</v>
      </c>
      <c r="F822" s="38" t="s">
        <v>101</v>
      </c>
      <c r="G822" s="38" t="s">
        <v>178</v>
      </c>
      <c r="H822" s="0" t="n">
        <v>3</v>
      </c>
      <c r="I822" s="39" t="n">
        <v>3000</v>
      </c>
      <c r="J822" s="40" t="n">
        <v>0.05</v>
      </c>
      <c r="K822" s="39" t="n">
        <v>8550</v>
      </c>
      <c r="L822" s="39" t="n">
        <v>5700</v>
      </c>
      <c r="M822" s="39" t="n">
        <v>2850</v>
      </c>
      <c r="N822" s="38" t="s">
        <v>66</v>
      </c>
      <c r="O822" s="38" t="n">
        <f aca="false">YEAR(B822)</f>
        <v>2025</v>
      </c>
      <c r="P822" s="41" t="n">
        <f aca="false">DATE(YEAR(B822),MONTH(B822),1)</f>
        <v>45689</v>
      </c>
      <c r="Q822" s="0" t="str">
        <f aca="false">INDEX(Products!$C$2:$C$16,MATCH(E822,Products!$A$2:$A$16,0))</f>
        <v>Technology</v>
      </c>
      <c r="R822" s="0" t="str">
        <f aca="false">INDEX(Customers!$F$2:$F$101,MATCH(D822,Customers!$A$2:$A$101,0))</f>
        <v>East</v>
      </c>
      <c r="S822" s="0" t="str">
        <f aca="false">INDEX(Customers!$C$2:$C$101,MATCH(D822,Customers!$A$2:$A$101,0))</f>
        <v>Small Business</v>
      </c>
      <c r="T822" s="0" t="str">
        <f aca="false">INDEX(Customers!$D$2:$D$101,MATCH(D822,Customers!$A$2:$A$101,0))</f>
        <v>Bhubaneswar</v>
      </c>
    </row>
    <row r="823" customFormat="false" ht="15" hidden="false" customHeight="false" outlineLevel="0" collapsed="false">
      <c r="A823" s="0" t="s">
        <v>1094</v>
      </c>
      <c r="B823" s="37" t="n">
        <v>45486</v>
      </c>
      <c r="C823" s="37" t="n">
        <v>45488</v>
      </c>
      <c r="D823" s="38" t="s">
        <v>172</v>
      </c>
      <c r="E823" s="38" t="s">
        <v>124</v>
      </c>
      <c r="F823" s="38" t="s">
        <v>102</v>
      </c>
      <c r="G823" s="38" t="s">
        <v>188</v>
      </c>
      <c r="H823" s="0" t="n">
        <v>1</v>
      </c>
      <c r="I823" s="39" t="n">
        <v>3000</v>
      </c>
      <c r="J823" s="40" t="n">
        <v>0</v>
      </c>
      <c r="K823" s="39" t="n">
        <v>3000</v>
      </c>
      <c r="L823" s="39" t="n">
        <v>1900</v>
      </c>
      <c r="M823" s="39" t="n">
        <v>1100</v>
      </c>
      <c r="N823" s="38" t="s">
        <v>66</v>
      </c>
      <c r="O823" s="38" t="n">
        <f aca="false">YEAR(B823)</f>
        <v>2024</v>
      </c>
      <c r="P823" s="41" t="n">
        <f aca="false">DATE(YEAR(B823),MONTH(B823),1)</f>
        <v>45474</v>
      </c>
      <c r="Q823" s="0" t="str">
        <f aca="false">INDEX(Products!$C$2:$C$16,MATCH(E823,Products!$A$2:$A$16,0))</f>
        <v>Technology</v>
      </c>
      <c r="R823" s="0" t="str">
        <f aca="false">INDEX(Customers!$F$2:$F$101,MATCH(D823,Customers!$A$2:$A$101,0))</f>
        <v>East</v>
      </c>
      <c r="S823" s="0" t="str">
        <f aca="false">INDEX(Customers!$C$2:$C$101,MATCH(D823,Customers!$A$2:$A$101,0))</f>
        <v>Consumer</v>
      </c>
      <c r="T823" s="0" t="str">
        <f aca="false">INDEX(Customers!$D$2:$D$101,MATCH(D823,Customers!$A$2:$A$101,0))</f>
        <v>Bhubaneswar</v>
      </c>
    </row>
    <row r="824" customFormat="false" ht="15" hidden="false" customHeight="false" outlineLevel="0" collapsed="false">
      <c r="A824" s="0" t="s">
        <v>1095</v>
      </c>
      <c r="B824" s="37" t="n">
        <v>46103</v>
      </c>
      <c r="C824" s="37" t="n">
        <v>46108</v>
      </c>
      <c r="D824" s="38" t="s">
        <v>473</v>
      </c>
      <c r="E824" s="38" t="s">
        <v>114</v>
      </c>
      <c r="F824" s="38" t="s">
        <v>102</v>
      </c>
      <c r="G824" s="38" t="s">
        <v>185</v>
      </c>
      <c r="H824" s="0" t="n">
        <v>3</v>
      </c>
      <c r="I824" s="39" t="n">
        <v>800</v>
      </c>
      <c r="J824" s="40" t="n">
        <v>0.1</v>
      </c>
      <c r="K824" s="39" t="n">
        <v>2160</v>
      </c>
      <c r="L824" s="39" t="n">
        <v>1260</v>
      </c>
      <c r="M824" s="39" t="n">
        <v>900</v>
      </c>
      <c r="N824" s="38" t="s">
        <v>146</v>
      </c>
      <c r="O824" s="38" t="n">
        <f aca="false">YEAR(B824)</f>
        <v>2026</v>
      </c>
      <c r="P824" s="41" t="n">
        <f aca="false">DATE(YEAR(B824),MONTH(B824),1)</f>
        <v>46082</v>
      </c>
      <c r="Q824" s="0" t="str">
        <f aca="false">INDEX(Products!$C$2:$C$16,MATCH(E824,Products!$A$2:$A$16,0))</f>
        <v>Technology</v>
      </c>
      <c r="R824" s="0" t="str">
        <f aca="false">INDEX(Customers!$F$2:$F$101,MATCH(D824,Customers!$A$2:$A$101,0))</f>
        <v>North</v>
      </c>
      <c r="S824" s="0" t="str">
        <f aca="false">INDEX(Customers!$C$2:$C$101,MATCH(D824,Customers!$A$2:$A$101,0))</f>
        <v>Consumer</v>
      </c>
      <c r="T824" s="0" t="str">
        <f aca="false">INDEX(Customers!$D$2:$D$101,MATCH(D824,Customers!$A$2:$A$101,0))</f>
        <v>Gurugram</v>
      </c>
    </row>
    <row r="825" customFormat="false" ht="15" hidden="false" customHeight="false" outlineLevel="0" collapsed="false">
      <c r="A825" s="0" t="s">
        <v>1096</v>
      </c>
      <c r="B825" s="37" t="n">
        <v>45639</v>
      </c>
      <c r="C825" s="37" t="n">
        <v>45640</v>
      </c>
      <c r="D825" s="38" t="s">
        <v>675</v>
      </c>
      <c r="E825" s="38" t="s">
        <v>113</v>
      </c>
      <c r="F825" s="38" t="s">
        <v>100</v>
      </c>
      <c r="G825" s="38" t="s">
        <v>185</v>
      </c>
      <c r="H825" s="0" t="n">
        <v>2</v>
      </c>
      <c r="I825" s="39" t="n">
        <v>45000</v>
      </c>
      <c r="J825" s="40" t="n">
        <v>0.2</v>
      </c>
      <c r="K825" s="39" t="n">
        <v>72000</v>
      </c>
      <c r="L825" s="39" t="n">
        <v>72000</v>
      </c>
      <c r="M825" s="39" t="n">
        <v>0</v>
      </c>
      <c r="N825" s="38" t="s">
        <v>66</v>
      </c>
      <c r="O825" s="38" t="n">
        <f aca="false">YEAR(B825)</f>
        <v>2024</v>
      </c>
      <c r="P825" s="41" t="n">
        <f aca="false">DATE(YEAR(B825),MONTH(B825),1)</f>
        <v>45627</v>
      </c>
      <c r="Q825" s="0" t="str">
        <f aca="false">INDEX(Products!$C$2:$C$16,MATCH(E825,Products!$A$2:$A$16,0))</f>
        <v>Technology</v>
      </c>
      <c r="R825" s="0" t="str">
        <f aca="false">INDEX(Customers!$F$2:$F$101,MATCH(D825,Customers!$A$2:$A$101,0))</f>
        <v>East</v>
      </c>
      <c r="S825" s="0" t="str">
        <f aca="false">INDEX(Customers!$C$2:$C$101,MATCH(D825,Customers!$A$2:$A$101,0))</f>
        <v>Small Business</v>
      </c>
      <c r="T825" s="0" t="str">
        <f aca="false">INDEX(Customers!$D$2:$D$101,MATCH(D825,Customers!$A$2:$A$101,0))</f>
        <v>Kolkata</v>
      </c>
    </row>
    <row r="826" customFormat="false" ht="15" hidden="false" customHeight="false" outlineLevel="0" collapsed="false">
      <c r="A826" s="0" t="s">
        <v>1097</v>
      </c>
      <c r="B826" s="37" t="n">
        <v>45827</v>
      </c>
      <c r="C826" s="37" t="n">
        <v>45831</v>
      </c>
      <c r="D826" s="38" t="s">
        <v>215</v>
      </c>
      <c r="E826" s="38" t="s">
        <v>123</v>
      </c>
      <c r="F826" s="38" t="s">
        <v>102</v>
      </c>
      <c r="G826" s="38" t="s">
        <v>173</v>
      </c>
      <c r="H826" s="0" t="n">
        <v>8</v>
      </c>
      <c r="I826" s="39" t="n">
        <v>2200</v>
      </c>
      <c r="J826" s="40" t="n">
        <v>0.25</v>
      </c>
      <c r="K826" s="39" t="n">
        <v>13200</v>
      </c>
      <c r="L826" s="39" t="n">
        <v>10400</v>
      </c>
      <c r="M826" s="39" t="n">
        <v>2800</v>
      </c>
      <c r="N826" s="38" t="s">
        <v>66</v>
      </c>
      <c r="O826" s="38" t="n">
        <f aca="false">YEAR(B826)</f>
        <v>2025</v>
      </c>
      <c r="P826" s="41" t="n">
        <f aca="false">DATE(YEAR(B826),MONTH(B826),1)</f>
        <v>45809</v>
      </c>
      <c r="Q826" s="0" t="str">
        <f aca="false">INDEX(Products!$C$2:$C$16,MATCH(E826,Products!$A$2:$A$16,0))</f>
        <v>Technology</v>
      </c>
      <c r="R826" s="0" t="str">
        <f aca="false">INDEX(Customers!$F$2:$F$101,MATCH(D826,Customers!$A$2:$A$101,0))</f>
        <v>North</v>
      </c>
      <c r="S826" s="0" t="str">
        <f aca="false">INDEX(Customers!$C$2:$C$101,MATCH(D826,Customers!$A$2:$A$101,0))</f>
        <v>Consumer</v>
      </c>
      <c r="T826" s="0" t="str">
        <f aca="false">INDEX(Customers!$D$2:$D$101,MATCH(D826,Customers!$A$2:$A$101,0))</f>
        <v>Jaipur</v>
      </c>
    </row>
    <row r="827" customFormat="false" ht="15" hidden="false" customHeight="false" outlineLevel="0" collapsed="false">
      <c r="A827" s="0" t="s">
        <v>1098</v>
      </c>
      <c r="B827" s="37" t="n">
        <v>45365</v>
      </c>
      <c r="C827" s="37" t="n">
        <v>45366</v>
      </c>
      <c r="D827" s="38" t="s">
        <v>314</v>
      </c>
      <c r="E827" s="38" t="s">
        <v>127</v>
      </c>
      <c r="F827" s="38" t="s">
        <v>102</v>
      </c>
      <c r="G827" s="38" t="s">
        <v>178</v>
      </c>
      <c r="H827" s="0" t="n">
        <v>4</v>
      </c>
      <c r="I827" s="39" t="n">
        <v>18000</v>
      </c>
      <c r="J827" s="40" t="n">
        <v>0.1</v>
      </c>
      <c r="K827" s="39" t="n">
        <v>64800</v>
      </c>
      <c r="L827" s="39" t="n">
        <v>56000</v>
      </c>
      <c r="M827" s="39" t="n">
        <v>8800</v>
      </c>
      <c r="N827" s="38" t="s">
        <v>66</v>
      </c>
      <c r="O827" s="38" t="n">
        <f aca="false">YEAR(B827)</f>
        <v>2024</v>
      </c>
      <c r="P827" s="41" t="n">
        <f aca="false">DATE(YEAR(B827),MONTH(B827),1)</f>
        <v>45352</v>
      </c>
      <c r="Q827" s="0" t="str">
        <f aca="false">INDEX(Products!$C$2:$C$16,MATCH(E827,Products!$A$2:$A$16,0))</f>
        <v>Technology</v>
      </c>
      <c r="R827" s="0" t="str">
        <f aca="false">INDEX(Customers!$F$2:$F$101,MATCH(D827,Customers!$A$2:$A$101,0))</f>
        <v>North</v>
      </c>
      <c r="S827" s="0" t="str">
        <f aca="false">INDEX(Customers!$C$2:$C$101,MATCH(D827,Customers!$A$2:$A$101,0))</f>
        <v>Consumer</v>
      </c>
      <c r="T827" s="0" t="str">
        <f aca="false">INDEX(Customers!$D$2:$D$101,MATCH(D827,Customers!$A$2:$A$101,0))</f>
        <v>Gurugram</v>
      </c>
    </row>
    <row r="828" customFormat="false" ht="15" hidden="false" customHeight="false" outlineLevel="0" collapsed="false">
      <c r="A828" s="0" t="s">
        <v>1099</v>
      </c>
      <c r="B828" s="37" t="n">
        <v>45540</v>
      </c>
      <c r="C828" s="37" t="n">
        <v>45546</v>
      </c>
      <c r="D828" s="38" t="s">
        <v>305</v>
      </c>
      <c r="E828" s="38" t="s">
        <v>113</v>
      </c>
      <c r="F828" s="38" t="s">
        <v>100</v>
      </c>
      <c r="G828" s="38" t="s">
        <v>178</v>
      </c>
      <c r="H828" s="0" t="n">
        <v>3</v>
      </c>
      <c r="I828" s="39" t="n">
        <v>45000</v>
      </c>
      <c r="J828" s="40" t="n">
        <v>0</v>
      </c>
      <c r="K828" s="39" t="n">
        <v>135000</v>
      </c>
      <c r="L828" s="39" t="n">
        <v>108000</v>
      </c>
      <c r="M828" s="39" t="n">
        <v>27000</v>
      </c>
      <c r="N828" s="38" t="s">
        <v>66</v>
      </c>
      <c r="O828" s="38" t="n">
        <f aca="false">YEAR(B828)</f>
        <v>2024</v>
      </c>
      <c r="P828" s="41" t="n">
        <f aca="false">DATE(YEAR(B828),MONTH(B828),1)</f>
        <v>45536</v>
      </c>
      <c r="Q828" s="0" t="str">
        <f aca="false">INDEX(Products!$C$2:$C$16,MATCH(E828,Products!$A$2:$A$16,0))</f>
        <v>Technology</v>
      </c>
      <c r="R828" s="0" t="str">
        <f aca="false">INDEX(Customers!$F$2:$F$101,MATCH(D828,Customers!$A$2:$A$101,0))</f>
        <v>South</v>
      </c>
      <c r="S828" s="0" t="str">
        <f aca="false">INDEX(Customers!$C$2:$C$101,MATCH(D828,Customers!$A$2:$A$101,0))</f>
        <v>Consumer</v>
      </c>
      <c r="T828" s="0" t="str">
        <f aca="false">INDEX(Customers!$D$2:$D$101,MATCH(D828,Customers!$A$2:$A$101,0))</f>
        <v>Chennai</v>
      </c>
    </row>
    <row r="829" customFormat="false" ht="15" hidden="false" customHeight="false" outlineLevel="0" collapsed="false">
      <c r="A829" s="0" t="s">
        <v>1100</v>
      </c>
      <c r="B829" s="37" t="n">
        <v>45917</v>
      </c>
      <c r="C829" s="37" t="n">
        <v>45919</v>
      </c>
      <c r="D829" s="38" t="s">
        <v>354</v>
      </c>
      <c r="E829" s="38" t="s">
        <v>120</v>
      </c>
      <c r="F829" s="38" t="s">
        <v>100</v>
      </c>
      <c r="G829" s="38" t="s">
        <v>178</v>
      </c>
      <c r="H829" s="0" t="n">
        <v>5</v>
      </c>
      <c r="I829" s="39" t="n">
        <v>400</v>
      </c>
      <c r="J829" s="40" t="n">
        <v>0</v>
      </c>
      <c r="K829" s="39" t="n">
        <v>2000</v>
      </c>
      <c r="L829" s="39" t="n">
        <v>1300</v>
      </c>
      <c r="M829" s="39" t="n">
        <v>700</v>
      </c>
      <c r="N829" s="38" t="s">
        <v>66</v>
      </c>
      <c r="O829" s="38" t="n">
        <f aca="false">YEAR(B829)</f>
        <v>2025</v>
      </c>
      <c r="P829" s="41" t="n">
        <f aca="false">DATE(YEAR(B829),MONTH(B829),1)</f>
        <v>45901</v>
      </c>
      <c r="Q829" s="0" t="str">
        <f aca="false">INDEX(Products!$C$2:$C$16,MATCH(E829,Products!$A$2:$A$16,0))</f>
        <v>Office Supplies</v>
      </c>
      <c r="R829" s="0" t="str">
        <f aca="false">INDEX(Customers!$F$2:$F$101,MATCH(D829,Customers!$A$2:$A$101,0))</f>
        <v>East</v>
      </c>
      <c r="S829" s="0" t="str">
        <f aca="false">INDEX(Customers!$C$2:$C$101,MATCH(D829,Customers!$A$2:$A$101,0))</f>
        <v>Small Business</v>
      </c>
      <c r="T829" s="0" t="str">
        <f aca="false">INDEX(Customers!$D$2:$D$101,MATCH(D829,Customers!$A$2:$A$101,0))</f>
        <v>Bhubaneswar</v>
      </c>
    </row>
    <row r="830" customFormat="false" ht="15" hidden="false" customHeight="false" outlineLevel="0" collapsed="false">
      <c r="A830" s="0" t="s">
        <v>1101</v>
      </c>
      <c r="B830" s="37" t="n">
        <v>45356</v>
      </c>
      <c r="C830" s="37" t="n">
        <v>45363</v>
      </c>
      <c r="D830" s="38" t="s">
        <v>621</v>
      </c>
      <c r="E830" s="38" t="s">
        <v>116</v>
      </c>
      <c r="F830" s="38" t="s">
        <v>102</v>
      </c>
      <c r="G830" s="38" t="s">
        <v>185</v>
      </c>
      <c r="H830" s="0" t="n">
        <v>1</v>
      </c>
      <c r="I830" s="39" t="n">
        <v>12000</v>
      </c>
      <c r="J830" s="40" t="n">
        <v>0.05</v>
      </c>
      <c r="K830" s="39" t="n">
        <v>11400</v>
      </c>
      <c r="L830" s="39" t="n">
        <v>9000</v>
      </c>
      <c r="M830" s="39" t="n">
        <v>2400</v>
      </c>
      <c r="N830" s="38" t="s">
        <v>66</v>
      </c>
      <c r="O830" s="38" t="n">
        <f aca="false">YEAR(B830)</f>
        <v>2024</v>
      </c>
      <c r="P830" s="41" t="n">
        <f aca="false">DATE(YEAR(B830),MONTH(B830),1)</f>
        <v>45352</v>
      </c>
      <c r="Q830" s="0" t="str">
        <f aca="false">INDEX(Products!$C$2:$C$16,MATCH(E830,Products!$A$2:$A$16,0))</f>
        <v>Technology</v>
      </c>
      <c r="R830" s="0" t="str">
        <f aca="false">INDEX(Customers!$F$2:$F$101,MATCH(D830,Customers!$A$2:$A$101,0))</f>
        <v>East</v>
      </c>
      <c r="S830" s="0" t="str">
        <f aca="false">INDEX(Customers!$C$2:$C$101,MATCH(D830,Customers!$A$2:$A$101,0))</f>
        <v>Corporate</v>
      </c>
      <c r="T830" s="0" t="str">
        <f aca="false">INDEX(Customers!$D$2:$D$101,MATCH(D830,Customers!$A$2:$A$101,0))</f>
        <v>Bhubaneswar</v>
      </c>
    </row>
    <row r="831" customFormat="false" ht="15" hidden="false" customHeight="false" outlineLevel="0" collapsed="false">
      <c r="A831" s="0" t="s">
        <v>1102</v>
      </c>
      <c r="B831" s="37" t="n">
        <v>45850</v>
      </c>
      <c r="C831" s="37" t="n">
        <v>45852</v>
      </c>
      <c r="D831" s="38" t="s">
        <v>312</v>
      </c>
      <c r="E831" s="38" t="s">
        <v>122</v>
      </c>
      <c r="F831" s="38" t="s">
        <v>100</v>
      </c>
      <c r="G831" s="38" t="s">
        <v>178</v>
      </c>
      <c r="H831" s="0" t="n">
        <v>2</v>
      </c>
      <c r="I831" s="39" t="n">
        <v>5500</v>
      </c>
      <c r="J831" s="40" t="n">
        <v>0.25</v>
      </c>
      <c r="K831" s="39" t="n">
        <v>8250</v>
      </c>
      <c r="L831" s="39" t="n">
        <v>7400</v>
      </c>
      <c r="M831" s="39" t="n">
        <v>850</v>
      </c>
      <c r="N831" s="38" t="s">
        <v>66</v>
      </c>
      <c r="O831" s="38" t="n">
        <f aca="false">YEAR(B831)</f>
        <v>2025</v>
      </c>
      <c r="P831" s="41" t="n">
        <f aca="false">DATE(YEAR(B831),MONTH(B831),1)</f>
        <v>45839</v>
      </c>
      <c r="Q831" s="0" t="str">
        <f aca="false">INDEX(Products!$C$2:$C$16,MATCH(E831,Products!$A$2:$A$16,0))</f>
        <v>Furniture</v>
      </c>
      <c r="R831" s="0" t="str">
        <f aca="false">INDEX(Customers!$F$2:$F$101,MATCH(D831,Customers!$A$2:$A$101,0))</f>
        <v>North</v>
      </c>
      <c r="S831" s="0" t="str">
        <f aca="false">INDEX(Customers!$C$2:$C$101,MATCH(D831,Customers!$A$2:$A$101,0))</f>
        <v>Corporate</v>
      </c>
      <c r="T831" s="0" t="str">
        <f aca="false">INDEX(Customers!$D$2:$D$101,MATCH(D831,Customers!$A$2:$A$101,0))</f>
        <v>Delhi</v>
      </c>
    </row>
    <row r="832" customFormat="false" ht="15" hidden="false" customHeight="false" outlineLevel="0" collapsed="false">
      <c r="A832" s="0" t="s">
        <v>1103</v>
      </c>
      <c r="B832" s="37" t="n">
        <v>45415</v>
      </c>
      <c r="C832" s="37" t="n">
        <v>45418</v>
      </c>
      <c r="D832" s="38" t="s">
        <v>498</v>
      </c>
      <c r="E832" s="38" t="s">
        <v>114</v>
      </c>
      <c r="F832" s="38" t="s">
        <v>100</v>
      </c>
      <c r="G832" s="38" t="s">
        <v>170</v>
      </c>
      <c r="H832" s="0" t="n">
        <v>1</v>
      </c>
      <c r="I832" s="39" t="n">
        <v>800</v>
      </c>
      <c r="J832" s="40" t="n">
        <v>0.1</v>
      </c>
      <c r="K832" s="39" t="n">
        <v>720</v>
      </c>
      <c r="L832" s="39" t="n">
        <v>420</v>
      </c>
      <c r="M832" s="39" t="n">
        <v>300</v>
      </c>
      <c r="N832" s="38" t="s">
        <v>66</v>
      </c>
      <c r="O832" s="38" t="n">
        <f aca="false">YEAR(B832)</f>
        <v>2024</v>
      </c>
      <c r="P832" s="41" t="n">
        <f aca="false">DATE(YEAR(B832),MONTH(B832),1)</f>
        <v>45413</v>
      </c>
      <c r="Q832" s="0" t="str">
        <f aca="false">INDEX(Products!$C$2:$C$16,MATCH(E832,Products!$A$2:$A$16,0))</f>
        <v>Technology</v>
      </c>
      <c r="R832" s="0" t="str">
        <f aca="false">INDEX(Customers!$F$2:$F$101,MATCH(D832,Customers!$A$2:$A$101,0))</f>
        <v>East</v>
      </c>
      <c r="S832" s="0" t="str">
        <f aca="false">INDEX(Customers!$C$2:$C$101,MATCH(D832,Customers!$A$2:$A$101,0))</f>
        <v>Consumer</v>
      </c>
      <c r="T832" s="0" t="str">
        <f aca="false">INDEX(Customers!$D$2:$D$101,MATCH(D832,Customers!$A$2:$A$101,0))</f>
        <v>Bhubaneswar</v>
      </c>
    </row>
    <row r="833" customFormat="false" ht="15" hidden="false" customHeight="false" outlineLevel="0" collapsed="false">
      <c r="A833" s="0" t="s">
        <v>1104</v>
      </c>
      <c r="B833" s="37" t="n">
        <v>46239</v>
      </c>
      <c r="C833" s="37" t="n">
        <v>46244</v>
      </c>
      <c r="D833" s="38" t="s">
        <v>172</v>
      </c>
      <c r="E833" s="38" t="s">
        <v>116</v>
      </c>
      <c r="F833" s="38" t="s">
        <v>102</v>
      </c>
      <c r="G833" s="38" t="s">
        <v>188</v>
      </c>
      <c r="H833" s="0" t="n">
        <v>1</v>
      </c>
      <c r="I833" s="39" t="n">
        <v>12000</v>
      </c>
      <c r="J833" s="40" t="n">
        <v>0</v>
      </c>
      <c r="K833" s="39" t="n">
        <v>12000</v>
      </c>
      <c r="L833" s="39" t="n">
        <v>9000</v>
      </c>
      <c r="M833" s="39" t="n">
        <v>3000</v>
      </c>
      <c r="N833" s="38" t="s">
        <v>66</v>
      </c>
      <c r="O833" s="38" t="n">
        <f aca="false">YEAR(B833)</f>
        <v>2026</v>
      </c>
      <c r="P833" s="41" t="n">
        <f aca="false">DATE(YEAR(B833),MONTH(B833),1)</f>
        <v>46235</v>
      </c>
      <c r="Q833" s="0" t="str">
        <f aca="false">INDEX(Products!$C$2:$C$16,MATCH(E833,Products!$A$2:$A$16,0))</f>
        <v>Technology</v>
      </c>
      <c r="R833" s="0" t="str">
        <f aca="false">INDEX(Customers!$F$2:$F$101,MATCH(D833,Customers!$A$2:$A$101,0))</f>
        <v>East</v>
      </c>
      <c r="S833" s="0" t="str">
        <f aca="false">INDEX(Customers!$C$2:$C$101,MATCH(D833,Customers!$A$2:$A$101,0))</f>
        <v>Consumer</v>
      </c>
      <c r="T833" s="0" t="str">
        <f aca="false">INDEX(Customers!$D$2:$D$101,MATCH(D833,Customers!$A$2:$A$101,0))</f>
        <v>Bhubaneswar</v>
      </c>
    </row>
    <row r="834" customFormat="false" ht="15" hidden="false" customHeight="false" outlineLevel="0" collapsed="false">
      <c r="A834" s="0" t="s">
        <v>1105</v>
      </c>
      <c r="B834" s="37" t="n">
        <v>46192</v>
      </c>
      <c r="C834" s="37" t="n">
        <v>46196</v>
      </c>
      <c r="D834" s="38" t="s">
        <v>404</v>
      </c>
      <c r="E834" s="38" t="s">
        <v>113</v>
      </c>
      <c r="F834" s="38" t="s">
        <v>100</v>
      </c>
      <c r="G834" s="38" t="s">
        <v>178</v>
      </c>
      <c r="H834" s="0" t="n">
        <v>1</v>
      </c>
      <c r="I834" s="39" t="n">
        <v>45000</v>
      </c>
      <c r="J834" s="40" t="n">
        <v>0</v>
      </c>
      <c r="K834" s="39" t="n">
        <v>45000</v>
      </c>
      <c r="L834" s="39" t="n">
        <v>36000</v>
      </c>
      <c r="M834" s="39" t="n">
        <v>9000</v>
      </c>
      <c r="N834" s="38" t="s">
        <v>66</v>
      </c>
      <c r="O834" s="38" t="n">
        <f aca="false">YEAR(B834)</f>
        <v>2026</v>
      </c>
      <c r="P834" s="41" t="n">
        <f aca="false">DATE(YEAR(B834),MONTH(B834),1)</f>
        <v>46174</v>
      </c>
      <c r="Q834" s="0" t="str">
        <f aca="false">INDEX(Products!$C$2:$C$16,MATCH(E834,Products!$A$2:$A$16,0))</f>
        <v>Technology</v>
      </c>
      <c r="R834" s="0" t="str">
        <f aca="false">INDEX(Customers!$F$2:$F$101,MATCH(D834,Customers!$A$2:$A$101,0))</f>
        <v>West</v>
      </c>
      <c r="S834" s="0" t="str">
        <f aca="false">INDEX(Customers!$C$2:$C$101,MATCH(D834,Customers!$A$2:$A$101,0))</f>
        <v>Small Business</v>
      </c>
      <c r="T834" s="0" t="str">
        <f aca="false">INDEX(Customers!$D$2:$D$101,MATCH(D834,Customers!$A$2:$A$101,0))</f>
        <v>Mumbai</v>
      </c>
    </row>
    <row r="835" customFormat="false" ht="15" hidden="false" customHeight="false" outlineLevel="0" collapsed="false">
      <c r="A835" s="0" t="s">
        <v>1106</v>
      </c>
      <c r="B835" s="37" t="n">
        <v>45582</v>
      </c>
      <c r="C835" s="37" t="n">
        <v>45586</v>
      </c>
      <c r="D835" s="38" t="s">
        <v>244</v>
      </c>
      <c r="E835" s="38" t="s">
        <v>127</v>
      </c>
      <c r="F835" s="38" t="s">
        <v>101</v>
      </c>
      <c r="G835" s="38" t="s">
        <v>173</v>
      </c>
      <c r="H835" s="0" t="n">
        <v>3</v>
      </c>
      <c r="I835" s="39" t="n">
        <v>18000</v>
      </c>
      <c r="J835" s="40" t="n">
        <v>0.25</v>
      </c>
      <c r="K835" s="39" t="n">
        <v>40500</v>
      </c>
      <c r="L835" s="39" t="n">
        <v>42000</v>
      </c>
      <c r="M835" s="39" t="n">
        <v>-1500</v>
      </c>
      <c r="N835" s="38" t="s">
        <v>66</v>
      </c>
      <c r="O835" s="38" t="n">
        <f aca="false">YEAR(B835)</f>
        <v>2024</v>
      </c>
      <c r="P835" s="41" t="n">
        <f aca="false">DATE(YEAR(B835),MONTH(B835),1)</f>
        <v>45566</v>
      </c>
      <c r="Q835" s="0" t="str">
        <f aca="false">INDEX(Products!$C$2:$C$16,MATCH(E835,Products!$A$2:$A$16,0))</f>
        <v>Technology</v>
      </c>
      <c r="R835" s="0" t="str">
        <f aca="false">INDEX(Customers!$F$2:$F$101,MATCH(D835,Customers!$A$2:$A$101,0))</f>
        <v>North</v>
      </c>
      <c r="S835" s="0" t="str">
        <f aca="false">INDEX(Customers!$C$2:$C$101,MATCH(D835,Customers!$A$2:$A$101,0))</f>
        <v>Consumer</v>
      </c>
      <c r="T835" s="0" t="str">
        <f aca="false">INDEX(Customers!$D$2:$D$101,MATCH(D835,Customers!$A$2:$A$101,0))</f>
        <v>Gurugram</v>
      </c>
    </row>
    <row r="836" customFormat="false" ht="15" hidden="false" customHeight="false" outlineLevel="0" collapsed="false">
      <c r="A836" s="0" t="s">
        <v>1107</v>
      </c>
      <c r="B836" s="37" t="n">
        <v>45827</v>
      </c>
      <c r="C836" s="37" t="n">
        <v>45831</v>
      </c>
      <c r="D836" s="38" t="s">
        <v>348</v>
      </c>
      <c r="E836" s="38" t="s">
        <v>117</v>
      </c>
      <c r="F836" s="38" t="s">
        <v>102</v>
      </c>
      <c r="G836" s="38" t="s">
        <v>178</v>
      </c>
      <c r="H836" s="0" t="n">
        <v>2</v>
      </c>
      <c r="I836" s="39" t="n">
        <v>6500</v>
      </c>
      <c r="J836" s="40" t="n">
        <v>0</v>
      </c>
      <c r="K836" s="39" t="n">
        <v>13000</v>
      </c>
      <c r="L836" s="39" t="n">
        <v>8400</v>
      </c>
      <c r="M836" s="39" t="n">
        <v>4600</v>
      </c>
      <c r="N836" s="38" t="s">
        <v>66</v>
      </c>
      <c r="O836" s="38" t="n">
        <f aca="false">YEAR(B836)</f>
        <v>2025</v>
      </c>
      <c r="P836" s="41" t="n">
        <f aca="false">DATE(YEAR(B836),MONTH(B836),1)</f>
        <v>45809</v>
      </c>
      <c r="Q836" s="0" t="str">
        <f aca="false">INDEX(Products!$C$2:$C$16,MATCH(E836,Products!$A$2:$A$16,0))</f>
        <v>Furniture</v>
      </c>
      <c r="R836" s="0" t="str">
        <f aca="false">INDEX(Customers!$F$2:$F$101,MATCH(D836,Customers!$A$2:$A$101,0))</f>
        <v>East</v>
      </c>
      <c r="S836" s="0" t="str">
        <f aca="false">INDEX(Customers!$C$2:$C$101,MATCH(D836,Customers!$A$2:$A$101,0))</f>
        <v>Corporate</v>
      </c>
      <c r="T836" s="0" t="str">
        <f aca="false">INDEX(Customers!$D$2:$D$101,MATCH(D836,Customers!$A$2:$A$101,0))</f>
        <v>Kolkata</v>
      </c>
    </row>
    <row r="837" customFormat="false" ht="15" hidden="false" customHeight="false" outlineLevel="0" collapsed="false">
      <c r="A837" s="0" t="s">
        <v>1108</v>
      </c>
      <c r="B837" s="37" t="n">
        <v>45918</v>
      </c>
      <c r="C837" s="37" t="n">
        <v>45919</v>
      </c>
      <c r="D837" s="38" t="s">
        <v>285</v>
      </c>
      <c r="E837" s="38" t="s">
        <v>120</v>
      </c>
      <c r="F837" s="38" t="s">
        <v>101</v>
      </c>
      <c r="G837" s="38" t="s">
        <v>170</v>
      </c>
      <c r="H837" s="0" t="n">
        <v>3</v>
      </c>
      <c r="I837" s="39" t="n">
        <v>400</v>
      </c>
      <c r="J837" s="40" t="n">
        <v>0.25</v>
      </c>
      <c r="K837" s="39" t="n">
        <v>900</v>
      </c>
      <c r="L837" s="39" t="n">
        <v>780</v>
      </c>
      <c r="M837" s="39" t="n">
        <v>120</v>
      </c>
      <c r="N837" s="38" t="s">
        <v>66</v>
      </c>
      <c r="O837" s="38" t="n">
        <f aca="false">YEAR(B837)</f>
        <v>2025</v>
      </c>
      <c r="P837" s="41" t="n">
        <f aca="false">DATE(YEAR(B837),MONTH(B837),1)</f>
        <v>45901</v>
      </c>
      <c r="Q837" s="0" t="str">
        <f aca="false">INDEX(Products!$C$2:$C$16,MATCH(E837,Products!$A$2:$A$16,0))</f>
        <v>Office Supplies</v>
      </c>
      <c r="R837" s="0" t="str">
        <f aca="false">INDEX(Customers!$F$2:$F$101,MATCH(D837,Customers!$A$2:$A$101,0))</f>
        <v>South</v>
      </c>
      <c r="S837" s="0" t="str">
        <f aca="false">INDEX(Customers!$C$2:$C$101,MATCH(D837,Customers!$A$2:$A$101,0))</f>
        <v>Small Business</v>
      </c>
      <c r="T837" s="0" t="str">
        <f aca="false">INDEX(Customers!$D$2:$D$101,MATCH(D837,Customers!$A$2:$A$101,0))</f>
        <v>Hyderabad</v>
      </c>
    </row>
    <row r="838" customFormat="false" ht="15" hidden="false" customHeight="false" outlineLevel="0" collapsed="false">
      <c r="A838" s="0" t="s">
        <v>1109</v>
      </c>
      <c r="B838" s="37" t="n">
        <v>45488</v>
      </c>
      <c r="C838" s="37" t="n">
        <v>45489</v>
      </c>
      <c r="D838" s="38" t="s">
        <v>322</v>
      </c>
      <c r="E838" s="38" t="s">
        <v>116</v>
      </c>
      <c r="F838" s="38" t="s">
        <v>102</v>
      </c>
      <c r="G838" s="38" t="s">
        <v>170</v>
      </c>
      <c r="H838" s="0" t="n">
        <v>10</v>
      </c>
      <c r="I838" s="39" t="n">
        <v>12000</v>
      </c>
      <c r="J838" s="40" t="n">
        <v>0</v>
      </c>
      <c r="K838" s="39" t="n">
        <v>120000</v>
      </c>
      <c r="L838" s="39" t="n">
        <v>90000</v>
      </c>
      <c r="M838" s="39" t="n">
        <v>30000</v>
      </c>
      <c r="N838" s="38" t="s">
        <v>66</v>
      </c>
      <c r="O838" s="38" t="n">
        <f aca="false">YEAR(B838)</f>
        <v>2024</v>
      </c>
      <c r="P838" s="41" t="n">
        <f aca="false">DATE(YEAR(B838),MONTH(B838),1)</f>
        <v>45474</v>
      </c>
      <c r="Q838" s="0" t="str">
        <f aca="false">INDEX(Products!$C$2:$C$16,MATCH(E838,Products!$A$2:$A$16,0))</f>
        <v>Technology</v>
      </c>
      <c r="R838" s="0" t="str">
        <f aca="false">INDEX(Customers!$F$2:$F$101,MATCH(D838,Customers!$A$2:$A$101,0))</f>
        <v>North</v>
      </c>
      <c r="S838" s="0" t="str">
        <f aca="false">INDEX(Customers!$C$2:$C$101,MATCH(D838,Customers!$A$2:$A$101,0))</f>
        <v>Consumer</v>
      </c>
      <c r="T838" s="0" t="str">
        <f aca="false">INDEX(Customers!$D$2:$D$101,MATCH(D838,Customers!$A$2:$A$101,0))</f>
        <v>Jaipur</v>
      </c>
    </row>
    <row r="839" customFormat="false" ht="15" hidden="false" customHeight="false" outlineLevel="0" collapsed="false">
      <c r="A839" s="0" t="s">
        <v>1110</v>
      </c>
      <c r="B839" s="37" t="n">
        <v>45516</v>
      </c>
      <c r="C839" s="37" t="n">
        <v>45520</v>
      </c>
      <c r="D839" s="38" t="s">
        <v>204</v>
      </c>
      <c r="E839" s="38" t="s">
        <v>121</v>
      </c>
      <c r="F839" s="38" t="s">
        <v>100</v>
      </c>
      <c r="G839" s="38" t="s">
        <v>170</v>
      </c>
      <c r="H839" s="0" t="n">
        <v>4</v>
      </c>
      <c r="I839" s="39" t="n">
        <v>180</v>
      </c>
      <c r="J839" s="40" t="n">
        <v>0.2</v>
      </c>
      <c r="K839" s="39" t="n">
        <v>576</v>
      </c>
      <c r="L839" s="39" t="n">
        <v>280</v>
      </c>
      <c r="M839" s="39" t="n">
        <v>296</v>
      </c>
      <c r="N839" s="38" t="s">
        <v>66</v>
      </c>
      <c r="O839" s="38" t="n">
        <f aca="false">YEAR(B839)</f>
        <v>2024</v>
      </c>
      <c r="P839" s="41" t="n">
        <f aca="false">DATE(YEAR(B839),MONTH(B839),1)</f>
        <v>45505</v>
      </c>
      <c r="Q839" s="0" t="str">
        <f aca="false">INDEX(Products!$C$2:$C$16,MATCH(E839,Products!$A$2:$A$16,0))</f>
        <v>Office Supplies</v>
      </c>
      <c r="R839" s="0" t="str">
        <f aca="false">INDEX(Customers!$F$2:$F$101,MATCH(D839,Customers!$A$2:$A$101,0))</f>
        <v>South</v>
      </c>
      <c r="S839" s="0" t="str">
        <f aca="false">INDEX(Customers!$C$2:$C$101,MATCH(D839,Customers!$A$2:$A$101,0))</f>
        <v>Small Business</v>
      </c>
      <c r="T839" s="0" t="str">
        <f aca="false">INDEX(Customers!$D$2:$D$101,MATCH(D839,Customers!$A$2:$A$101,0))</f>
        <v>Bengaluru</v>
      </c>
    </row>
    <row r="840" customFormat="false" ht="15" hidden="false" customHeight="false" outlineLevel="0" collapsed="false">
      <c r="A840" s="0" t="s">
        <v>1111</v>
      </c>
      <c r="B840" s="37" t="n">
        <v>45444</v>
      </c>
      <c r="C840" s="37" t="n">
        <v>45450</v>
      </c>
      <c r="D840" s="38" t="s">
        <v>369</v>
      </c>
      <c r="E840" s="38" t="s">
        <v>125</v>
      </c>
      <c r="F840" s="38" t="s">
        <v>101</v>
      </c>
      <c r="G840" s="38" t="s">
        <v>173</v>
      </c>
      <c r="H840" s="0" t="n">
        <v>5</v>
      </c>
      <c r="I840" s="39" t="n">
        <v>600</v>
      </c>
      <c r="J840" s="40" t="n">
        <v>0.1</v>
      </c>
      <c r="K840" s="39" t="n">
        <v>2700</v>
      </c>
      <c r="L840" s="39" t="n">
        <v>1750</v>
      </c>
      <c r="M840" s="39" t="n">
        <v>950</v>
      </c>
      <c r="N840" s="38" t="s">
        <v>66</v>
      </c>
      <c r="O840" s="38" t="n">
        <f aca="false">YEAR(B840)</f>
        <v>2024</v>
      </c>
      <c r="P840" s="41" t="n">
        <f aca="false">DATE(YEAR(B840),MONTH(B840),1)</f>
        <v>45444</v>
      </c>
      <c r="Q840" s="0" t="str">
        <f aca="false">INDEX(Products!$C$2:$C$16,MATCH(E840,Products!$A$2:$A$16,0))</f>
        <v>Office Supplies</v>
      </c>
      <c r="R840" s="0" t="str">
        <f aca="false">INDEX(Customers!$F$2:$F$101,MATCH(D840,Customers!$A$2:$A$101,0))</f>
        <v>West</v>
      </c>
      <c r="S840" s="0" t="str">
        <f aca="false">INDEX(Customers!$C$2:$C$101,MATCH(D840,Customers!$A$2:$A$101,0))</f>
        <v>Consumer</v>
      </c>
      <c r="T840" s="0" t="str">
        <f aca="false">INDEX(Customers!$D$2:$D$101,MATCH(D840,Customers!$A$2:$A$101,0))</f>
        <v>Mumbai</v>
      </c>
    </row>
    <row r="841" customFormat="false" ht="15" hidden="false" customHeight="false" outlineLevel="0" collapsed="false">
      <c r="A841" s="0" t="s">
        <v>1112</v>
      </c>
      <c r="B841" s="37" t="n">
        <v>45952</v>
      </c>
      <c r="C841" s="37" t="n">
        <v>45955</v>
      </c>
      <c r="D841" s="38" t="s">
        <v>302</v>
      </c>
      <c r="E841" s="38" t="s">
        <v>113</v>
      </c>
      <c r="F841" s="38" t="s">
        <v>101</v>
      </c>
      <c r="G841" s="38" t="s">
        <v>170</v>
      </c>
      <c r="H841" s="0" t="n">
        <v>1</v>
      </c>
      <c r="I841" s="39" t="n">
        <v>45000</v>
      </c>
      <c r="J841" s="40" t="n">
        <v>0.1</v>
      </c>
      <c r="K841" s="39" t="n">
        <v>40500</v>
      </c>
      <c r="L841" s="39" t="n">
        <v>36000</v>
      </c>
      <c r="M841" s="39" t="n">
        <v>4500</v>
      </c>
      <c r="N841" s="38" t="s">
        <v>66</v>
      </c>
      <c r="O841" s="38" t="n">
        <f aca="false">YEAR(B841)</f>
        <v>2025</v>
      </c>
      <c r="P841" s="41" t="n">
        <f aca="false">DATE(YEAR(B841),MONTH(B841),1)</f>
        <v>45931</v>
      </c>
      <c r="Q841" s="0" t="str">
        <f aca="false">INDEX(Products!$C$2:$C$16,MATCH(E841,Products!$A$2:$A$16,0))</f>
        <v>Technology</v>
      </c>
      <c r="R841" s="0" t="str">
        <f aca="false">INDEX(Customers!$F$2:$F$101,MATCH(D841,Customers!$A$2:$A$101,0))</f>
        <v>East</v>
      </c>
      <c r="S841" s="0" t="str">
        <f aca="false">INDEX(Customers!$C$2:$C$101,MATCH(D841,Customers!$A$2:$A$101,0))</f>
        <v>Consumer</v>
      </c>
      <c r="T841" s="0" t="str">
        <f aca="false">INDEX(Customers!$D$2:$D$101,MATCH(D841,Customers!$A$2:$A$101,0))</f>
        <v>Bhubaneswar</v>
      </c>
    </row>
    <row r="842" customFormat="false" ht="15" hidden="false" customHeight="false" outlineLevel="0" collapsed="false">
      <c r="A842" s="0" t="s">
        <v>1113</v>
      </c>
      <c r="B842" s="37" t="n">
        <v>45336</v>
      </c>
      <c r="C842" s="37" t="n">
        <v>45337</v>
      </c>
      <c r="D842" s="38" t="s">
        <v>270</v>
      </c>
      <c r="E842" s="38" t="s">
        <v>120</v>
      </c>
      <c r="F842" s="38" t="s">
        <v>100</v>
      </c>
      <c r="G842" s="38" t="s">
        <v>173</v>
      </c>
      <c r="H842" s="0" t="n">
        <v>4</v>
      </c>
      <c r="I842" s="39" t="n">
        <v>400</v>
      </c>
      <c r="J842" s="40" t="n">
        <v>0.15</v>
      </c>
      <c r="K842" s="39" t="n">
        <v>1360</v>
      </c>
      <c r="L842" s="39" t="n">
        <v>1040</v>
      </c>
      <c r="M842" s="39" t="n">
        <v>320</v>
      </c>
      <c r="N842" s="38" t="s">
        <v>66</v>
      </c>
      <c r="O842" s="38" t="n">
        <f aca="false">YEAR(B842)</f>
        <v>2024</v>
      </c>
      <c r="P842" s="41" t="n">
        <f aca="false">DATE(YEAR(B842),MONTH(B842),1)</f>
        <v>45323</v>
      </c>
      <c r="Q842" s="0" t="str">
        <f aca="false">INDEX(Products!$C$2:$C$16,MATCH(E842,Products!$A$2:$A$16,0))</f>
        <v>Office Supplies</v>
      </c>
      <c r="R842" s="0" t="str">
        <f aca="false">INDEX(Customers!$F$2:$F$101,MATCH(D842,Customers!$A$2:$A$101,0))</f>
        <v>West</v>
      </c>
      <c r="S842" s="0" t="str">
        <f aca="false">INDEX(Customers!$C$2:$C$101,MATCH(D842,Customers!$A$2:$A$101,0))</f>
        <v>Small Business</v>
      </c>
      <c r="T842" s="0" t="str">
        <f aca="false">INDEX(Customers!$D$2:$D$101,MATCH(D842,Customers!$A$2:$A$101,0))</f>
        <v>Pune</v>
      </c>
    </row>
    <row r="843" customFormat="false" ht="15" hidden="false" customHeight="false" outlineLevel="0" collapsed="false">
      <c r="A843" s="0" t="s">
        <v>1114</v>
      </c>
      <c r="B843" s="37" t="n">
        <v>45410</v>
      </c>
      <c r="C843" s="37" t="n">
        <v>45411</v>
      </c>
      <c r="D843" s="38" t="s">
        <v>238</v>
      </c>
      <c r="E843" s="38" t="s">
        <v>121</v>
      </c>
      <c r="F843" s="38" t="s">
        <v>101</v>
      </c>
      <c r="G843" s="38" t="s">
        <v>188</v>
      </c>
      <c r="H843" s="0" t="n">
        <v>6</v>
      </c>
      <c r="I843" s="39" t="n">
        <v>180</v>
      </c>
      <c r="J843" s="40" t="n">
        <v>0.2</v>
      </c>
      <c r="K843" s="39" t="n">
        <v>864</v>
      </c>
      <c r="L843" s="39" t="n">
        <v>420</v>
      </c>
      <c r="M843" s="39" t="n">
        <v>444</v>
      </c>
      <c r="N843" s="38" t="s">
        <v>66</v>
      </c>
      <c r="O843" s="38" t="n">
        <f aca="false">YEAR(B843)</f>
        <v>2024</v>
      </c>
      <c r="P843" s="41" t="n">
        <f aca="false">DATE(YEAR(B843),MONTH(B843),1)</f>
        <v>45383</v>
      </c>
      <c r="Q843" s="0" t="str">
        <f aca="false">INDEX(Products!$C$2:$C$16,MATCH(E843,Products!$A$2:$A$16,0))</f>
        <v>Office Supplies</v>
      </c>
      <c r="R843" s="0" t="str">
        <f aca="false">INDEX(Customers!$F$2:$F$101,MATCH(D843,Customers!$A$2:$A$101,0))</f>
        <v>North</v>
      </c>
      <c r="S843" s="0" t="str">
        <f aca="false">INDEX(Customers!$C$2:$C$101,MATCH(D843,Customers!$A$2:$A$101,0))</f>
        <v>Small Business</v>
      </c>
      <c r="T843" s="0" t="str">
        <f aca="false">INDEX(Customers!$D$2:$D$101,MATCH(D843,Customers!$A$2:$A$101,0))</f>
        <v>Lucknow</v>
      </c>
    </row>
    <row r="844" customFormat="false" ht="15" hidden="false" customHeight="false" outlineLevel="0" collapsed="false">
      <c r="A844" s="0" t="s">
        <v>1115</v>
      </c>
      <c r="B844" s="37" t="n">
        <v>46057</v>
      </c>
      <c r="C844" s="37" t="n">
        <v>46063</v>
      </c>
      <c r="D844" s="38" t="s">
        <v>364</v>
      </c>
      <c r="E844" s="38" t="s">
        <v>116</v>
      </c>
      <c r="F844" s="38" t="s">
        <v>100</v>
      </c>
      <c r="G844" s="38" t="s">
        <v>170</v>
      </c>
      <c r="H844" s="0" t="n">
        <v>6</v>
      </c>
      <c r="I844" s="39" t="n">
        <v>12000</v>
      </c>
      <c r="J844" s="40" t="n">
        <v>0</v>
      </c>
      <c r="K844" s="39" t="n">
        <v>72000</v>
      </c>
      <c r="L844" s="39" t="n">
        <v>54000</v>
      </c>
      <c r="M844" s="39" t="n">
        <v>18000</v>
      </c>
      <c r="N844" s="38" t="s">
        <v>66</v>
      </c>
      <c r="O844" s="38" t="n">
        <f aca="false">YEAR(B844)</f>
        <v>2026</v>
      </c>
      <c r="P844" s="41" t="n">
        <f aca="false">DATE(YEAR(B844),MONTH(B844),1)</f>
        <v>46054</v>
      </c>
      <c r="Q844" s="0" t="str">
        <f aca="false">INDEX(Products!$C$2:$C$16,MATCH(E844,Products!$A$2:$A$16,0))</f>
        <v>Technology</v>
      </c>
      <c r="R844" s="0" t="str">
        <f aca="false">INDEX(Customers!$F$2:$F$101,MATCH(D844,Customers!$A$2:$A$101,0))</f>
        <v>North</v>
      </c>
      <c r="S844" s="0" t="str">
        <f aca="false">INDEX(Customers!$C$2:$C$101,MATCH(D844,Customers!$A$2:$A$101,0))</f>
        <v>Corporate</v>
      </c>
      <c r="T844" s="0" t="str">
        <f aca="false">INDEX(Customers!$D$2:$D$101,MATCH(D844,Customers!$A$2:$A$101,0))</f>
        <v>Jaipur</v>
      </c>
    </row>
    <row r="845" customFormat="false" ht="15" hidden="false" customHeight="false" outlineLevel="0" collapsed="false">
      <c r="A845" s="0" t="s">
        <v>1116</v>
      </c>
      <c r="B845" s="37" t="n">
        <v>45714</v>
      </c>
      <c r="C845" s="37" t="n">
        <v>45721</v>
      </c>
      <c r="D845" s="38" t="s">
        <v>407</v>
      </c>
      <c r="E845" s="38" t="s">
        <v>124</v>
      </c>
      <c r="F845" s="38" t="s">
        <v>100</v>
      </c>
      <c r="G845" s="38" t="s">
        <v>185</v>
      </c>
      <c r="H845" s="0" t="n">
        <v>1</v>
      </c>
      <c r="I845" s="39" t="n">
        <v>3000</v>
      </c>
      <c r="J845" s="40" t="n">
        <v>0</v>
      </c>
      <c r="K845" s="39" t="n">
        <v>3000</v>
      </c>
      <c r="L845" s="39" t="n">
        <v>1900</v>
      </c>
      <c r="M845" s="39" t="n">
        <v>1100</v>
      </c>
      <c r="N845" s="38" t="s">
        <v>66</v>
      </c>
      <c r="O845" s="38" t="n">
        <f aca="false">YEAR(B845)</f>
        <v>2025</v>
      </c>
      <c r="P845" s="41" t="n">
        <f aca="false">DATE(YEAR(B845),MONTH(B845),1)</f>
        <v>45689</v>
      </c>
      <c r="Q845" s="0" t="str">
        <f aca="false">INDEX(Products!$C$2:$C$16,MATCH(E845,Products!$A$2:$A$16,0))</f>
        <v>Technology</v>
      </c>
      <c r="R845" s="0" t="str">
        <f aca="false">INDEX(Customers!$F$2:$F$101,MATCH(D845,Customers!$A$2:$A$101,0))</f>
        <v>North</v>
      </c>
      <c r="S845" s="0" t="str">
        <f aca="false">INDEX(Customers!$C$2:$C$101,MATCH(D845,Customers!$A$2:$A$101,0))</f>
        <v>Small Business</v>
      </c>
      <c r="T845" s="0" t="str">
        <f aca="false">INDEX(Customers!$D$2:$D$101,MATCH(D845,Customers!$A$2:$A$101,0))</f>
        <v>Delhi</v>
      </c>
    </row>
    <row r="846" customFormat="false" ht="15" hidden="false" customHeight="false" outlineLevel="0" collapsed="false">
      <c r="A846" s="0" t="s">
        <v>1117</v>
      </c>
      <c r="B846" s="37" t="n">
        <v>45738</v>
      </c>
      <c r="C846" s="37" t="n">
        <v>45740</v>
      </c>
      <c r="D846" s="38" t="s">
        <v>278</v>
      </c>
      <c r="E846" s="38" t="s">
        <v>127</v>
      </c>
      <c r="F846" s="38" t="s">
        <v>101</v>
      </c>
      <c r="G846" s="38" t="s">
        <v>173</v>
      </c>
      <c r="H846" s="0" t="n">
        <v>1</v>
      </c>
      <c r="I846" s="39" t="n">
        <v>18000</v>
      </c>
      <c r="J846" s="40" t="n">
        <v>0.15</v>
      </c>
      <c r="K846" s="39" t="n">
        <v>15300</v>
      </c>
      <c r="L846" s="39" t="n">
        <v>14000</v>
      </c>
      <c r="M846" s="39" t="n">
        <v>1300</v>
      </c>
      <c r="N846" s="38" t="s">
        <v>66</v>
      </c>
      <c r="O846" s="38" t="n">
        <f aca="false">YEAR(B846)</f>
        <v>2025</v>
      </c>
      <c r="P846" s="41" t="n">
        <f aca="false">DATE(YEAR(B846),MONTH(B846),1)</f>
        <v>45717</v>
      </c>
      <c r="Q846" s="0" t="str">
        <f aca="false">INDEX(Products!$C$2:$C$16,MATCH(E846,Products!$A$2:$A$16,0))</f>
        <v>Technology</v>
      </c>
      <c r="R846" s="0" t="str">
        <f aca="false">INDEX(Customers!$F$2:$F$101,MATCH(D846,Customers!$A$2:$A$101,0))</f>
        <v>South</v>
      </c>
      <c r="S846" s="0" t="str">
        <f aca="false">INDEX(Customers!$C$2:$C$101,MATCH(D846,Customers!$A$2:$A$101,0))</f>
        <v>Consumer</v>
      </c>
      <c r="T846" s="0" t="str">
        <f aca="false">INDEX(Customers!$D$2:$D$101,MATCH(D846,Customers!$A$2:$A$101,0))</f>
        <v>Hyderabad</v>
      </c>
    </row>
    <row r="847" customFormat="false" ht="15" hidden="false" customHeight="false" outlineLevel="0" collapsed="false">
      <c r="A847" s="0" t="s">
        <v>1118</v>
      </c>
      <c r="B847" s="37" t="n">
        <v>46029</v>
      </c>
      <c r="C847" s="37" t="n">
        <v>46031</v>
      </c>
      <c r="D847" s="38" t="s">
        <v>210</v>
      </c>
      <c r="E847" s="38" t="s">
        <v>120</v>
      </c>
      <c r="F847" s="38" t="s">
        <v>100</v>
      </c>
      <c r="G847" s="38" t="s">
        <v>170</v>
      </c>
      <c r="H847" s="0" t="n">
        <v>3</v>
      </c>
      <c r="I847" s="39" t="n">
        <v>400</v>
      </c>
      <c r="J847" s="40" t="n">
        <v>0.05</v>
      </c>
      <c r="K847" s="39" t="n">
        <v>1140</v>
      </c>
      <c r="L847" s="39" t="n">
        <v>780</v>
      </c>
      <c r="M847" s="39" t="n">
        <v>360</v>
      </c>
      <c r="N847" s="38" t="s">
        <v>66</v>
      </c>
      <c r="O847" s="38" t="n">
        <f aca="false">YEAR(B847)</f>
        <v>2026</v>
      </c>
      <c r="P847" s="41" t="n">
        <f aca="false">DATE(YEAR(B847),MONTH(B847),1)</f>
        <v>46023</v>
      </c>
      <c r="Q847" s="0" t="str">
        <f aca="false">INDEX(Products!$C$2:$C$16,MATCH(E847,Products!$A$2:$A$16,0))</f>
        <v>Office Supplies</v>
      </c>
      <c r="R847" s="0" t="str">
        <f aca="false">INDEX(Customers!$F$2:$F$101,MATCH(D847,Customers!$A$2:$A$101,0))</f>
        <v>North</v>
      </c>
      <c r="S847" s="0" t="str">
        <f aca="false">INDEX(Customers!$C$2:$C$101,MATCH(D847,Customers!$A$2:$A$101,0))</f>
        <v>Corporate</v>
      </c>
      <c r="T847" s="0" t="str">
        <f aca="false">INDEX(Customers!$D$2:$D$101,MATCH(D847,Customers!$A$2:$A$101,0))</f>
        <v>Jaipur</v>
      </c>
    </row>
    <row r="848" customFormat="false" ht="15" hidden="false" customHeight="false" outlineLevel="0" collapsed="false">
      <c r="A848" s="0" t="s">
        <v>1119</v>
      </c>
      <c r="B848" s="37" t="n">
        <v>45353</v>
      </c>
      <c r="C848" s="37" t="n">
        <v>45356</v>
      </c>
      <c r="D848" s="38" t="s">
        <v>182</v>
      </c>
      <c r="E848" s="38" t="s">
        <v>122</v>
      </c>
      <c r="F848" s="38" t="s">
        <v>101</v>
      </c>
      <c r="G848" s="38" t="s">
        <v>185</v>
      </c>
      <c r="H848" s="0" t="n">
        <v>1</v>
      </c>
      <c r="I848" s="39" t="n">
        <v>5500</v>
      </c>
      <c r="J848" s="40" t="n">
        <v>0.25</v>
      </c>
      <c r="K848" s="39" t="n">
        <v>4125</v>
      </c>
      <c r="L848" s="39" t="n">
        <v>3700</v>
      </c>
      <c r="M848" s="39" t="n">
        <v>425</v>
      </c>
      <c r="N848" s="38" t="s">
        <v>66</v>
      </c>
      <c r="O848" s="38" t="n">
        <f aca="false">YEAR(B848)</f>
        <v>2024</v>
      </c>
      <c r="P848" s="41" t="n">
        <f aca="false">DATE(YEAR(B848),MONTH(B848),1)</f>
        <v>45352</v>
      </c>
      <c r="Q848" s="0" t="str">
        <f aca="false">INDEX(Products!$C$2:$C$16,MATCH(E848,Products!$A$2:$A$16,0))</f>
        <v>Furniture</v>
      </c>
      <c r="R848" s="0" t="str">
        <f aca="false">INDEX(Customers!$F$2:$F$101,MATCH(D848,Customers!$A$2:$A$101,0))</f>
        <v>North</v>
      </c>
      <c r="S848" s="0" t="str">
        <f aca="false">INDEX(Customers!$C$2:$C$101,MATCH(D848,Customers!$A$2:$A$101,0))</f>
        <v>Small Business</v>
      </c>
      <c r="T848" s="0" t="str">
        <f aca="false">INDEX(Customers!$D$2:$D$101,MATCH(D848,Customers!$A$2:$A$101,0))</f>
        <v>Gurugram</v>
      </c>
    </row>
    <row r="849" customFormat="false" ht="15" hidden="false" customHeight="false" outlineLevel="0" collapsed="false">
      <c r="A849" s="0" t="s">
        <v>1120</v>
      </c>
      <c r="B849" s="37" t="n">
        <v>45517</v>
      </c>
      <c r="C849" s="37" t="n">
        <v>45520</v>
      </c>
      <c r="D849" s="38" t="s">
        <v>270</v>
      </c>
      <c r="E849" s="38" t="s">
        <v>118</v>
      </c>
      <c r="F849" s="38" t="s">
        <v>102</v>
      </c>
      <c r="G849" s="38" t="s">
        <v>188</v>
      </c>
      <c r="H849" s="0" t="n">
        <v>3</v>
      </c>
      <c r="I849" s="39" t="n">
        <v>9000</v>
      </c>
      <c r="J849" s="40" t="n">
        <v>0.25</v>
      </c>
      <c r="K849" s="39" t="n">
        <v>20250</v>
      </c>
      <c r="L849" s="39" t="n">
        <v>19500</v>
      </c>
      <c r="M849" s="39" t="n">
        <v>750</v>
      </c>
      <c r="N849" s="38" t="s">
        <v>66</v>
      </c>
      <c r="O849" s="38" t="n">
        <f aca="false">YEAR(B849)</f>
        <v>2024</v>
      </c>
      <c r="P849" s="41" t="n">
        <f aca="false">DATE(YEAR(B849),MONTH(B849),1)</f>
        <v>45505</v>
      </c>
      <c r="Q849" s="0" t="str">
        <f aca="false">INDEX(Products!$C$2:$C$16,MATCH(E849,Products!$A$2:$A$16,0))</f>
        <v>Furniture</v>
      </c>
      <c r="R849" s="0" t="str">
        <f aca="false">INDEX(Customers!$F$2:$F$101,MATCH(D849,Customers!$A$2:$A$101,0))</f>
        <v>West</v>
      </c>
      <c r="S849" s="0" t="str">
        <f aca="false">INDEX(Customers!$C$2:$C$101,MATCH(D849,Customers!$A$2:$A$101,0))</f>
        <v>Small Business</v>
      </c>
      <c r="T849" s="0" t="str">
        <f aca="false">INDEX(Customers!$D$2:$D$101,MATCH(D849,Customers!$A$2:$A$101,0))</f>
        <v>Pune</v>
      </c>
    </row>
    <row r="850" customFormat="false" ht="15" hidden="false" customHeight="false" outlineLevel="0" collapsed="false">
      <c r="A850" s="0" t="s">
        <v>1121</v>
      </c>
      <c r="B850" s="37" t="n">
        <v>46167</v>
      </c>
      <c r="C850" s="37" t="n">
        <v>46169</v>
      </c>
      <c r="D850" s="38" t="s">
        <v>409</v>
      </c>
      <c r="E850" s="38" t="s">
        <v>121</v>
      </c>
      <c r="F850" s="38" t="s">
        <v>102</v>
      </c>
      <c r="G850" s="38" t="s">
        <v>185</v>
      </c>
      <c r="H850" s="0" t="n">
        <v>1</v>
      </c>
      <c r="I850" s="39" t="n">
        <v>180</v>
      </c>
      <c r="J850" s="40" t="n">
        <v>0.25</v>
      </c>
      <c r="K850" s="39" t="n">
        <v>135</v>
      </c>
      <c r="L850" s="39" t="n">
        <v>70</v>
      </c>
      <c r="M850" s="39" t="n">
        <v>65</v>
      </c>
      <c r="N850" s="38" t="s">
        <v>66</v>
      </c>
      <c r="O850" s="38" t="n">
        <f aca="false">YEAR(B850)</f>
        <v>2026</v>
      </c>
      <c r="P850" s="41" t="n">
        <f aca="false">DATE(YEAR(B850),MONTH(B850),1)</f>
        <v>46143</v>
      </c>
      <c r="Q850" s="0" t="str">
        <f aca="false">INDEX(Products!$C$2:$C$16,MATCH(E850,Products!$A$2:$A$16,0))</f>
        <v>Office Supplies</v>
      </c>
      <c r="R850" s="0" t="str">
        <f aca="false">INDEX(Customers!$F$2:$F$101,MATCH(D850,Customers!$A$2:$A$101,0))</f>
        <v>East</v>
      </c>
      <c r="S850" s="0" t="str">
        <f aca="false">INDEX(Customers!$C$2:$C$101,MATCH(D850,Customers!$A$2:$A$101,0))</f>
        <v>Small Business</v>
      </c>
      <c r="T850" s="0" t="str">
        <f aca="false">INDEX(Customers!$D$2:$D$101,MATCH(D850,Customers!$A$2:$A$101,0))</f>
        <v>Bhubaneswar</v>
      </c>
    </row>
    <row r="851" customFormat="false" ht="15" hidden="false" customHeight="false" outlineLevel="0" collapsed="false">
      <c r="A851" s="0" t="s">
        <v>1122</v>
      </c>
      <c r="B851" s="37" t="n">
        <v>45776</v>
      </c>
      <c r="C851" s="37" t="n">
        <v>45783</v>
      </c>
      <c r="D851" s="38" t="s">
        <v>352</v>
      </c>
      <c r="E851" s="38" t="s">
        <v>122</v>
      </c>
      <c r="F851" s="38" t="s">
        <v>102</v>
      </c>
      <c r="G851" s="38" t="s">
        <v>185</v>
      </c>
      <c r="H851" s="0" t="n">
        <v>2</v>
      </c>
      <c r="I851" s="39" t="n">
        <v>5500</v>
      </c>
      <c r="J851" s="40" t="n">
        <v>0</v>
      </c>
      <c r="K851" s="39" t="n">
        <v>11000</v>
      </c>
      <c r="L851" s="39" t="n">
        <v>7400</v>
      </c>
      <c r="M851" s="39" t="n">
        <v>3600</v>
      </c>
      <c r="N851" s="38" t="s">
        <v>66</v>
      </c>
      <c r="O851" s="38" t="n">
        <f aca="false">YEAR(B851)</f>
        <v>2025</v>
      </c>
      <c r="P851" s="41" t="n">
        <f aca="false">DATE(YEAR(B851),MONTH(B851),1)</f>
        <v>45748</v>
      </c>
      <c r="Q851" s="0" t="str">
        <f aca="false">INDEX(Products!$C$2:$C$16,MATCH(E851,Products!$A$2:$A$16,0))</f>
        <v>Furniture</v>
      </c>
      <c r="R851" s="0" t="str">
        <f aca="false">INDEX(Customers!$F$2:$F$101,MATCH(D851,Customers!$A$2:$A$101,0))</f>
        <v>South</v>
      </c>
      <c r="S851" s="0" t="str">
        <f aca="false">INDEX(Customers!$C$2:$C$101,MATCH(D851,Customers!$A$2:$A$101,0))</f>
        <v>Small Business</v>
      </c>
      <c r="T851" s="0" t="str">
        <f aca="false">INDEX(Customers!$D$2:$D$101,MATCH(D851,Customers!$A$2:$A$101,0))</f>
        <v>Hyderabad</v>
      </c>
    </row>
    <row r="852" customFormat="false" ht="15" hidden="false" customHeight="false" outlineLevel="0" collapsed="false">
      <c r="A852" s="0" t="s">
        <v>1123</v>
      </c>
      <c r="B852" s="37" t="n">
        <v>45627</v>
      </c>
      <c r="C852" s="37" t="n">
        <v>45631</v>
      </c>
      <c r="D852" s="38" t="s">
        <v>230</v>
      </c>
      <c r="E852" s="38" t="s">
        <v>116</v>
      </c>
      <c r="F852" s="38" t="s">
        <v>100</v>
      </c>
      <c r="G852" s="38" t="s">
        <v>188</v>
      </c>
      <c r="H852" s="0" t="n">
        <v>3</v>
      </c>
      <c r="I852" s="39" t="n">
        <v>12000</v>
      </c>
      <c r="J852" s="40" t="n">
        <v>0.15</v>
      </c>
      <c r="K852" s="39" t="n">
        <v>30600</v>
      </c>
      <c r="L852" s="39" t="n">
        <v>27000</v>
      </c>
      <c r="M852" s="39" t="n">
        <v>3600</v>
      </c>
      <c r="N852" s="38" t="s">
        <v>66</v>
      </c>
      <c r="O852" s="38" t="n">
        <f aca="false">YEAR(B852)</f>
        <v>2024</v>
      </c>
      <c r="P852" s="41" t="n">
        <f aca="false">DATE(YEAR(B852),MONTH(B852),1)</f>
        <v>45627</v>
      </c>
      <c r="Q852" s="0" t="str">
        <f aca="false">INDEX(Products!$C$2:$C$16,MATCH(E852,Products!$A$2:$A$16,0))</f>
        <v>Technology</v>
      </c>
      <c r="R852" s="0" t="str">
        <f aca="false">INDEX(Customers!$F$2:$F$101,MATCH(D852,Customers!$A$2:$A$101,0))</f>
        <v>East</v>
      </c>
      <c r="S852" s="0" t="str">
        <f aca="false">INDEX(Customers!$C$2:$C$101,MATCH(D852,Customers!$A$2:$A$101,0))</f>
        <v>Consumer</v>
      </c>
      <c r="T852" s="0" t="str">
        <f aca="false">INDEX(Customers!$D$2:$D$101,MATCH(D852,Customers!$A$2:$A$101,0))</f>
        <v>Kolkata</v>
      </c>
    </row>
    <row r="853" customFormat="false" ht="15" hidden="false" customHeight="false" outlineLevel="0" collapsed="false">
      <c r="A853" s="0" t="s">
        <v>1124</v>
      </c>
      <c r="B853" s="37" t="n">
        <v>45333</v>
      </c>
      <c r="C853" s="37" t="n">
        <v>45337</v>
      </c>
      <c r="D853" s="38" t="s">
        <v>364</v>
      </c>
      <c r="E853" s="38" t="s">
        <v>113</v>
      </c>
      <c r="F853" s="38" t="s">
        <v>100</v>
      </c>
      <c r="G853" s="38" t="s">
        <v>185</v>
      </c>
      <c r="H853" s="0" t="n">
        <v>4</v>
      </c>
      <c r="I853" s="39" t="n">
        <v>45000</v>
      </c>
      <c r="J853" s="40" t="n">
        <v>0.15</v>
      </c>
      <c r="K853" s="39" t="n">
        <v>153000</v>
      </c>
      <c r="L853" s="39" t="n">
        <v>144000</v>
      </c>
      <c r="M853" s="39" t="n">
        <v>9000</v>
      </c>
      <c r="N853" s="38" t="s">
        <v>66</v>
      </c>
      <c r="O853" s="38" t="n">
        <f aca="false">YEAR(B853)</f>
        <v>2024</v>
      </c>
      <c r="P853" s="41" t="n">
        <f aca="false">DATE(YEAR(B853),MONTH(B853),1)</f>
        <v>45323</v>
      </c>
      <c r="Q853" s="0" t="str">
        <f aca="false">INDEX(Products!$C$2:$C$16,MATCH(E853,Products!$A$2:$A$16,0))</f>
        <v>Technology</v>
      </c>
      <c r="R853" s="0" t="str">
        <f aca="false">INDEX(Customers!$F$2:$F$101,MATCH(D853,Customers!$A$2:$A$101,0))</f>
        <v>North</v>
      </c>
      <c r="S853" s="0" t="str">
        <f aca="false">INDEX(Customers!$C$2:$C$101,MATCH(D853,Customers!$A$2:$A$101,0))</f>
        <v>Corporate</v>
      </c>
      <c r="T853" s="0" t="str">
        <f aca="false">INDEX(Customers!$D$2:$D$101,MATCH(D853,Customers!$A$2:$A$101,0))</f>
        <v>Jaipur</v>
      </c>
    </row>
    <row r="854" customFormat="false" ht="15" hidden="false" customHeight="false" outlineLevel="0" collapsed="false">
      <c r="A854" s="0" t="s">
        <v>1125</v>
      </c>
      <c r="B854" s="37" t="n">
        <v>46109</v>
      </c>
      <c r="C854" s="37" t="n">
        <v>46115</v>
      </c>
      <c r="D854" s="38" t="s">
        <v>249</v>
      </c>
      <c r="E854" s="38" t="s">
        <v>125</v>
      </c>
      <c r="F854" s="38" t="s">
        <v>101</v>
      </c>
      <c r="G854" s="38" t="s">
        <v>173</v>
      </c>
      <c r="H854" s="0" t="n">
        <v>5</v>
      </c>
      <c r="I854" s="39" t="n">
        <v>600</v>
      </c>
      <c r="J854" s="40" t="n">
        <v>0.1</v>
      </c>
      <c r="K854" s="39" t="n">
        <v>2700</v>
      </c>
      <c r="L854" s="39" t="n">
        <v>1750</v>
      </c>
      <c r="M854" s="39" t="n">
        <v>950</v>
      </c>
      <c r="N854" s="38" t="s">
        <v>66</v>
      </c>
      <c r="O854" s="38" t="n">
        <f aca="false">YEAR(B854)</f>
        <v>2026</v>
      </c>
      <c r="P854" s="41" t="n">
        <f aca="false">DATE(YEAR(B854),MONTH(B854),1)</f>
        <v>46082</v>
      </c>
      <c r="Q854" s="0" t="str">
        <f aca="false">INDEX(Products!$C$2:$C$16,MATCH(E854,Products!$A$2:$A$16,0))</f>
        <v>Office Supplies</v>
      </c>
      <c r="R854" s="0" t="str">
        <f aca="false">INDEX(Customers!$F$2:$F$101,MATCH(D854,Customers!$A$2:$A$101,0))</f>
        <v>East</v>
      </c>
      <c r="S854" s="0" t="str">
        <f aca="false">INDEX(Customers!$C$2:$C$101,MATCH(D854,Customers!$A$2:$A$101,0))</f>
        <v>Consumer</v>
      </c>
      <c r="T854" s="0" t="str">
        <f aca="false">INDEX(Customers!$D$2:$D$101,MATCH(D854,Customers!$A$2:$A$101,0))</f>
        <v>Kolkata</v>
      </c>
    </row>
    <row r="855" customFormat="false" ht="15" hidden="false" customHeight="false" outlineLevel="0" collapsed="false">
      <c r="A855" s="0" t="s">
        <v>1126</v>
      </c>
      <c r="B855" s="37" t="n">
        <v>46001</v>
      </c>
      <c r="C855" s="37" t="n">
        <v>46007</v>
      </c>
      <c r="D855" s="38" t="s">
        <v>192</v>
      </c>
      <c r="E855" s="38" t="s">
        <v>113</v>
      </c>
      <c r="F855" s="38" t="s">
        <v>100</v>
      </c>
      <c r="G855" s="38" t="s">
        <v>170</v>
      </c>
      <c r="H855" s="0" t="n">
        <v>2</v>
      </c>
      <c r="I855" s="39" t="n">
        <v>45000</v>
      </c>
      <c r="J855" s="40" t="n">
        <v>0</v>
      </c>
      <c r="K855" s="39" t="n">
        <v>90000</v>
      </c>
      <c r="L855" s="39" t="n">
        <v>72000</v>
      </c>
      <c r="M855" s="39" t="n">
        <v>18000</v>
      </c>
      <c r="N855" s="38" t="s">
        <v>66</v>
      </c>
      <c r="O855" s="38" t="n">
        <f aca="false">YEAR(B855)</f>
        <v>2025</v>
      </c>
      <c r="P855" s="41" t="n">
        <f aca="false">DATE(YEAR(B855),MONTH(B855),1)</f>
        <v>45992</v>
      </c>
      <c r="Q855" s="0" t="str">
        <f aca="false">INDEX(Products!$C$2:$C$16,MATCH(E855,Products!$A$2:$A$16,0))</f>
        <v>Technology</v>
      </c>
      <c r="R855" s="0" t="str">
        <f aca="false">INDEX(Customers!$F$2:$F$101,MATCH(D855,Customers!$A$2:$A$101,0))</f>
        <v>East</v>
      </c>
      <c r="S855" s="0" t="str">
        <f aca="false">INDEX(Customers!$C$2:$C$101,MATCH(D855,Customers!$A$2:$A$101,0))</f>
        <v>Small Business</v>
      </c>
      <c r="T855" s="0" t="str">
        <f aca="false">INDEX(Customers!$D$2:$D$101,MATCH(D855,Customers!$A$2:$A$101,0))</f>
        <v>Bhubaneswar</v>
      </c>
    </row>
    <row r="856" customFormat="false" ht="15" hidden="false" customHeight="false" outlineLevel="0" collapsed="false">
      <c r="A856" s="0" t="s">
        <v>1127</v>
      </c>
      <c r="B856" s="37" t="n">
        <v>45308</v>
      </c>
      <c r="C856" s="37" t="n">
        <v>45312</v>
      </c>
      <c r="D856" s="38" t="s">
        <v>345</v>
      </c>
      <c r="E856" s="38" t="s">
        <v>114</v>
      </c>
      <c r="F856" s="38" t="s">
        <v>102</v>
      </c>
      <c r="G856" s="38" t="s">
        <v>185</v>
      </c>
      <c r="H856" s="0" t="n">
        <v>3</v>
      </c>
      <c r="I856" s="39" t="n">
        <v>800</v>
      </c>
      <c r="J856" s="40" t="n">
        <v>0</v>
      </c>
      <c r="K856" s="39" t="n">
        <v>2400</v>
      </c>
      <c r="L856" s="39" t="n">
        <v>1260</v>
      </c>
      <c r="M856" s="39" t="n">
        <v>1140</v>
      </c>
      <c r="N856" s="38" t="s">
        <v>66</v>
      </c>
      <c r="O856" s="38" t="n">
        <f aca="false">YEAR(B856)</f>
        <v>2024</v>
      </c>
      <c r="P856" s="41" t="n">
        <f aca="false">DATE(YEAR(B856),MONTH(B856),1)</f>
        <v>45292</v>
      </c>
      <c r="Q856" s="0" t="str">
        <f aca="false">INDEX(Products!$C$2:$C$16,MATCH(E856,Products!$A$2:$A$16,0))</f>
        <v>Technology</v>
      </c>
      <c r="R856" s="0" t="str">
        <f aca="false">INDEX(Customers!$F$2:$F$101,MATCH(D856,Customers!$A$2:$A$101,0))</f>
        <v>West</v>
      </c>
      <c r="S856" s="0" t="str">
        <f aca="false">INDEX(Customers!$C$2:$C$101,MATCH(D856,Customers!$A$2:$A$101,0))</f>
        <v>Consumer</v>
      </c>
      <c r="T856" s="0" t="str">
        <f aca="false">INDEX(Customers!$D$2:$D$101,MATCH(D856,Customers!$A$2:$A$101,0))</f>
        <v>Ahmedabad</v>
      </c>
    </row>
    <row r="857" customFormat="false" ht="15" hidden="false" customHeight="false" outlineLevel="0" collapsed="false">
      <c r="A857" s="0" t="s">
        <v>1128</v>
      </c>
      <c r="B857" s="37" t="n">
        <v>45316</v>
      </c>
      <c r="C857" s="37" t="n">
        <v>45320</v>
      </c>
      <c r="D857" s="38" t="s">
        <v>242</v>
      </c>
      <c r="E857" s="38" t="s">
        <v>122</v>
      </c>
      <c r="F857" s="38" t="s">
        <v>102</v>
      </c>
      <c r="G857" s="38" t="s">
        <v>185</v>
      </c>
      <c r="H857" s="0" t="n">
        <v>2</v>
      </c>
      <c r="I857" s="39" t="n">
        <v>5500</v>
      </c>
      <c r="J857" s="40" t="n">
        <v>0</v>
      </c>
      <c r="K857" s="39" t="n">
        <v>11000</v>
      </c>
      <c r="L857" s="39" t="n">
        <v>7400</v>
      </c>
      <c r="M857" s="39" t="n">
        <v>3600</v>
      </c>
      <c r="N857" s="38" t="s">
        <v>66</v>
      </c>
      <c r="O857" s="38" t="n">
        <f aca="false">YEAR(B857)</f>
        <v>2024</v>
      </c>
      <c r="P857" s="41" t="n">
        <f aca="false">DATE(YEAR(B857),MONTH(B857),1)</f>
        <v>45292</v>
      </c>
      <c r="Q857" s="0" t="str">
        <f aca="false">INDEX(Products!$C$2:$C$16,MATCH(E857,Products!$A$2:$A$16,0))</f>
        <v>Furniture</v>
      </c>
      <c r="R857" s="0" t="str">
        <f aca="false">INDEX(Customers!$F$2:$F$101,MATCH(D857,Customers!$A$2:$A$101,0))</f>
        <v>North</v>
      </c>
      <c r="S857" s="0" t="str">
        <f aca="false">INDEX(Customers!$C$2:$C$101,MATCH(D857,Customers!$A$2:$A$101,0))</f>
        <v>Small Business</v>
      </c>
      <c r="T857" s="0" t="str">
        <f aca="false">INDEX(Customers!$D$2:$D$101,MATCH(D857,Customers!$A$2:$A$101,0))</f>
        <v>Gurugram</v>
      </c>
    </row>
    <row r="858" customFormat="false" ht="15" hidden="false" customHeight="false" outlineLevel="0" collapsed="false">
      <c r="A858" s="0" t="s">
        <v>1129</v>
      </c>
      <c r="B858" s="37" t="n">
        <v>45767</v>
      </c>
      <c r="C858" s="37" t="n">
        <v>45773</v>
      </c>
      <c r="D858" s="38" t="s">
        <v>329</v>
      </c>
      <c r="E858" s="38" t="s">
        <v>123</v>
      </c>
      <c r="F858" s="38" t="s">
        <v>102</v>
      </c>
      <c r="G858" s="38" t="s">
        <v>178</v>
      </c>
      <c r="H858" s="0" t="n">
        <v>3</v>
      </c>
      <c r="I858" s="39" t="n">
        <v>2200</v>
      </c>
      <c r="J858" s="40" t="n">
        <v>0.25</v>
      </c>
      <c r="K858" s="39" t="n">
        <v>4950</v>
      </c>
      <c r="L858" s="39" t="n">
        <v>3900</v>
      </c>
      <c r="M858" s="39" t="n">
        <v>1050</v>
      </c>
      <c r="N858" s="38" t="s">
        <v>66</v>
      </c>
      <c r="O858" s="38" t="n">
        <f aca="false">YEAR(B858)</f>
        <v>2025</v>
      </c>
      <c r="P858" s="41" t="n">
        <f aca="false">DATE(YEAR(B858),MONTH(B858),1)</f>
        <v>45748</v>
      </c>
      <c r="Q858" s="0" t="str">
        <f aca="false">INDEX(Products!$C$2:$C$16,MATCH(E858,Products!$A$2:$A$16,0))</f>
        <v>Technology</v>
      </c>
      <c r="R858" s="0" t="str">
        <f aca="false">INDEX(Customers!$F$2:$F$101,MATCH(D858,Customers!$A$2:$A$101,0))</f>
        <v>West</v>
      </c>
      <c r="S858" s="0" t="str">
        <f aca="false">INDEX(Customers!$C$2:$C$101,MATCH(D858,Customers!$A$2:$A$101,0))</f>
        <v>Corporate</v>
      </c>
      <c r="T858" s="0" t="str">
        <f aca="false">INDEX(Customers!$D$2:$D$101,MATCH(D858,Customers!$A$2:$A$101,0))</f>
        <v>Pune</v>
      </c>
    </row>
    <row r="859" customFormat="false" ht="15" hidden="false" customHeight="false" outlineLevel="0" collapsed="false">
      <c r="A859" s="0" t="s">
        <v>1130</v>
      </c>
      <c r="B859" s="37" t="n">
        <v>45835</v>
      </c>
      <c r="C859" s="37" t="n">
        <v>45836</v>
      </c>
      <c r="D859" s="38" t="s">
        <v>182</v>
      </c>
      <c r="E859" s="38" t="s">
        <v>118</v>
      </c>
      <c r="F859" s="38" t="s">
        <v>101</v>
      </c>
      <c r="G859" s="38" t="s">
        <v>188</v>
      </c>
      <c r="H859" s="0" t="n">
        <v>1</v>
      </c>
      <c r="I859" s="39" t="n">
        <v>9000</v>
      </c>
      <c r="J859" s="40" t="n">
        <v>0.25</v>
      </c>
      <c r="K859" s="39" t="n">
        <v>6750</v>
      </c>
      <c r="L859" s="39" t="n">
        <v>6500</v>
      </c>
      <c r="M859" s="39" t="n">
        <v>250</v>
      </c>
      <c r="N859" s="38" t="s">
        <v>66</v>
      </c>
      <c r="O859" s="38" t="n">
        <f aca="false">YEAR(B859)</f>
        <v>2025</v>
      </c>
      <c r="P859" s="41" t="n">
        <f aca="false">DATE(YEAR(B859),MONTH(B859),1)</f>
        <v>45809</v>
      </c>
      <c r="Q859" s="0" t="str">
        <f aca="false">INDEX(Products!$C$2:$C$16,MATCH(E859,Products!$A$2:$A$16,0))</f>
        <v>Furniture</v>
      </c>
      <c r="R859" s="0" t="str">
        <f aca="false">INDEX(Customers!$F$2:$F$101,MATCH(D859,Customers!$A$2:$A$101,0))</f>
        <v>North</v>
      </c>
      <c r="S859" s="0" t="str">
        <f aca="false">INDEX(Customers!$C$2:$C$101,MATCH(D859,Customers!$A$2:$A$101,0))</f>
        <v>Small Business</v>
      </c>
      <c r="T859" s="0" t="str">
        <f aca="false">INDEX(Customers!$D$2:$D$101,MATCH(D859,Customers!$A$2:$A$101,0))</f>
        <v>Gurugram</v>
      </c>
    </row>
    <row r="860" customFormat="false" ht="15" hidden="false" customHeight="false" outlineLevel="0" collapsed="false">
      <c r="A860" s="0" t="s">
        <v>1131</v>
      </c>
      <c r="B860" s="37" t="n">
        <v>45993</v>
      </c>
      <c r="C860" s="37" t="n">
        <v>45994</v>
      </c>
      <c r="D860" s="38" t="s">
        <v>280</v>
      </c>
      <c r="E860" s="38" t="s">
        <v>125</v>
      </c>
      <c r="F860" s="38" t="s">
        <v>102</v>
      </c>
      <c r="G860" s="38" t="s">
        <v>178</v>
      </c>
      <c r="H860" s="0" t="n">
        <v>3</v>
      </c>
      <c r="I860" s="39" t="n">
        <v>600</v>
      </c>
      <c r="J860" s="40" t="n">
        <v>0.05</v>
      </c>
      <c r="K860" s="39" t="n">
        <v>1710</v>
      </c>
      <c r="L860" s="39" t="n">
        <v>1050</v>
      </c>
      <c r="M860" s="39" t="n">
        <v>660</v>
      </c>
      <c r="N860" s="38" t="s">
        <v>66</v>
      </c>
      <c r="O860" s="38" t="n">
        <f aca="false">YEAR(B860)</f>
        <v>2025</v>
      </c>
      <c r="P860" s="41" t="n">
        <f aca="false">DATE(YEAR(B860),MONTH(B860),1)</f>
        <v>45992</v>
      </c>
      <c r="Q860" s="0" t="str">
        <f aca="false">INDEX(Products!$C$2:$C$16,MATCH(E860,Products!$A$2:$A$16,0))</f>
        <v>Office Supplies</v>
      </c>
      <c r="R860" s="0" t="str">
        <f aca="false">INDEX(Customers!$F$2:$F$101,MATCH(D860,Customers!$A$2:$A$101,0))</f>
        <v>North</v>
      </c>
      <c r="S860" s="0" t="str">
        <f aca="false">INDEX(Customers!$C$2:$C$101,MATCH(D860,Customers!$A$2:$A$101,0))</f>
        <v>Corporate</v>
      </c>
      <c r="T860" s="0" t="str">
        <f aca="false">INDEX(Customers!$D$2:$D$101,MATCH(D860,Customers!$A$2:$A$101,0))</f>
        <v>Jaipur</v>
      </c>
    </row>
    <row r="861" customFormat="false" ht="15" hidden="false" customHeight="false" outlineLevel="0" collapsed="false">
      <c r="A861" s="0" t="s">
        <v>1132</v>
      </c>
      <c r="B861" s="37" t="n">
        <v>46201</v>
      </c>
      <c r="C861" s="37" t="n">
        <v>46202</v>
      </c>
      <c r="D861" s="38" t="s">
        <v>268</v>
      </c>
      <c r="E861" s="38" t="s">
        <v>118</v>
      </c>
      <c r="F861" s="38" t="s">
        <v>101</v>
      </c>
      <c r="G861" s="38" t="s">
        <v>188</v>
      </c>
      <c r="H861" s="0" t="n">
        <v>1</v>
      </c>
      <c r="I861" s="39" t="n">
        <v>9000</v>
      </c>
      <c r="J861" s="40" t="n">
        <v>0.05</v>
      </c>
      <c r="K861" s="39" t="n">
        <v>8550</v>
      </c>
      <c r="L861" s="39" t="n">
        <v>6500</v>
      </c>
      <c r="M861" s="39" t="n">
        <v>2050</v>
      </c>
      <c r="N861" s="38" t="s">
        <v>66</v>
      </c>
      <c r="O861" s="38" t="n">
        <f aca="false">YEAR(B861)</f>
        <v>2026</v>
      </c>
      <c r="P861" s="41" t="n">
        <f aca="false">DATE(YEAR(B861),MONTH(B861),1)</f>
        <v>46174</v>
      </c>
      <c r="Q861" s="0" t="str">
        <f aca="false">INDEX(Products!$C$2:$C$16,MATCH(E861,Products!$A$2:$A$16,0))</f>
        <v>Furniture</v>
      </c>
      <c r="R861" s="0" t="str">
        <f aca="false">INDEX(Customers!$F$2:$F$101,MATCH(D861,Customers!$A$2:$A$101,0))</f>
        <v>South</v>
      </c>
      <c r="S861" s="0" t="str">
        <f aca="false">INDEX(Customers!$C$2:$C$101,MATCH(D861,Customers!$A$2:$A$101,0))</f>
        <v>Consumer</v>
      </c>
      <c r="T861" s="0" t="str">
        <f aca="false">INDEX(Customers!$D$2:$D$101,MATCH(D861,Customers!$A$2:$A$101,0))</f>
        <v>Bengaluru</v>
      </c>
    </row>
    <row r="862" customFormat="false" ht="15" hidden="false" customHeight="false" outlineLevel="0" collapsed="false">
      <c r="A862" s="0" t="s">
        <v>1133</v>
      </c>
      <c r="B862" s="37" t="n">
        <v>45955</v>
      </c>
      <c r="C862" s="37" t="n">
        <v>45960</v>
      </c>
      <c r="D862" s="38" t="s">
        <v>400</v>
      </c>
      <c r="E862" s="38" t="s">
        <v>115</v>
      </c>
      <c r="F862" s="38" t="s">
        <v>102</v>
      </c>
      <c r="G862" s="38" t="s">
        <v>173</v>
      </c>
      <c r="H862" s="0" t="n">
        <v>3</v>
      </c>
      <c r="I862" s="39" t="n">
        <v>1500</v>
      </c>
      <c r="J862" s="40" t="n">
        <v>0.15</v>
      </c>
      <c r="K862" s="39" t="n">
        <v>3825</v>
      </c>
      <c r="L862" s="39" t="n">
        <v>2550</v>
      </c>
      <c r="M862" s="39" t="n">
        <v>1275</v>
      </c>
      <c r="N862" s="38" t="s">
        <v>66</v>
      </c>
      <c r="O862" s="38" t="n">
        <f aca="false">YEAR(B862)</f>
        <v>2025</v>
      </c>
      <c r="P862" s="41" t="n">
        <f aca="false">DATE(YEAR(B862),MONTH(B862),1)</f>
        <v>45931</v>
      </c>
      <c r="Q862" s="0" t="str">
        <f aca="false">INDEX(Products!$C$2:$C$16,MATCH(E862,Products!$A$2:$A$16,0))</f>
        <v>Technology</v>
      </c>
      <c r="R862" s="0" t="str">
        <f aca="false">INDEX(Customers!$F$2:$F$101,MATCH(D862,Customers!$A$2:$A$101,0))</f>
        <v>North</v>
      </c>
      <c r="S862" s="0" t="str">
        <f aca="false">INDEX(Customers!$C$2:$C$101,MATCH(D862,Customers!$A$2:$A$101,0))</f>
        <v>Small Business</v>
      </c>
      <c r="T862" s="0" t="str">
        <f aca="false">INDEX(Customers!$D$2:$D$101,MATCH(D862,Customers!$A$2:$A$101,0))</f>
        <v>Lucknow</v>
      </c>
    </row>
    <row r="863" customFormat="false" ht="15" hidden="false" customHeight="false" outlineLevel="0" collapsed="false">
      <c r="A863" s="0" t="s">
        <v>1134</v>
      </c>
      <c r="B863" s="37" t="n">
        <v>45844</v>
      </c>
      <c r="C863" s="37" t="n">
        <v>45845</v>
      </c>
      <c r="D863" s="38" t="s">
        <v>498</v>
      </c>
      <c r="E863" s="38" t="s">
        <v>116</v>
      </c>
      <c r="F863" s="38" t="s">
        <v>102</v>
      </c>
      <c r="G863" s="38" t="s">
        <v>173</v>
      </c>
      <c r="H863" s="0" t="n">
        <v>3</v>
      </c>
      <c r="I863" s="39" t="n">
        <v>12000</v>
      </c>
      <c r="J863" s="40" t="n">
        <v>0.2</v>
      </c>
      <c r="K863" s="39" t="n">
        <v>28800</v>
      </c>
      <c r="L863" s="39" t="n">
        <v>27000</v>
      </c>
      <c r="M863" s="39" t="n">
        <v>1800</v>
      </c>
      <c r="N863" s="38" t="s">
        <v>66</v>
      </c>
      <c r="O863" s="38" t="n">
        <f aca="false">YEAR(B863)</f>
        <v>2025</v>
      </c>
      <c r="P863" s="41" t="n">
        <f aca="false">DATE(YEAR(B863),MONTH(B863),1)</f>
        <v>45839</v>
      </c>
      <c r="Q863" s="0" t="str">
        <f aca="false">INDEX(Products!$C$2:$C$16,MATCH(E863,Products!$A$2:$A$16,0))</f>
        <v>Technology</v>
      </c>
      <c r="R863" s="0" t="str">
        <f aca="false">INDEX(Customers!$F$2:$F$101,MATCH(D863,Customers!$A$2:$A$101,0))</f>
        <v>East</v>
      </c>
      <c r="S863" s="0" t="str">
        <f aca="false">INDEX(Customers!$C$2:$C$101,MATCH(D863,Customers!$A$2:$A$101,0))</f>
        <v>Consumer</v>
      </c>
      <c r="T863" s="0" t="str">
        <f aca="false">INDEX(Customers!$D$2:$D$101,MATCH(D863,Customers!$A$2:$A$101,0))</f>
        <v>Bhubaneswar</v>
      </c>
    </row>
    <row r="864" customFormat="false" ht="15" hidden="false" customHeight="false" outlineLevel="0" collapsed="false">
      <c r="A864" s="0" t="s">
        <v>1135</v>
      </c>
      <c r="B864" s="37" t="n">
        <v>45620</v>
      </c>
      <c r="C864" s="37" t="n">
        <v>45623</v>
      </c>
      <c r="D864" s="38" t="s">
        <v>270</v>
      </c>
      <c r="E864" s="38" t="s">
        <v>116</v>
      </c>
      <c r="F864" s="38" t="s">
        <v>102</v>
      </c>
      <c r="G864" s="38" t="s">
        <v>185</v>
      </c>
      <c r="H864" s="0" t="n">
        <v>6</v>
      </c>
      <c r="I864" s="39" t="n">
        <v>12000</v>
      </c>
      <c r="J864" s="40" t="n">
        <v>0.15</v>
      </c>
      <c r="K864" s="39" t="n">
        <v>61200</v>
      </c>
      <c r="L864" s="39" t="n">
        <v>54000</v>
      </c>
      <c r="M864" s="39" t="n">
        <v>7200</v>
      </c>
      <c r="N864" s="38" t="s">
        <v>66</v>
      </c>
      <c r="O864" s="38" t="n">
        <f aca="false">YEAR(B864)</f>
        <v>2024</v>
      </c>
      <c r="P864" s="41" t="n">
        <f aca="false">DATE(YEAR(B864),MONTH(B864),1)</f>
        <v>45597</v>
      </c>
      <c r="Q864" s="0" t="str">
        <f aca="false">INDEX(Products!$C$2:$C$16,MATCH(E864,Products!$A$2:$A$16,0))</f>
        <v>Technology</v>
      </c>
      <c r="R864" s="0" t="str">
        <f aca="false">INDEX(Customers!$F$2:$F$101,MATCH(D864,Customers!$A$2:$A$101,0))</f>
        <v>West</v>
      </c>
      <c r="S864" s="0" t="str">
        <f aca="false">INDEX(Customers!$C$2:$C$101,MATCH(D864,Customers!$A$2:$A$101,0))</f>
        <v>Small Business</v>
      </c>
      <c r="T864" s="0" t="str">
        <f aca="false">INDEX(Customers!$D$2:$D$101,MATCH(D864,Customers!$A$2:$A$101,0))</f>
        <v>Pune</v>
      </c>
    </row>
    <row r="865" customFormat="false" ht="15" hidden="false" customHeight="false" outlineLevel="0" collapsed="false">
      <c r="A865" s="0" t="s">
        <v>1136</v>
      </c>
      <c r="B865" s="37" t="n">
        <v>45645</v>
      </c>
      <c r="C865" s="37" t="n">
        <v>45649</v>
      </c>
      <c r="D865" s="38" t="s">
        <v>326</v>
      </c>
      <c r="E865" s="38" t="s">
        <v>118</v>
      </c>
      <c r="F865" s="38" t="s">
        <v>100</v>
      </c>
      <c r="G865" s="38" t="s">
        <v>185</v>
      </c>
      <c r="H865" s="0" t="n">
        <v>2</v>
      </c>
      <c r="I865" s="39" t="n">
        <v>9000</v>
      </c>
      <c r="J865" s="40" t="n">
        <v>0.15</v>
      </c>
      <c r="K865" s="39" t="n">
        <v>15300</v>
      </c>
      <c r="L865" s="39" t="n">
        <v>13000</v>
      </c>
      <c r="M865" s="39" t="n">
        <v>2300</v>
      </c>
      <c r="N865" s="38" t="s">
        <v>66</v>
      </c>
      <c r="O865" s="38" t="n">
        <f aca="false">YEAR(B865)</f>
        <v>2024</v>
      </c>
      <c r="P865" s="41" t="n">
        <f aca="false">DATE(YEAR(B865),MONTH(B865),1)</f>
        <v>45627</v>
      </c>
      <c r="Q865" s="0" t="str">
        <f aca="false">INDEX(Products!$C$2:$C$16,MATCH(E865,Products!$A$2:$A$16,0))</f>
        <v>Furniture</v>
      </c>
      <c r="R865" s="0" t="str">
        <f aca="false">INDEX(Customers!$F$2:$F$101,MATCH(D865,Customers!$A$2:$A$101,0))</f>
        <v>North</v>
      </c>
      <c r="S865" s="0" t="str">
        <f aca="false">INDEX(Customers!$C$2:$C$101,MATCH(D865,Customers!$A$2:$A$101,0))</f>
        <v>Consumer</v>
      </c>
      <c r="T865" s="0" t="str">
        <f aca="false">INDEX(Customers!$D$2:$D$101,MATCH(D865,Customers!$A$2:$A$101,0))</f>
        <v>Gurugram</v>
      </c>
    </row>
    <row r="866" customFormat="false" ht="15" hidden="false" customHeight="false" outlineLevel="0" collapsed="false">
      <c r="A866" s="0" t="s">
        <v>1137</v>
      </c>
      <c r="B866" s="37" t="n">
        <v>45837</v>
      </c>
      <c r="C866" s="37" t="n">
        <v>45840</v>
      </c>
      <c r="D866" s="38" t="s">
        <v>268</v>
      </c>
      <c r="E866" s="38" t="s">
        <v>126</v>
      </c>
      <c r="F866" s="38" t="s">
        <v>102</v>
      </c>
      <c r="G866" s="38" t="s">
        <v>178</v>
      </c>
      <c r="H866" s="0" t="n">
        <v>2</v>
      </c>
      <c r="I866" s="39" t="n">
        <v>1200</v>
      </c>
      <c r="J866" s="40" t="n">
        <v>0.05</v>
      </c>
      <c r="K866" s="39" t="n">
        <v>2280</v>
      </c>
      <c r="L866" s="39" t="n">
        <v>1400</v>
      </c>
      <c r="M866" s="39" t="n">
        <v>880</v>
      </c>
      <c r="N866" s="38" t="s">
        <v>66</v>
      </c>
      <c r="O866" s="38" t="n">
        <f aca="false">YEAR(B866)</f>
        <v>2025</v>
      </c>
      <c r="P866" s="41" t="n">
        <f aca="false">DATE(YEAR(B866),MONTH(B866),1)</f>
        <v>45809</v>
      </c>
      <c r="Q866" s="0" t="str">
        <f aca="false">INDEX(Products!$C$2:$C$16,MATCH(E866,Products!$A$2:$A$16,0))</f>
        <v>Furniture</v>
      </c>
      <c r="R866" s="0" t="str">
        <f aca="false">INDEX(Customers!$F$2:$F$101,MATCH(D866,Customers!$A$2:$A$101,0))</f>
        <v>South</v>
      </c>
      <c r="S866" s="0" t="str">
        <f aca="false">INDEX(Customers!$C$2:$C$101,MATCH(D866,Customers!$A$2:$A$101,0))</f>
        <v>Consumer</v>
      </c>
      <c r="T866" s="0" t="str">
        <f aca="false">INDEX(Customers!$D$2:$D$101,MATCH(D866,Customers!$A$2:$A$101,0))</f>
        <v>Bengaluru</v>
      </c>
    </row>
    <row r="867" customFormat="false" ht="15" hidden="false" customHeight="false" outlineLevel="0" collapsed="false">
      <c r="A867" s="0" t="s">
        <v>1138</v>
      </c>
      <c r="B867" s="37" t="n">
        <v>45374</v>
      </c>
      <c r="C867" s="37" t="n">
        <v>45378</v>
      </c>
      <c r="D867" s="38" t="s">
        <v>227</v>
      </c>
      <c r="E867" s="38" t="s">
        <v>114</v>
      </c>
      <c r="F867" s="38" t="s">
        <v>100</v>
      </c>
      <c r="G867" s="38" t="s">
        <v>178</v>
      </c>
      <c r="H867" s="0" t="n">
        <v>6</v>
      </c>
      <c r="I867" s="39" t="n">
        <v>800</v>
      </c>
      <c r="J867" s="40" t="n">
        <v>0.05</v>
      </c>
      <c r="K867" s="39" t="n">
        <v>4560</v>
      </c>
      <c r="L867" s="39" t="n">
        <v>2520</v>
      </c>
      <c r="M867" s="39" t="n">
        <v>2040</v>
      </c>
      <c r="N867" s="38" t="s">
        <v>66</v>
      </c>
      <c r="O867" s="38" t="n">
        <f aca="false">YEAR(B867)</f>
        <v>2024</v>
      </c>
      <c r="P867" s="41" t="n">
        <f aca="false">DATE(YEAR(B867),MONTH(B867),1)</f>
        <v>45352</v>
      </c>
      <c r="Q867" s="0" t="str">
        <f aca="false">INDEX(Products!$C$2:$C$16,MATCH(E867,Products!$A$2:$A$16,0))</f>
        <v>Technology</v>
      </c>
      <c r="R867" s="0" t="str">
        <f aca="false">INDEX(Customers!$F$2:$F$101,MATCH(D867,Customers!$A$2:$A$101,0))</f>
        <v>North</v>
      </c>
      <c r="S867" s="0" t="str">
        <f aca="false">INDEX(Customers!$C$2:$C$101,MATCH(D867,Customers!$A$2:$A$101,0))</f>
        <v>Consumer</v>
      </c>
      <c r="T867" s="0" t="str">
        <f aca="false">INDEX(Customers!$D$2:$D$101,MATCH(D867,Customers!$A$2:$A$101,0))</f>
        <v>Delhi</v>
      </c>
    </row>
    <row r="868" customFormat="false" ht="15" hidden="false" customHeight="false" outlineLevel="0" collapsed="false">
      <c r="A868" s="0" t="s">
        <v>1139</v>
      </c>
      <c r="B868" s="37" t="n">
        <v>45443</v>
      </c>
      <c r="C868" s="37" t="n">
        <v>45447</v>
      </c>
      <c r="D868" s="38" t="s">
        <v>369</v>
      </c>
      <c r="E868" s="38" t="s">
        <v>124</v>
      </c>
      <c r="F868" s="38" t="s">
        <v>102</v>
      </c>
      <c r="G868" s="38" t="s">
        <v>178</v>
      </c>
      <c r="H868" s="0" t="n">
        <v>1</v>
      </c>
      <c r="I868" s="39" t="n">
        <v>3000</v>
      </c>
      <c r="J868" s="40" t="n">
        <v>0</v>
      </c>
      <c r="K868" s="39" t="n">
        <v>3000</v>
      </c>
      <c r="L868" s="39" t="n">
        <v>1900</v>
      </c>
      <c r="M868" s="39" t="n">
        <v>1100</v>
      </c>
      <c r="N868" s="38" t="s">
        <v>66</v>
      </c>
      <c r="O868" s="38" t="n">
        <f aca="false">YEAR(B868)</f>
        <v>2024</v>
      </c>
      <c r="P868" s="41" t="n">
        <f aca="false">DATE(YEAR(B868),MONTH(B868),1)</f>
        <v>45413</v>
      </c>
      <c r="Q868" s="0" t="str">
        <f aca="false">INDEX(Products!$C$2:$C$16,MATCH(E868,Products!$A$2:$A$16,0))</f>
        <v>Technology</v>
      </c>
      <c r="R868" s="0" t="str">
        <f aca="false">INDEX(Customers!$F$2:$F$101,MATCH(D868,Customers!$A$2:$A$101,0))</f>
        <v>West</v>
      </c>
      <c r="S868" s="0" t="str">
        <f aca="false">INDEX(Customers!$C$2:$C$101,MATCH(D868,Customers!$A$2:$A$101,0))</f>
        <v>Consumer</v>
      </c>
      <c r="T868" s="0" t="str">
        <f aca="false">INDEX(Customers!$D$2:$D$101,MATCH(D868,Customers!$A$2:$A$101,0))</f>
        <v>Mumbai</v>
      </c>
    </row>
    <row r="869" customFormat="false" ht="15" hidden="false" customHeight="false" outlineLevel="0" collapsed="false">
      <c r="A869" s="0" t="s">
        <v>1140</v>
      </c>
      <c r="B869" s="37" t="n">
        <v>46246</v>
      </c>
      <c r="C869" s="37" t="n">
        <v>46248</v>
      </c>
      <c r="D869" s="38" t="s">
        <v>312</v>
      </c>
      <c r="E869" s="38" t="s">
        <v>121</v>
      </c>
      <c r="F869" s="38" t="s">
        <v>101</v>
      </c>
      <c r="G869" s="38" t="s">
        <v>178</v>
      </c>
      <c r="H869" s="0" t="n">
        <v>2</v>
      </c>
      <c r="I869" s="39" t="n">
        <v>180</v>
      </c>
      <c r="J869" s="40" t="n">
        <v>0.1</v>
      </c>
      <c r="K869" s="39" t="n">
        <v>324</v>
      </c>
      <c r="L869" s="39" t="n">
        <v>140</v>
      </c>
      <c r="M869" s="39" t="n">
        <v>184</v>
      </c>
      <c r="N869" s="38" t="s">
        <v>66</v>
      </c>
      <c r="O869" s="38" t="n">
        <f aca="false">YEAR(B869)</f>
        <v>2026</v>
      </c>
      <c r="P869" s="41" t="n">
        <f aca="false">DATE(YEAR(B869),MONTH(B869),1)</f>
        <v>46235</v>
      </c>
      <c r="Q869" s="0" t="str">
        <f aca="false">INDEX(Products!$C$2:$C$16,MATCH(E869,Products!$A$2:$A$16,0))</f>
        <v>Office Supplies</v>
      </c>
      <c r="R869" s="0" t="str">
        <f aca="false">INDEX(Customers!$F$2:$F$101,MATCH(D869,Customers!$A$2:$A$101,0))</f>
        <v>North</v>
      </c>
      <c r="S869" s="0" t="str">
        <f aca="false">INDEX(Customers!$C$2:$C$101,MATCH(D869,Customers!$A$2:$A$101,0))</f>
        <v>Corporate</v>
      </c>
      <c r="T869" s="0" t="str">
        <f aca="false">INDEX(Customers!$D$2:$D$101,MATCH(D869,Customers!$A$2:$A$101,0))</f>
        <v>Delhi</v>
      </c>
    </row>
    <row r="870" customFormat="false" ht="15" hidden="false" customHeight="false" outlineLevel="0" collapsed="false">
      <c r="A870" s="0" t="s">
        <v>1141</v>
      </c>
      <c r="B870" s="37" t="n">
        <v>46184</v>
      </c>
      <c r="C870" s="37" t="n">
        <v>46191</v>
      </c>
      <c r="D870" s="38" t="s">
        <v>326</v>
      </c>
      <c r="E870" s="38" t="s">
        <v>113</v>
      </c>
      <c r="F870" s="38" t="s">
        <v>102</v>
      </c>
      <c r="G870" s="38" t="s">
        <v>170</v>
      </c>
      <c r="H870" s="0" t="n">
        <v>1</v>
      </c>
      <c r="I870" s="39" t="n">
        <v>45000</v>
      </c>
      <c r="J870" s="40" t="n">
        <v>0.15</v>
      </c>
      <c r="K870" s="39" t="n">
        <v>38250</v>
      </c>
      <c r="L870" s="39" t="n">
        <v>36000</v>
      </c>
      <c r="M870" s="39" t="n">
        <v>2250</v>
      </c>
      <c r="N870" s="38" t="s">
        <v>66</v>
      </c>
      <c r="O870" s="38" t="n">
        <f aca="false">YEAR(B870)</f>
        <v>2026</v>
      </c>
      <c r="P870" s="41" t="n">
        <f aca="false">DATE(YEAR(B870),MONTH(B870),1)</f>
        <v>46174</v>
      </c>
      <c r="Q870" s="0" t="str">
        <f aca="false">INDEX(Products!$C$2:$C$16,MATCH(E870,Products!$A$2:$A$16,0))</f>
        <v>Technology</v>
      </c>
      <c r="R870" s="0" t="str">
        <f aca="false">INDEX(Customers!$F$2:$F$101,MATCH(D870,Customers!$A$2:$A$101,0))</f>
        <v>North</v>
      </c>
      <c r="S870" s="0" t="str">
        <f aca="false">INDEX(Customers!$C$2:$C$101,MATCH(D870,Customers!$A$2:$A$101,0))</f>
        <v>Consumer</v>
      </c>
      <c r="T870" s="0" t="str">
        <f aca="false">INDEX(Customers!$D$2:$D$101,MATCH(D870,Customers!$A$2:$A$101,0))</f>
        <v>Gurugram</v>
      </c>
    </row>
    <row r="871" customFormat="false" ht="15" hidden="false" customHeight="false" outlineLevel="0" collapsed="false">
      <c r="A871" s="0" t="s">
        <v>1142</v>
      </c>
      <c r="B871" s="37" t="n">
        <v>45953</v>
      </c>
      <c r="C871" s="37" t="n">
        <v>45960</v>
      </c>
      <c r="D871" s="38" t="s">
        <v>206</v>
      </c>
      <c r="E871" s="38" t="s">
        <v>123</v>
      </c>
      <c r="F871" s="38" t="s">
        <v>102</v>
      </c>
      <c r="G871" s="38" t="s">
        <v>188</v>
      </c>
      <c r="H871" s="0" t="n">
        <v>2</v>
      </c>
      <c r="I871" s="39" t="n">
        <v>2200</v>
      </c>
      <c r="J871" s="40" t="n">
        <v>0.15</v>
      </c>
      <c r="K871" s="39" t="n">
        <v>3740</v>
      </c>
      <c r="L871" s="39" t="n">
        <v>2600</v>
      </c>
      <c r="M871" s="39" t="n">
        <v>1140</v>
      </c>
      <c r="N871" s="38" t="s">
        <v>66</v>
      </c>
      <c r="O871" s="38" t="n">
        <f aca="false">YEAR(B871)</f>
        <v>2025</v>
      </c>
      <c r="P871" s="41" t="n">
        <f aca="false">DATE(YEAR(B871),MONTH(B871),1)</f>
        <v>45931</v>
      </c>
      <c r="Q871" s="0" t="str">
        <f aca="false">INDEX(Products!$C$2:$C$16,MATCH(E871,Products!$A$2:$A$16,0))</f>
        <v>Technology</v>
      </c>
      <c r="R871" s="0" t="str">
        <f aca="false">INDEX(Customers!$F$2:$F$101,MATCH(D871,Customers!$A$2:$A$101,0))</f>
        <v>West</v>
      </c>
      <c r="S871" s="0" t="str">
        <f aca="false">INDEX(Customers!$C$2:$C$101,MATCH(D871,Customers!$A$2:$A$101,0))</f>
        <v>Corporate</v>
      </c>
      <c r="T871" s="0" t="str">
        <f aca="false">INDEX(Customers!$D$2:$D$101,MATCH(D871,Customers!$A$2:$A$101,0))</f>
        <v>Pune</v>
      </c>
    </row>
    <row r="872" customFormat="false" ht="15" hidden="false" customHeight="false" outlineLevel="0" collapsed="false">
      <c r="A872" s="0" t="s">
        <v>1143</v>
      </c>
      <c r="B872" s="37" t="n">
        <v>45603</v>
      </c>
      <c r="C872" s="37" t="n">
        <v>45608</v>
      </c>
      <c r="D872" s="38" t="s">
        <v>172</v>
      </c>
      <c r="E872" s="38" t="s">
        <v>120</v>
      </c>
      <c r="F872" s="38" t="s">
        <v>101</v>
      </c>
      <c r="G872" s="38" t="s">
        <v>173</v>
      </c>
      <c r="H872" s="0" t="n">
        <v>1</v>
      </c>
      <c r="I872" s="39" t="n">
        <v>400</v>
      </c>
      <c r="J872" s="40" t="n">
        <v>0.25</v>
      </c>
      <c r="K872" s="39" t="n">
        <v>300</v>
      </c>
      <c r="L872" s="39" t="n">
        <v>260</v>
      </c>
      <c r="M872" s="39" t="n">
        <v>40</v>
      </c>
      <c r="N872" s="38" t="s">
        <v>66</v>
      </c>
      <c r="O872" s="38" t="n">
        <f aca="false">YEAR(B872)</f>
        <v>2024</v>
      </c>
      <c r="P872" s="41" t="n">
        <f aca="false">DATE(YEAR(B872),MONTH(B872),1)</f>
        <v>45597</v>
      </c>
      <c r="Q872" s="0" t="str">
        <f aca="false">INDEX(Products!$C$2:$C$16,MATCH(E872,Products!$A$2:$A$16,0))</f>
        <v>Office Supplies</v>
      </c>
      <c r="R872" s="0" t="str">
        <f aca="false">INDEX(Customers!$F$2:$F$101,MATCH(D872,Customers!$A$2:$A$101,0))</f>
        <v>East</v>
      </c>
      <c r="S872" s="0" t="str">
        <f aca="false">INDEX(Customers!$C$2:$C$101,MATCH(D872,Customers!$A$2:$A$101,0))</f>
        <v>Consumer</v>
      </c>
      <c r="T872" s="0" t="str">
        <f aca="false">INDEX(Customers!$D$2:$D$101,MATCH(D872,Customers!$A$2:$A$101,0))</f>
        <v>Bhubaneswar</v>
      </c>
    </row>
    <row r="873" customFormat="false" ht="15" hidden="false" customHeight="false" outlineLevel="0" collapsed="false">
      <c r="A873" s="0" t="s">
        <v>1144</v>
      </c>
      <c r="B873" s="37" t="n">
        <v>45672</v>
      </c>
      <c r="C873" s="37" t="n">
        <v>45675</v>
      </c>
      <c r="D873" s="38" t="s">
        <v>314</v>
      </c>
      <c r="E873" s="38" t="s">
        <v>120</v>
      </c>
      <c r="F873" s="38" t="s">
        <v>100</v>
      </c>
      <c r="G873" s="38" t="s">
        <v>170</v>
      </c>
      <c r="H873" s="0" t="n">
        <v>4</v>
      </c>
      <c r="I873" s="39" t="n">
        <v>400</v>
      </c>
      <c r="J873" s="40" t="n">
        <v>0</v>
      </c>
      <c r="K873" s="39" t="n">
        <v>1600</v>
      </c>
      <c r="L873" s="39" t="n">
        <v>1040</v>
      </c>
      <c r="M873" s="39" t="n">
        <v>560</v>
      </c>
      <c r="N873" s="38" t="s">
        <v>66</v>
      </c>
      <c r="O873" s="38" t="n">
        <f aca="false">YEAR(B873)</f>
        <v>2025</v>
      </c>
      <c r="P873" s="41" t="n">
        <f aca="false">DATE(YEAR(B873),MONTH(B873),1)</f>
        <v>45658</v>
      </c>
      <c r="Q873" s="0" t="str">
        <f aca="false">INDEX(Products!$C$2:$C$16,MATCH(E873,Products!$A$2:$A$16,0))</f>
        <v>Office Supplies</v>
      </c>
      <c r="R873" s="0" t="str">
        <f aca="false">INDEX(Customers!$F$2:$F$101,MATCH(D873,Customers!$A$2:$A$101,0))</f>
        <v>North</v>
      </c>
      <c r="S873" s="0" t="str">
        <f aca="false">INDEX(Customers!$C$2:$C$101,MATCH(D873,Customers!$A$2:$A$101,0))</f>
        <v>Consumer</v>
      </c>
      <c r="T873" s="0" t="str">
        <f aca="false">INDEX(Customers!$D$2:$D$101,MATCH(D873,Customers!$A$2:$A$101,0))</f>
        <v>Gurugram</v>
      </c>
    </row>
    <row r="874" customFormat="false" ht="15" hidden="false" customHeight="false" outlineLevel="0" collapsed="false">
      <c r="A874" s="0" t="s">
        <v>1145</v>
      </c>
      <c r="B874" s="37" t="n">
        <v>46238</v>
      </c>
      <c r="C874" s="37" t="n">
        <v>46240</v>
      </c>
      <c r="D874" s="38" t="s">
        <v>219</v>
      </c>
      <c r="E874" s="38" t="s">
        <v>122</v>
      </c>
      <c r="F874" s="38" t="s">
        <v>100</v>
      </c>
      <c r="G874" s="38" t="s">
        <v>173</v>
      </c>
      <c r="H874" s="0" t="n">
        <v>4</v>
      </c>
      <c r="I874" s="39" t="n">
        <v>5500</v>
      </c>
      <c r="J874" s="40" t="n">
        <v>0.05</v>
      </c>
      <c r="K874" s="39" t="n">
        <v>20900</v>
      </c>
      <c r="L874" s="39" t="n">
        <v>14800</v>
      </c>
      <c r="M874" s="39" t="n">
        <v>6100</v>
      </c>
      <c r="N874" s="38" t="s">
        <v>66</v>
      </c>
      <c r="O874" s="38" t="n">
        <f aca="false">YEAR(B874)</f>
        <v>2026</v>
      </c>
      <c r="P874" s="41" t="n">
        <f aca="false">DATE(YEAR(B874),MONTH(B874),1)</f>
        <v>46235</v>
      </c>
      <c r="Q874" s="0" t="str">
        <f aca="false">INDEX(Products!$C$2:$C$16,MATCH(E874,Products!$A$2:$A$16,0))</f>
        <v>Furniture</v>
      </c>
      <c r="R874" s="0" t="str">
        <f aca="false">INDEX(Customers!$F$2:$F$101,MATCH(D874,Customers!$A$2:$A$101,0))</f>
        <v>North</v>
      </c>
      <c r="S874" s="0" t="str">
        <f aca="false">INDEX(Customers!$C$2:$C$101,MATCH(D874,Customers!$A$2:$A$101,0))</f>
        <v>Small Business</v>
      </c>
      <c r="T874" s="0" t="str">
        <f aca="false">INDEX(Customers!$D$2:$D$101,MATCH(D874,Customers!$A$2:$A$101,0))</f>
        <v>Lucknow</v>
      </c>
    </row>
    <row r="875" customFormat="false" ht="15" hidden="false" customHeight="false" outlineLevel="0" collapsed="false">
      <c r="A875" s="0" t="s">
        <v>1146</v>
      </c>
      <c r="B875" s="37" t="n">
        <v>45974</v>
      </c>
      <c r="C875" s="37" t="n">
        <v>45981</v>
      </c>
      <c r="D875" s="38" t="s">
        <v>182</v>
      </c>
      <c r="E875" s="38" t="s">
        <v>127</v>
      </c>
      <c r="F875" s="38" t="s">
        <v>100</v>
      </c>
      <c r="G875" s="38" t="s">
        <v>178</v>
      </c>
      <c r="H875" s="0" t="n">
        <v>1</v>
      </c>
      <c r="I875" s="39" t="n">
        <v>18000</v>
      </c>
      <c r="J875" s="40" t="n">
        <v>0</v>
      </c>
      <c r="K875" s="39" t="n">
        <v>18000</v>
      </c>
      <c r="L875" s="39" t="n">
        <v>14000</v>
      </c>
      <c r="M875" s="39" t="n">
        <v>4000</v>
      </c>
      <c r="N875" s="38" t="s">
        <v>147</v>
      </c>
      <c r="O875" s="38" t="n">
        <f aca="false">YEAR(B875)</f>
        <v>2025</v>
      </c>
      <c r="P875" s="41" t="n">
        <f aca="false">DATE(YEAR(B875),MONTH(B875),1)</f>
        <v>45962</v>
      </c>
      <c r="Q875" s="0" t="str">
        <f aca="false">INDEX(Products!$C$2:$C$16,MATCH(E875,Products!$A$2:$A$16,0))</f>
        <v>Technology</v>
      </c>
      <c r="R875" s="0" t="str">
        <f aca="false">INDEX(Customers!$F$2:$F$101,MATCH(D875,Customers!$A$2:$A$101,0))</f>
        <v>North</v>
      </c>
      <c r="S875" s="0" t="str">
        <f aca="false">INDEX(Customers!$C$2:$C$101,MATCH(D875,Customers!$A$2:$A$101,0))</f>
        <v>Small Business</v>
      </c>
      <c r="T875" s="0" t="str">
        <f aca="false">INDEX(Customers!$D$2:$D$101,MATCH(D875,Customers!$A$2:$A$101,0))</f>
        <v>Gurugram</v>
      </c>
    </row>
    <row r="876" customFormat="false" ht="15" hidden="false" customHeight="false" outlineLevel="0" collapsed="false">
      <c r="A876" s="0" t="s">
        <v>1147</v>
      </c>
      <c r="B876" s="37" t="n">
        <v>45743</v>
      </c>
      <c r="C876" s="37" t="n">
        <v>45746</v>
      </c>
      <c r="D876" s="38" t="s">
        <v>409</v>
      </c>
      <c r="E876" s="38" t="s">
        <v>115</v>
      </c>
      <c r="F876" s="38" t="s">
        <v>102</v>
      </c>
      <c r="G876" s="38" t="s">
        <v>178</v>
      </c>
      <c r="H876" s="0" t="n">
        <v>2</v>
      </c>
      <c r="I876" s="39" t="n">
        <v>1500</v>
      </c>
      <c r="J876" s="40" t="n">
        <v>0</v>
      </c>
      <c r="K876" s="39" t="n">
        <v>3000</v>
      </c>
      <c r="L876" s="39" t="n">
        <v>1700</v>
      </c>
      <c r="M876" s="39" t="n">
        <v>1300</v>
      </c>
      <c r="N876" s="38" t="s">
        <v>66</v>
      </c>
      <c r="O876" s="38" t="n">
        <f aca="false">YEAR(B876)</f>
        <v>2025</v>
      </c>
      <c r="P876" s="41" t="n">
        <f aca="false">DATE(YEAR(B876),MONTH(B876),1)</f>
        <v>45717</v>
      </c>
      <c r="Q876" s="0" t="str">
        <f aca="false">INDEX(Products!$C$2:$C$16,MATCH(E876,Products!$A$2:$A$16,0))</f>
        <v>Technology</v>
      </c>
      <c r="R876" s="0" t="str">
        <f aca="false">INDEX(Customers!$F$2:$F$101,MATCH(D876,Customers!$A$2:$A$101,0))</f>
        <v>East</v>
      </c>
      <c r="S876" s="0" t="str">
        <f aca="false">INDEX(Customers!$C$2:$C$101,MATCH(D876,Customers!$A$2:$A$101,0))</f>
        <v>Small Business</v>
      </c>
      <c r="T876" s="0" t="str">
        <f aca="false">INDEX(Customers!$D$2:$D$101,MATCH(D876,Customers!$A$2:$A$101,0))</f>
        <v>Bhubaneswar</v>
      </c>
    </row>
    <row r="877" customFormat="false" ht="15" hidden="false" customHeight="false" outlineLevel="0" collapsed="false">
      <c r="A877" s="0" t="s">
        <v>1148</v>
      </c>
      <c r="B877" s="37" t="n">
        <v>45673</v>
      </c>
      <c r="C877" s="37" t="n">
        <v>45677</v>
      </c>
      <c r="D877" s="38" t="s">
        <v>414</v>
      </c>
      <c r="E877" s="38" t="s">
        <v>115</v>
      </c>
      <c r="F877" s="38" t="s">
        <v>102</v>
      </c>
      <c r="G877" s="38" t="s">
        <v>170</v>
      </c>
      <c r="H877" s="0" t="n">
        <v>2</v>
      </c>
      <c r="I877" s="39" t="n">
        <v>1500</v>
      </c>
      <c r="J877" s="40" t="n">
        <v>0</v>
      </c>
      <c r="K877" s="39" t="n">
        <v>3000</v>
      </c>
      <c r="L877" s="39" t="n">
        <v>1700</v>
      </c>
      <c r="M877" s="39" t="n">
        <v>1300</v>
      </c>
      <c r="N877" s="38" t="s">
        <v>66</v>
      </c>
      <c r="O877" s="38" t="n">
        <f aca="false">YEAR(B877)</f>
        <v>2025</v>
      </c>
      <c r="P877" s="41" t="n">
        <f aca="false">DATE(YEAR(B877),MONTH(B877),1)</f>
        <v>45658</v>
      </c>
      <c r="Q877" s="0" t="str">
        <f aca="false">INDEX(Products!$C$2:$C$16,MATCH(E877,Products!$A$2:$A$16,0))</f>
        <v>Technology</v>
      </c>
      <c r="R877" s="0" t="str">
        <f aca="false">INDEX(Customers!$F$2:$F$101,MATCH(D877,Customers!$A$2:$A$101,0))</f>
        <v>South</v>
      </c>
      <c r="S877" s="0" t="str">
        <f aca="false">INDEX(Customers!$C$2:$C$101,MATCH(D877,Customers!$A$2:$A$101,0))</f>
        <v>Small Business</v>
      </c>
      <c r="T877" s="0" t="str">
        <f aca="false">INDEX(Customers!$D$2:$D$101,MATCH(D877,Customers!$A$2:$A$101,0))</f>
        <v>Bengaluru</v>
      </c>
    </row>
    <row r="878" customFormat="false" ht="15" hidden="false" customHeight="false" outlineLevel="0" collapsed="false">
      <c r="A878" s="0" t="s">
        <v>1149</v>
      </c>
      <c r="B878" s="37" t="n">
        <v>46245</v>
      </c>
      <c r="C878" s="37" t="n">
        <v>46249</v>
      </c>
      <c r="D878" s="38" t="s">
        <v>221</v>
      </c>
      <c r="E878" s="38" t="s">
        <v>119</v>
      </c>
      <c r="F878" s="38" t="s">
        <v>101</v>
      </c>
      <c r="G878" s="38" t="s">
        <v>173</v>
      </c>
      <c r="H878" s="0" t="n">
        <v>4</v>
      </c>
      <c r="I878" s="39" t="n">
        <v>250</v>
      </c>
      <c r="J878" s="40" t="n">
        <v>0.1</v>
      </c>
      <c r="K878" s="39" t="n">
        <v>900</v>
      </c>
      <c r="L878" s="39" t="n">
        <v>480</v>
      </c>
      <c r="M878" s="39" t="n">
        <v>420</v>
      </c>
      <c r="N878" s="38" t="s">
        <v>66</v>
      </c>
      <c r="O878" s="38" t="n">
        <f aca="false">YEAR(B878)</f>
        <v>2026</v>
      </c>
      <c r="P878" s="41" t="n">
        <f aca="false">DATE(YEAR(B878),MONTH(B878),1)</f>
        <v>46235</v>
      </c>
      <c r="Q878" s="0" t="str">
        <f aca="false">INDEX(Products!$C$2:$C$16,MATCH(E878,Products!$A$2:$A$16,0))</f>
        <v>Office Supplies</v>
      </c>
      <c r="R878" s="0" t="str">
        <f aca="false">INDEX(Customers!$F$2:$F$101,MATCH(D878,Customers!$A$2:$A$101,0))</f>
        <v>North</v>
      </c>
      <c r="S878" s="0" t="str">
        <f aca="false">INDEX(Customers!$C$2:$C$101,MATCH(D878,Customers!$A$2:$A$101,0))</f>
        <v>Consumer</v>
      </c>
      <c r="T878" s="0" t="str">
        <f aca="false">INDEX(Customers!$D$2:$D$101,MATCH(D878,Customers!$A$2:$A$101,0))</f>
        <v>Delhi</v>
      </c>
    </row>
    <row r="879" customFormat="false" ht="15" hidden="false" customHeight="false" outlineLevel="0" collapsed="false">
      <c r="A879" s="0" t="s">
        <v>1150</v>
      </c>
      <c r="B879" s="37" t="n">
        <v>46291</v>
      </c>
      <c r="C879" s="37" t="n">
        <v>46296</v>
      </c>
      <c r="D879" s="38" t="s">
        <v>341</v>
      </c>
      <c r="E879" s="38" t="s">
        <v>121</v>
      </c>
      <c r="F879" s="38" t="s">
        <v>101</v>
      </c>
      <c r="G879" s="38" t="s">
        <v>185</v>
      </c>
      <c r="H879" s="0" t="n">
        <v>2</v>
      </c>
      <c r="I879" s="39" t="n">
        <v>180</v>
      </c>
      <c r="J879" s="40" t="n">
        <v>0.2</v>
      </c>
      <c r="K879" s="39" t="n">
        <v>288</v>
      </c>
      <c r="L879" s="39" t="n">
        <v>140</v>
      </c>
      <c r="M879" s="39" t="n">
        <v>148</v>
      </c>
      <c r="N879" s="38" t="s">
        <v>66</v>
      </c>
      <c r="O879" s="38" t="n">
        <f aca="false">YEAR(B879)</f>
        <v>2026</v>
      </c>
      <c r="P879" s="41" t="n">
        <f aca="false">DATE(YEAR(B879),MONTH(B879),1)</f>
        <v>46266</v>
      </c>
      <c r="Q879" s="0" t="str">
        <f aca="false">INDEX(Products!$C$2:$C$16,MATCH(E879,Products!$A$2:$A$16,0))</f>
        <v>Office Supplies</v>
      </c>
      <c r="R879" s="0" t="str">
        <f aca="false">INDEX(Customers!$F$2:$F$101,MATCH(D879,Customers!$A$2:$A$101,0))</f>
        <v>North</v>
      </c>
      <c r="S879" s="0" t="str">
        <f aca="false">INDEX(Customers!$C$2:$C$101,MATCH(D879,Customers!$A$2:$A$101,0))</f>
        <v>Corporate</v>
      </c>
      <c r="T879" s="0" t="str">
        <f aca="false">INDEX(Customers!$D$2:$D$101,MATCH(D879,Customers!$A$2:$A$101,0))</f>
        <v>Delhi</v>
      </c>
    </row>
    <row r="880" customFormat="false" ht="15" hidden="false" customHeight="false" outlineLevel="0" collapsed="false">
      <c r="A880" s="0" t="s">
        <v>1151</v>
      </c>
      <c r="B880" s="37" t="n">
        <v>45974</v>
      </c>
      <c r="C880" s="37" t="n">
        <v>45976</v>
      </c>
      <c r="D880" s="38" t="s">
        <v>192</v>
      </c>
      <c r="E880" s="38" t="s">
        <v>122</v>
      </c>
      <c r="F880" s="38" t="s">
        <v>101</v>
      </c>
      <c r="G880" s="38" t="s">
        <v>170</v>
      </c>
      <c r="H880" s="0" t="n">
        <v>4</v>
      </c>
      <c r="I880" s="39" t="n">
        <v>5500</v>
      </c>
      <c r="J880" s="40" t="n">
        <v>0.2</v>
      </c>
      <c r="K880" s="39" t="n">
        <v>17600</v>
      </c>
      <c r="L880" s="39" t="n">
        <v>14800</v>
      </c>
      <c r="M880" s="39" t="n">
        <v>2800</v>
      </c>
      <c r="N880" s="38" t="s">
        <v>66</v>
      </c>
      <c r="O880" s="38" t="n">
        <f aca="false">YEAR(B880)</f>
        <v>2025</v>
      </c>
      <c r="P880" s="41" t="n">
        <f aca="false">DATE(YEAR(B880),MONTH(B880),1)</f>
        <v>45962</v>
      </c>
      <c r="Q880" s="0" t="str">
        <f aca="false">INDEX(Products!$C$2:$C$16,MATCH(E880,Products!$A$2:$A$16,0))</f>
        <v>Furniture</v>
      </c>
      <c r="R880" s="0" t="str">
        <f aca="false">INDEX(Customers!$F$2:$F$101,MATCH(D880,Customers!$A$2:$A$101,0))</f>
        <v>East</v>
      </c>
      <c r="S880" s="0" t="str">
        <f aca="false">INDEX(Customers!$C$2:$C$101,MATCH(D880,Customers!$A$2:$A$101,0))</f>
        <v>Small Business</v>
      </c>
      <c r="T880" s="0" t="str">
        <f aca="false">INDEX(Customers!$D$2:$D$101,MATCH(D880,Customers!$A$2:$A$101,0))</f>
        <v>Bhubaneswar</v>
      </c>
    </row>
    <row r="881" customFormat="false" ht="15" hidden="false" customHeight="false" outlineLevel="0" collapsed="false">
      <c r="A881" s="0" t="s">
        <v>1152</v>
      </c>
      <c r="B881" s="37" t="n">
        <v>46213</v>
      </c>
      <c r="C881" s="37" t="n">
        <v>46214</v>
      </c>
      <c r="D881" s="38" t="s">
        <v>425</v>
      </c>
      <c r="E881" s="38" t="s">
        <v>120</v>
      </c>
      <c r="F881" s="38" t="s">
        <v>100</v>
      </c>
      <c r="G881" s="38" t="s">
        <v>170</v>
      </c>
      <c r="H881" s="0" t="n">
        <v>1</v>
      </c>
      <c r="I881" s="39" t="n">
        <v>400</v>
      </c>
      <c r="J881" s="40" t="n">
        <v>0.15</v>
      </c>
      <c r="K881" s="39" t="n">
        <v>340</v>
      </c>
      <c r="L881" s="39" t="n">
        <v>260</v>
      </c>
      <c r="M881" s="39" t="n">
        <v>80</v>
      </c>
      <c r="N881" s="38" t="s">
        <v>66</v>
      </c>
      <c r="O881" s="38" t="n">
        <f aca="false">YEAR(B881)</f>
        <v>2026</v>
      </c>
      <c r="P881" s="41" t="n">
        <f aca="false">DATE(YEAR(B881),MONTH(B881),1)</f>
        <v>46204</v>
      </c>
      <c r="Q881" s="0" t="str">
        <f aca="false">INDEX(Products!$C$2:$C$16,MATCH(E881,Products!$A$2:$A$16,0))</f>
        <v>Office Supplies</v>
      </c>
      <c r="R881" s="0" t="str">
        <f aca="false">INDEX(Customers!$F$2:$F$101,MATCH(D881,Customers!$A$2:$A$101,0))</f>
        <v>North</v>
      </c>
      <c r="S881" s="0" t="str">
        <f aca="false">INDEX(Customers!$C$2:$C$101,MATCH(D881,Customers!$A$2:$A$101,0))</f>
        <v>Small Business</v>
      </c>
      <c r="T881" s="0" t="str">
        <f aca="false">INDEX(Customers!$D$2:$D$101,MATCH(D881,Customers!$A$2:$A$101,0))</f>
        <v>Lucknow</v>
      </c>
    </row>
    <row r="882" customFormat="false" ht="15" hidden="false" customHeight="false" outlineLevel="0" collapsed="false">
      <c r="A882" s="0" t="s">
        <v>1153</v>
      </c>
      <c r="B882" s="37" t="n">
        <v>45517</v>
      </c>
      <c r="C882" s="37" t="n">
        <v>45521</v>
      </c>
      <c r="D882" s="38" t="s">
        <v>305</v>
      </c>
      <c r="E882" s="38" t="s">
        <v>126</v>
      </c>
      <c r="F882" s="38" t="s">
        <v>100</v>
      </c>
      <c r="G882" s="38" t="s">
        <v>188</v>
      </c>
      <c r="H882" s="0" t="n">
        <v>2</v>
      </c>
      <c r="I882" s="39" t="n">
        <v>1200</v>
      </c>
      <c r="J882" s="40" t="n">
        <v>0.05</v>
      </c>
      <c r="K882" s="39" t="n">
        <v>2280</v>
      </c>
      <c r="L882" s="39" t="n">
        <v>1400</v>
      </c>
      <c r="M882" s="39" t="n">
        <v>880</v>
      </c>
      <c r="N882" s="38" t="s">
        <v>66</v>
      </c>
      <c r="O882" s="38" t="n">
        <f aca="false">YEAR(B882)</f>
        <v>2024</v>
      </c>
      <c r="P882" s="41" t="n">
        <f aca="false">DATE(YEAR(B882),MONTH(B882),1)</f>
        <v>45505</v>
      </c>
      <c r="Q882" s="0" t="str">
        <f aca="false">INDEX(Products!$C$2:$C$16,MATCH(E882,Products!$A$2:$A$16,0))</f>
        <v>Furniture</v>
      </c>
      <c r="R882" s="0" t="str">
        <f aca="false">INDEX(Customers!$F$2:$F$101,MATCH(D882,Customers!$A$2:$A$101,0))</f>
        <v>South</v>
      </c>
      <c r="S882" s="0" t="str">
        <f aca="false">INDEX(Customers!$C$2:$C$101,MATCH(D882,Customers!$A$2:$A$101,0))</f>
        <v>Consumer</v>
      </c>
      <c r="T882" s="0" t="str">
        <f aca="false">INDEX(Customers!$D$2:$D$101,MATCH(D882,Customers!$A$2:$A$101,0))</f>
        <v>Chennai</v>
      </c>
    </row>
    <row r="883" customFormat="false" ht="15" hidden="false" customHeight="false" outlineLevel="0" collapsed="false">
      <c r="A883" s="0" t="s">
        <v>1154</v>
      </c>
      <c r="B883" s="37" t="n">
        <v>45519</v>
      </c>
      <c r="C883" s="37" t="n">
        <v>45526</v>
      </c>
      <c r="D883" s="38" t="s">
        <v>200</v>
      </c>
      <c r="E883" s="38" t="s">
        <v>121</v>
      </c>
      <c r="F883" s="38" t="s">
        <v>100</v>
      </c>
      <c r="G883" s="38" t="s">
        <v>178</v>
      </c>
      <c r="H883" s="0" t="n">
        <v>6</v>
      </c>
      <c r="I883" s="39" t="n">
        <v>180</v>
      </c>
      <c r="J883" s="40" t="n">
        <v>0.05</v>
      </c>
      <c r="K883" s="39" t="n">
        <v>1026</v>
      </c>
      <c r="L883" s="39" t="n">
        <v>420</v>
      </c>
      <c r="M883" s="39" t="n">
        <v>606</v>
      </c>
      <c r="N883" s="38" t="s">
        <v>66</v>
      </c>
      <c r="O883" s="38" t="n">
        <f aca="false">YEAR(B883)</f>
        <v>2024</v>
      </c>
      <c r="P883" s="41" t="n">
        <f aca="false">DATE(YEAR(B883),MONTH(B883),1)</f>
        <v>45505</v>
      </c>
      <c r="Q883" s="0" t="str">
        <f aca="false">INDEX(Products!$C$2:$C$16,MATCH(E883,Products!$A$2:$A$16,0))</f>
        <v>Office Supplies</v>
      </c>
      <c r="R883" s="0" t="str">
        <f aca="false">INDEX(Customers!$F$2:$F$101,MATCH(D883,Customers!$A$2:$A$101,0))</f>
        <v>West</v>
      </c>
      <c r="S883" s="0" t="str">
        <f aca="false">INDEX(Customers!$C$2:$C$101,MATCH(D883,Customers!$A$2:$A$101,0))</f>
        <v>Corporate</v>
      </c>
      <c r="T883" s="0" t="str">
        <f aca="false">INDEX(Customers!$D$2:$D$101,MATCH(D883,Customers!$A$2:$A$101,0))</f>
        <v>Mumbai</v>
      </c>
    </row>
    <row r="884" customFormat="false" ht="15" hidden="false" customHeight="false" outlineLevel="0" collapsed="false">
      <c r="A884" s="0" t="s">
        <v>1155</v>
      </c>
      <c r="B884" s="37" t="n">
        <v>45979</v>
      </c>
      <c r="C884" s="37" t="n">
        <v>45980</v>
      </c>
      <c r="D884" s="38" t="s">
        <v>260</v>
      </c>
      <c r="E884" s="38" t="s">
        <v>123</v>
      </c>
      <c r="F884" s="38" t="s">
        <v>100</v>
      </c>
      <c r="G884" s="38" t="s">
        <v>185</v>
      </c>
      <c r="H884" s="0" t="n">
        <v>8</v>
      </c>
      <c r="I884" s="39" t="n">
        <v>2200</v>
      </c>
      <c r="J884" s="40" t="n">
        <v>0.1</v>
      </c>
      <c r="K884" s="39" t="n">
        <v>15840</v>
      </c>
      <c r="L884" s="39" t="n">
        <v>10400</v>
      </c>
      <c r="M884" s="39" t="n">
        <v>5440</v>
      </c>
      <c r="N884" s="38" t="s">
        <v>66</v>
      </c>
      <c r="O884" s="38" t="n">
        <f aca="false">YEAR(B884)</f>
        <v>2025</v>
      </c>
      <c r="P884" s="41" t="n">
        <f aca="false">DATE(YEAR(B884),MONTH(B884),1)</f>
        <v>45962</v>
      </c>
      <c r="Q884" s="0" t="str">
        <f aca="false">INDEX(Products!$C$2:$C$16,MATCH(E884,Products!$A$2:$A$16,0))</f>
        <v>Technology</v>
      </c>
      <c r="R884" s="0" t="str">
        <f aca="false">INDEX(Customers!$F$2:$F$101,MATCH(D884,Customers!$A$2:$A$101,0))</f>
        <v>West</v>
      </c>
      <c r="S884" s="0" t="str">
        <f aca="false">INDEX(Customers!$C$2:$C$101,MATCH(D884,Customers!$A$2:$A$101,0))</f>
        <v>Small Business</v>
      </c>
      <c r="T884" s="0" t="str">
        <f aca="false">INDEX(Customers!$D$2:$D$101,MATCH(D884,Customers!$A$2:$A$101,0))</f>
        <v>Mumbai</v>
      </c>
    </row>
    <row r="885" customFormat="false" ht="15" hidden="false" customHeight="false" outlineLevel="0" collapsed="false">
      <c r="A885" s="0" t="s">
        <v>1156</v>
      </c>
      <c r="B885" s="37" t="n">
        <v>46258</v>
      </c>
      <c r="C885" s="37" t="n">
        <v>46259</v>
      </c>
      <c r="D885" s="38" t="s">
        <v>350</v>
      </c>
      <c r="E885" s="38" t="s">
        <v>121</v>
      </c>
      <c r="F885" s="38" t="s">
        <v>101</v>
      </c>
      <c r="G885" s="38" t="s">
        <v>173</v>
      </c>
      <c r="H885" s="0" t="n">
        <v>6</v>
      </c>
      <c r="I885" s="39" t="n">
        <v>180</v>
      </c>
      <c r="J885" s="40" t="n">
        <v>0.05</v>
      </c>
      <c r="K885" s="39" t="n">
        <v>1026</v>
      </c>
      <c r="L885" s="39" t="n">
        <v>420</v>
      </c>
      <c r="M885" s="39" t="n">
        <v>606</v>
      </c>
      <c r="N885" s="38" t="s">
        <v>66</v>
      </c>
      <c r="O885" s="38" t="n">
        <f aca="false">YEAR(B885)</f>
        <v>2026</v>
      </c>
      <c r="P885" s="41" t="n">
        <f aca="false">DATE(YEAR(B885),MONTH(B885),1)</f>
        <v>46235</v>
      </c>
      <c r="Q885" s="0" t="str">
        <f aca="false">INDEX(Products!$C$2:$C$16,MATCH(E885,Products!$A$2:$A$16,0))</f>
        <v>Office Supplies</v>
      </c>
      <c r="R885" s="0" t="str">
        <f aca="false">INDEX(Customers!$F$2:$F$101,MATCH(D885,Customers!$A$2:$A$101,0))</f>
        <v>South</v>
      </c>
      <c r="S885" s="0" t="str">
        <f aca="false">INDEX(Customers!$C$2:$C$101,MATCH(D885,Customers!$A$2:$A$101,0))</f>
        <v>Consumer</v>
      </c>
      <c r="T885" s="0" t="str">
        <f aca="false">INDEX(Customers!$D$2:$D$101,MATCH(D885,Customers!$A$2:$A$101,0))</f>
        <v>Chennai</v>
      </c>
    </row>
    <row r="886" customFormat="false" ht="15" hidden="false" customHeight="false" outlineLevel="0" collapsed="false">
      <c r="A886" s="0" t="s">
        <v>1157</v>
      </c>
      <c r="B886" s="37" t="n">
        <v>45687</v>
      </c>
      <c r="C886" s="37" t="n">
        <v>45690</v>
      </c>
      <c r="D886" s="38" t="s">
        <v>367</v>
      </c>
      <c r="E886" s="38" t="s">
        <v>118</v>
      </c>
      <c r="F886" s="38" t="s">
        <v>101</v>
      </c>
      <c r="G886" s="38" t="s">
        <v>170</v>
      </c>
      <c r="H886" s="0" t="n">
        <v>1</v>
      </c>
      <c r="I886" s="39" t="n">
        <v>9000</v>
      </c>
      <c r="J886" s="40" t="n">
        <v>0.05</v>
      </c>
      <c r="K886" s="39" t="n">
        <v>8550</v>
      </c>
      <c r="L886" s="39" t="n">
        <v>6500</v>
      </c>
      <c r="M886" s="39" t="n">
        <v>2050</v>
      </c>
      <c r="N886" s="38" t="s">
        <v>147</v>
      </c>
      <c r="O886" s="38" t="n">
        <f aca="false">YEAR(B886)</f>
        <v>2025</v>
      </c>
      <c r="P886" s="41" t="n">
        <f aca="false">DATE(YEAR(B886),MONTH(B886),1)</f>
        <v>45658</v>
      </c>
      <c r="Q886" s="0" t="str">
        <f aca="false">INDEX(Products!$C$2:$C$16,MATCH(E886,Products!$A$2:$A$16,0))</f>
        <v>Furniture</v>
      </c>
      <c r="R886" s="0" t="str">
        <f aca="false">INDEX(Customers!$F$2:$F$101,MATCH(D886,Customers!$A$2:$A$101,0))</f>
        <v>West</v>
      </c>
      <c r="S886" s="0" t="str">
        <f aca="false">INDEX(Customers!$C$2:$C$101,MATCH(D886,Customers!$A$2:$A$101,0))</f>
        <v>Corporate</v>
      </c>
      <c r="T886" s="0" t="str">
        <f aca="false">INDEX(Customers!$D$2:$D$101,MATCH(D886,Customers!$A$2:$A$101,0))</f>
        <v>Ahmedabad</v>
      </c>
    </row>
    <row r="887" customFormat="false" ht="15" hidden="false" customHeight="false" outlineLevel="0" collapsed="false">
      <c r="A887" s="0" t="s">
        <v>1158</v>
      </c>
      <c r="B887" s="37" t="n">
        <v>45512</v>
      </c>
      <c r="C887" s="37" t="n">
        <v>45518</v>
      </c>
      <c r="D887" s="38" t="s">
        <v>322</v>
      </c>
      <c r="E887" s="38" t="s">
        <v>114</v>
      </c>
      <c r="F887" s="38" t="s">
        <v>101</v>
      </c>
      <c r="G887" s="38" t="s">
        <v>185</v>
      </c>
      <c r="H887" s="0" t="n">
        <v>5</v>
      </c>
      <c r="I887" s="39" t="n">
        <v>800</v>
      </c>
      <c r="J887" s="40" t="n">
        <v>0.2</v>
      </c>
      <c r="K887" s="39" t="n">
        <v>3200</v>
      </c>
      <c r="L887" s="39" t="n">
        <v>2100</v>
      </c>
      <c r="M887" s="39" t="n">
        <v>1100</v>
      </c>
      <c r="N887" s="38" t="s">
        <v>66</v>
      </c>
      <c r="O887" s="38" t="n">
        <f aca="false">YEAR(B887)</f>
        <v>2024</v>
      </c>
      <c r="P887" s="41" t="n">
        <f aca="false">DATE(YEAR(B887),MONTH(B887),1)</f>
        <v>45505</v>
      </c>
      <c r="Q887" s="0" t="str">
        <f aca="false">INDEX(Products!$C$2:$C$16,MATCH(E887,Products!$A$2:$A$16,0))</f>
        <v>Technology</v>
      </c>
      <c r="R887" s="0" t="str">
        <f aca="false">INDEX(Customers!$F$2:$F$101,MATCH(D887,Customers!$A$2:$A$101,0))</f>
        <v>North</v>
      </c>
      <c r="S887" s="0" t="str">
        <f aca="false">INDEX(Customers!$C$2:$C$101,MATCH(D887,Customers!$A$2:$A$101,0))</f>
        <v>Consumer</v>
      </c>
      <c r="T887" s="0" t="str">
        <f aca="false">INDEX(Customers!$D$2:$D$101,MATCH(D887,Customers!$A$2:$A$101,0))</f>
        <v>Jaipur</v>
      </c>
    </row>
    <row r="888" customFormat="false" ht="15" hidden="false" customHeight="false" outlineLevel="0" collapsed="false">
      <c r="A888" s="0" t="s">
        <v>1159</v>
      </c>
      <c r="B888" s="37" t="n">
        <v>45726</v>
      </c>
      <c r="C888" s="37" t="n">
        <v>45732</v>
      </c>
      <c r="D888" s="38" t="s">
        <v>425</v>
      </c>
      <c r="E888" s="38" t="s">
        <v>127</v>
      </c>
      <c r="F888" s="38" t="s">
        <v>102</v>
      </c>
      <c r="G888" s="38" t="s">
        <v>188</v>
      </c>
      <c r="H888" s="0" t="n">
        <v>6</v>
      </c>
      <c r="I888" s="39" t="n">
        <v>18000</v>
      </c>
      <c r="J888" s="40" t="n">
        <v>0</v>
      </c>
      <c r="K888" s="39" t="n">
        <v>108000</v>
      </c>
      <c r="L888" s="39" t="n">
        <v>84000</v>
      </c>
      <c r="M888" s="39" t="n">
        <v>24000</v>
      </c>
      <c r="N888" s="38" t="s">
        <v>66</v>
      </c>
      <c r="O888" s="38" t="n">
        <f aca="false">YEAR(B888)</f>
        <v>2025</v>
      </c>
      <c r="P888" s="41" t="n">
        <f aca="false">DATE(YEAR(B888),MONTH(B888),1)</f>
        <v>45717</v>
      </c>
      <c r="Q888" s="0" t="str">
        <f aca="false">INDEX(Products!$C$2:$C$16,MATCH(E888,Products!$A$2:$A$16,0))</f>
        <v>Technology</v>
      </c>
      <c r="R888" s="0" t="str">
        <f aca="false">INDEX(Customers!$F$2:$F$101,MATCH(D888,Customers!$A$2:$A$101,0))</f>
        <v>North</v>
      </c>
      <c r="S888" s="0" t="str">
        <f aca="false">INDEX(Customers!$C$2:$C$101,MATCH(D888,Customers!$A$2:$A$101,0))</f>
        <v>Small Business</v>
      </c>
      <c r="T888" s="0" t="str">
        <f aca="false">INDEX(Customers!$D$2:$D$101,MATCH(D888,Customers!$A$2:$A$101,0))</f>
        <v>Lucknow</v>
      </c>
    </row>
    <row r="889" customFormat="false" ht="15" hidden="false" customHeight="false" outlineLevel="0" collapsed="false">
      <c r="A889" s="0" t="s">
        <v>1160</v>
      </c>
      <c r="B889" s="37" t="n">
        <v>45778</v>
      </c>
      <c r="C889" s="37" t="n">
        <v>45785</v>
      </c>
      <c r="D889" s="38" t="s">
        <v>280</v>
      </c>
      <c r="E889" s="38" t="s">
        <v>117</v>
      </c>
      <c r="F889" s="38" t="s">
        <v>100</v>
      </c>
      <c r="G889" s="38" t="s">
        <v>188</v>
      </c>
      <c r="H889" s="0" t="n">
        <v>2</v>
      </c>
      <c r="I889" s="39" t="n">
        <v>6500</v>
      </c>
      <c r="J889" s="40" t="n">
        <v>0.05</v>
      </c>
      <c r="K889" s="39" t="n">
        <v>12350</v>
      </c>
      <c r="L889" s="39" t="n">
        <v>8400</v>
      </c>
      <c r="M889" s="39" t="n">
        <v>3950</v>
      </c>
      <c r="N889" s="38" t="s">
        <v>66</v>
      </c>
      <c r="O889" s="38" t="n">
        <f aca="false">YEAR(B889)</f>
        <v>2025</v>
      </c>
      <c r="P889" s="41" t="n">
        <f aca="false">DATE(YEAR(B889),MONTH(B889),1)</f>
        <v>45778</v>
      </c>
      <c r="Q889" s="0" t="str">
        <f aca="false">INDEX(Products!$C$2:$C$16,MATCH(E889,Products!$A$2:$A$16,0))</f>
        <v>Furniture</v>
      </c>
      <c r="R889" s="0" t="str">
        <f aca="false">INDEX(Customers!$F$2:$F$101,MATCH(D889,Customers!$A$2:$A$101,0))</f>
        <v>North</v>
      </c>
      <c r="S889" s="0" t="str">
        <f aca="false">INDEX(Customers!$C$2:$C$101,MATCH(D889,Customers!$A$2:$A$101,0))</f>
        <v>Corporate</v>
      </c>
      <c r="T889" s="0" t="str">
        <f aca="false">INDEX(Customers!$D$2:$D$101,MATCH(D889,Customers!$A$2:$A$101,0))</f>
        <v>Jaipur</v>
      </c>
    </row>
    <row r="890" customFormat="false" ht="15" hidden="false" customHeight="false" outlineLevel="0" collapsed="false">
      <c r="A890" s="0" t="s">
        <v>1161</v>
      </c>
      <c r="B890" s="37" t="n">
        <v>45711</v>
      </c>
      <c r="C890" s="37" t="n">
        <v>45717</v>
      </c>
      <c r="D890" s="38" t="s">
        <v>283</v>
      </c>
      <c r="E890" s="38" t="s">
        <v>113</v>
      </c>
      <c r="F890" s="38" t="s">
        <v>100</v>
      </c>
      <c r="G890" s="38" t="s">
        <v>188</v>
      </c>
      <c r="H890" s="0" t="n">
        <v>6</v>
      </c>
      <c r="I890" s="39" t="n">
        <v>45000</v>
      </c>
      <c r="J890" s="40" t="n">
        <v>0.1</v>
      </c>
      <c r="K890" s="39" t="n">
        <v>243000</v>
      </c>
      <c r="L890" s="39" t="n">
        <v>216000</v>
      </c>
      <c r="M890" s="39" t="n">
        <v>27000</v>
      </c>
      <c r="N890" s="38" t="s">
        <v>66</v>
      </c>
      <c r="O890" s="38" t="n">
        <f aca="false">YEAR(B890)</f>
        <v>2025</v>
      </c>
      <c r="P890" s="41" t="n">
        <f aca="false">DATE(YEAR(B890),MONTH(B890),1)</f>
        <v>45689</v>
      </c>
      <c r="Q890" s="0" t="str">
        <f aca="false">INDEX(Products!$C$2:$C$16,MATCH(E890,Products!$A$2:$A$16,0))</f>
        <v>Technology</v>
      </c>
      <c r="R890" s="0" t="str">
        <f aca="false">INDEX(Customers!$F$2:$F$101,MATCH(D890,Customers!$A$2:$A$101,0))</f>
        <v>West</v>
      </c>
      <c r="S890" s="0" t="str">
        <f aca="false">INDEX(Customers!$C$2:$C$101,MATCH(D890,Customers!$A$2:$A$101,0))</f>
        <v>Small Business</v>
      </c>
      <c r="T890" s="0" t="str">
        <f aca="false">INDEX(Customers!$D$2:$D$101,MATCH(D890,Customers!$A$2:$A$101,0))</f>
        <v>Mumbai</v>
      </c>
    </row>
    <row r="891" customFormat="false" ht="15" hidden="false" customHeight="false" outlineLevel="0" collapsed="false">
      <c r="A891" s="0" t="s">
        <v>1162</v>
      </c>
      <c r="B891" s="37" t="n">
        <v>46228</v>
      </c>
      <c r="C891" s="37" t="n">
        <v>46230</v>
      </c>
      <c r="D891" s="38" t="s">
        <v>224</v>
      </c>
      <c r="E891" s="38" t="s">
        <v>125</v>
      </c>
      <c r="F891" s="38" t="s">
        <v>101</v>
      </c>
      <c r="G891" s="38" t="s">
        <v>170</v>
      </c>
      <c r="H891" s="0" t="n">
        <v>1</v>
      </c>
      <c r="I891" s="39" t="n">
        <v>600</v>
      </c>
      <c r="J891" s="40" t="n">
        <v>0.25</v>
      </c>
      <c r="K891" s="39" t="n">
        <v>450</v>
      </c>
      <c r="L891" s="39" t="n">
        <v>350</v>
      </c>
      <c r="M891" s="39" t="n">
        <v>100</v>
      </c>
      <c r="N891" s="38" t="s">
        <v>66</v>
      </c>
      <c r="O891" s="38" t="n">
        <f aca="false">YEAR(B891)</f>
        <v>2026</v>
      </c>
      <c r="P891" s="41" t="n">
        <f aca="false">DATE(YEAR(B891),MONTH(B891),1)</f>
        <v>46204</v>
      </c>
      <c r="Q891" s="0" t="str">
        <f aca="false">INDEX(Products!$C$2:$C$16,MATCH(E891,Products!$A$2:$A$16,0))</f>
        <v>Office Supplies</v>
      </c>
      <c r="R891" s="0" t="str">
        <f aca="false">INDEX(Customers!$F$2:$F$101,MATCH(D891,Customers!$A$2:$A$101,0))</f>
        <v>North</v>
      </c>
      <c r="S891" s="0" t="str">
        <f aca="false">INDEX(Customers!$C$2:$C$101,MATCH(D891,Customers!$A$2:$A$101,0))</f>
        <v>Small Business</v>
      </c>
      <c r="T891" s="0" t="str">
        <f aca="false">INDEX(Customers!$D$2:$D$101,MATCH(D891,Customers!$A$2:$A$101,0))</f>
        <v>Jaipur</v>
      </c>
    </row>
    <row r="892" customFormat="false" ht="15" hidden="false" customHeight="false" outlineLevel="0" collapsed="false">
      <c r="A892" s="0" t="s">
        <v>1163</v>
      </c>
      <c r="B892" s="37" t="n">
        <v>46138</v>
      </c>
      <c r="C892" s="37" t="n">
        <v>46141</v>
      </c>
      <c r="D892" s="38" t="s">
        <v>302</v>
      </c>
      <c r="E892" s="38" t="s">
        <v>126</v>
      </c>
      <c r="F892" s="38" t="s">
        <v>101</v>
      </c>
      <c r="G892" s="38" t="s">
        <v>188</v>
      </c>
      <c r="H892" s="0" t="n">
        <v>5</v>
      </c>
      <c r="I892" s="39" t="n">
        <v>1200</v>
      </c>
      <c r="J892" s="40" t="n">
        <v>0.05</v>
      </c>
      <c r="K892" s="39" t="n">
        <v>5700</v>
      </c>
      <c r="L892" s="39" t="n">
        <v>3500</v>
      </c>
      <c r="M892" s="39" t="n">
        <v>2200</v>
      </c>
      <c r="N892" s="38" t="s">
        <v>66</v>
      </c>
      <c r="O892" s="38" t="n">
        <f aca="false">YEAR(B892)</f>
        <v>2026</v>
      </c>
      <c r="P892" s="41" t="n">
        <f aca="false">DATE(YEAR(B892),MONTH(B892),1)</f>
        <v>46113</v>
      </c>
      <c r="Q892" s="0" t="str">
        <f aca="false">INDEX(Products!$C$2:$C$16,MATCH(E892,Products!$A$2:$A$16,0))</f>
        <v>Furniture</v>
      </c>
      <c r="R892" s="0" t="str">
        <f aca="false">INDEX(Customers!$F$2:$F$101,MATCH(D892,Customers!$A$2:$A$101,0))</f>
        <v>East</v>
      </c>
      <c r="S892" s="0" t="str">
        <f aca="false">INDEX(Customers!$C$2:$C$101,MATCH(D892,Customers!$A$2:$A$101,0))</f>
        <v>Consumer</v>
      </c>
      <c r="T892" s="0" t="str">
        <f aca="false">INDEX(Customers!$D$2:$D$101,MATCH(D892,Customers!$A$2:$A$101,0))</f>
        <v>Bhubaneswar</v>
      </c>
    </row>
    <row r="893" customFormat="false" ht="15" hidden="false" customHeight="false" outlineLevel="0" collapsed="false">
      <c r="A893" s="0" t="s">
        <v>1164</v>
      </c>
      <c r="B893" s="37" t="n">
        <v>46102</v>
      </c>
      <c r="C893" s="37" t="n">
        <v>46103</v>
      </c>
      <c r="D893" s="38" t="s">
        <v>255</v>
      </c>
      <c r="E893" s="38" t="s">
        <v>113</v>
      </c>
      <c r="F893" s="38" t="s">
        <v>102</v>
      </c>
      <c r="G893" s="38" t="s">
        <v>185</v>
      </c>
      <c r="H893" s="0" t="n">
        <v>1</v>
      </c>
      <c r="I893" s="39" t="n">
        <v>45000</v>
      </c>
      <c r="J893" s="40" t="n">
        <v>0.05</v>
      </c>
      <c r="K893" s="39" t="n">
        <v>42750</v>
      </c>
      <c r="L893" s="39" t="n">
        <v>36000</v>
      </c>
      <c r="M893" s="39" t="n">
        <v>6750</v>
      </c>
      <c r="N893" s="38" t="s">
        <v>66</v>
      </c>
      <c r="O893" s="38" t="n">
        <f aca="false">YEAR(B893)</f>
        <v>2026</v>
      </c>
      <c r="P893" s="41" t="n">
        <f aca="false">DATE(YEAR(B893),MONTH(B893),1)</f>
        <v>46082</v>
      </c>
      <c r="Q893" s="0" t="str">
        <f aca="false">INDEX(Products!$C$2:$C$16,MATCH(E893,Products!$A$2:$A$16,0))</f>
        <v>Technology</v>
      </c>
      <c r="R893" s="0" t="str">
        <f aca="false">INDEX(Customers!$F$2:$F$101,MATCH(D893,Customers!$A$2:$A$101,0))</f>
        <v>East</v>
      </c>
      <c r="S893" s="0" t="str">
        <f aca="false">INDEX(Customers!$C$2:$C$101,MATCH(D893,Customers!$A$2:$A$101,0))</f>
        <v>Small Business</v>
      </c>
      <c r="T893" s="0" t="str">
        <f aca="false">INDEX(Customers!$D$2:$D$101,MATCH(D893,Customers!$A$2:$A$101,0))</f>
        <v>Kolkata</v>
      </c>
    </row>
    <row r="894" customFormat="false" ht="15" hidden="false" customHeight="false" outlineLevel="0" collapsed="false">
      <c r="A894" s="0" t="s">
        <v>1165</v>
      </c>
      <c r="B894" s="37" t="n">
        <v>45586</v>
      </c>
      <c r="C894" s="37" t="n">
        <v>45590</v>
      </c>
      <c r="D894" s="38" t="s">
        <v>232</v>
      </c>
      <c r="E894" s="38" t="s">
        <v>127</v>
      </c>
      <c r="F894" s="38" t="s">
        <v>102</v>
      </c>
      <c r="G894" s="38" t="s">
        <v>173</v>
      </c>
      <c r="H894" s="0" t="n">
        <v>1</v>
      </c>
      <c r="I894" s="39" t="n">
        <v>18000</v>
      </c>
      <c r="J894" s="40" t="n">
        <v>0.2</v>
      </c>
      <c r="K894" s="39" t="n">
        <v>14400</v>
      </c>
      <c r="L894" s="39" t="n">
        <v>14000</v>
      </c>
      <c r="M894" s="39" t="n">
        <v>400</v>
      </c>
      <c r="N894" s="38" t="s">
        <v>66</v>
      </c>
      <c r="O894" s="38" t="n">
        <f aca="false">YEAR(B894)</f>
        <v>2024</v>
      </c>
      <c r="P894" s="41" t="n">
        <f aca="false">DATE(YEAR(B894),MONTH(B894),1)</f>
        <v>45566</v>
      </c>
      <c r="Q894" s="0" t="str">
        <f aca="false">INDEX(Products!$C$2:$C$16,MATCH(E894,Products!$A$2:$A$16,0))</f>
        <v>Technology</v>
      </c>
      <c r="R894" s="0" t="str">
        <f aca="false">INDEX(Customers!$F$2:$F$101,MATCH(D894,Customers!$A$2:$A$101,0))</f>
        <v>West</v>
      </c>
      <c r="S894" s="0" t="str">
        <f aca="false">INDEX(Customers!$C$2:$C$101,MATCH(D894,Customers!$A$2:$A$101,0))</f>
        <v>Consumer</v>
      </c>
      <c r="T894" s="0" t="str">
        <f aca="false">INDEX(Customers!$D$2:$D$101,MATCH(D894,Customers!$A$2:$A$101,0))</f>
        <v>Ahmedabad</v>
      </c>
    </row>
    <row r="895" customFormat="false" ht="15" hidden="false" customHeight="false" outlineLevel="0" collapsed="false">
      <c r="A895" s="0" t="s">
        <v>1166</v>
      </c>
      <c r="B895" s="37" t="n">
        <v>45796</v>
      </c>
      <c r="C895" s="37" t="n">
        <v>45797</v>
      </c>
      <c r="D895" s="38" t="s">
        <v>270</v>
      </c>
      <c r="E895" s="38" t="s">
        <v>117</v>
      </c>
      <c r="F895" s="38" t="s">
        <v>102</v>
      </c>
      <c r="G895" s="38" t="s">
        <v>185</v>
      </c>
      <c r="H895" s="0" t="n">
        <v>3</v>
      </c>
      <c r="I895" s="39" t="n">
        <v>6500</v>
      </c>
      <c r="J895" s="40" t="n">
        <v>0.05</v>
      </c>
      <c r="K895" s="39" t="n">
        <v>18525</v>
      </c>
      <c r="L895" s="39" t="n">
        <v>12600</v>
      </c>
      <c r="M895" s="39" t="n">
        <v>5925</v>
      </c>
      <c r="N895" s="38" t="s">
        <v>66</v>
      </c>
      <c r="O895" s="38" t="n">
        <f aca="false">YEAR(B895)</f>
        <v>2025</v>
      </c>
      <c r="P895" s="41" t="n">
        <f aca="false">DATE(YEAR(B895),MONTH(B895),1)</f>
        <v>45778</v>
      </c>
      <c r="Q895" s="0" t="str">
        <f aca="false">INDEX(Products!$C$2:$C$16,MATCH(E895,Products!$A$2:$A$16,0))</f>
        <v>Furniture</v>
      </c>
      <c r="R895" s="0" t="str">
        <f aca="false">INDEX(Customers!$F$2:$F$101,MATCH(D895,Customers!$A$2:$A$101,0))</f>
        <v>West</v>
      </c>
      <c r="S895" s="0" t="str">
        <f aca="false">INDEX(Customers!$C$2:$C$101,MATCH(D895,Customers!$A$2:$A$101,0))</f>
        <v>Small Business</v>
      </c>
      <c r="T895" s="0" t="str">
        <f aca="false">INDEX(Customers!$D$2:$D$101,MATCH(D895,Customers!$A$2:$A$101,0))</f>
        <v>Pune</v>
      </c>
    </row>
    <row r="896" customFormat="false" ht="15" hidden="false" customHeight="false" outlineLevel="0" collapsed="false">
      <c r="A896" s="0" t="s">
        <v>1167</v>
      </c>
      <c r="B896" s="37" t="n">
        <v>45994</v>
      </c>
      <c r="C896" s="37" t="n">
        <v>45998</v>
      </c>
      <c r="D896" s="38" t="s">
        <v>234</v>
      </c>
      <c r="E896" s="38" t="s">
        <v>123</v>
      </c>
      <c r="F896" s="38" t="s">
        <v>100</v>
      </c>
      <c r="G896" s="38" t="s">
        <v>170</v>
      </c>
      <c r="H896" s="0" t="n">
        <v>8</v>
      </c>
      <c r="I896" s="39" t="n">
        <v>2200</v>
      </c>
      <c r="J896" s="40" t="n">
        <v>0.25</v>
      </c>
      <c r="K896" s="39" t="n">
        <v>13200</v>
      </c>
      <c r="L896" s="39" t="n">
        <v>10400</v>
      </c>
      <c r="M896" s="39" t="n">
        <v>2800</v>
      </c>
      <c r="N896" s="38" t="s">
        <v>66</v>
      </c>
      <c r="O896" s="38" t="n">
        <f aca="false">YEAR(B896)</f>
        <v>2025</v>
      </c>
      <c r="P896" s="41" t="n">
        <f aca="false">DATE(YEAR(B896),MONTH(B896),1)</f>
        <v>45992</v>
      </c>
      <c r="Q896" s="0" t="str">
        <f aca="false">INDEX(Products!$C$2:$C$16,MATCH(E896,Products!$A$2:$A$16,0))</f>
        <v>Technology</v>
      </c>
      <c r="R896" s="0" t="str">
        <f aca="false">INDEX(Customers!$F$2:$F$101,MATCH(D896,Customers!$A$2:$A$101,0))</f>
        <v>South</v>
      </c>
      <c r="S896" s="0" t="str">
        <f aca="false">INDEX(Customers!$C$2:$C$101,MATCH(D896,Customers!$A$2:$A$101,0))</f>
        <v>Corporate</v>
      </c>
      <c r="T896" s="0" t="str">
        <f aca="false">INDEX(Customers!$D$2:$D$101,MATCH(D896,Customers!$A$2:$A$101,0))</f>
        <v>Bengaluru</v>
      </c>
    </row>
    <row r="897" customFormat="false" ht="15" hidden="false" customHeight="false" outlineLevel="0" collapsed="false">
      <c r="A897" s="0" t="s">
        <v>1168</v>
      </c>
      <c r="B897" s="37" t="n">
        <v>46157</v>
      </c>
      <c r="C897" s="37" t="n">
        <v>46160</v>
      </c>
      <c r="D897" s="38" t="s">
        <v>409</v>
      </c>
      <c r="E897" s="38" t="s">
        <v>113</v>
      </c>
      <c r="F897" s="38" t="s">
        <v>100</v>
      </c>
      <c r="G897" s="38" t="s">
        <v>170</v>
      </c>
      <c r="H897" s="0" t="n">
        <v>1</v>
      </c>
      <c r="I897" s="39" t="n">
        <v>45000</v>
      </c>
      <c r="J897" s="40" t="n">
        <v>0</v>
      </c>
      <c r="K897" s="39" t="n">
        <v>45000</v>
      </c>
      <c r="L897" s="39" t="n">
        <v>36000</v>
      </c>
      <c r="M897" s="39" t="n">
        <v>9000</v>
      </c>
      <c r="N897" s="38" t="s">
        <v>66</v>
      </c>
      <c r="O897" s="38" t="n">
        <f aca="false">YEAR(B897)</f>
        <v>2026</v>
      </c>
      <c r="P897" s="41" t="n">
        <f aca="false">DATE(YEAR(B897),MONTH(B897),1)</f>
        <v>46143</v>
      </c>
      <c r="Q897" s="0" t="str">
        <f aca="false">INDEX(Products!$C$2:$C$16,MATCH(E897,Products!$A$2:$A$16,0))</f>
        <v>Technology</v>
      </c>
      <c r="R897" s="0" t="str">
        <f aca="false">INDEX(Customers!$F$2:$F$101,MATCH(D897,Customers!$A$2:$A$101,0))</f>
        <v>East</v>
      </c>
      <c r="S897" s="0" t="str">
        <f aca="false">INDEX(Customers!$C$2:$C$101,MATCH(D897,Customers!$A$2:$A$101,0))</f>
        <v>Small Business</v>
      </c>
      <c r="T897" s="0" t="str">
        <f aca="false">INDEX(Customers!$D$2:$D$101,MATCH(D897,Customers!$A$2:$A$101,0))</f>
        <v>Bhubaneswar</v>
      </c>
    </row>
    <row r="898" customFormat="false" ht="15" hidden="false" customHeight="false" outlineLevel="0" collapsed="false">
      <c r="A898" s="0" t="s">
        <v>1169</v>
      </c>
      <c r="B898" s="37" t="n">
        <v>45657</v>
      </c>
      <c r="C898" s="37" t="n">
        <v>45659</v>
      </c>
      <c r="D898" s="38" t="s">
        <v>182</v>
      </c>
      <c r="E898" s="38" t="s">
        <v>115</v>
      </c>
      <c r="F898" s="38" t="s">
        <v>101</v>
      </c>
      <c r="G898" s="38" t="s">
        <v>170</v>
      </c>
      <c r="H898" s="0" t="n">
        <v>1</v>
      </c>
      <c r="I898" s="39" t="n">
        <v>1500</v>
      </c>
      <c r="J898" s="40" t="n">
        <v>0.05</v>
      </c>
      <c r="K898" s="39" t="n">
        <v>1425</v>
      </c>
      <c r="L898" s="39" t="n">
        <v>850</v>
      </c>
      <c r="M898" s="39" t="n">
        <v>575</v>
      </c>
      <c r="N898" s="38" t="s">
        <v>66</v>
      </c>
      <c r="O898" s="38" t="n">
        <f aca="false">YEAR(B898)</f>
        <v>2024</v>
      </c>
      <c r="P898" s="41" t="n">
        <f aca="false">DATE(YEAR(B898),MONTH(B898),1)</f>
        <v>45627</v>
      </c>
      <c r="Q898" s="0" t="str">
        <f aca="false">INDEX(Products!$C$2:$C$16,MATCH(E898,Products!$A$2:$A$16,0))</f>
        <v>Technology</v>
      </c>
      <c r="R898" s="0" t="str">
        <f aca="false">INDEX(Customers!$F$2:$F$101,MATCH(D898,Customers!$A$2:$A$101,0))</f>
        <v>North</v>
      </c>
      <c r="S898" s="0" t="str">
        <f aca="false">INDEX(Customers!$C$2:$C$101,MATCH(D898,Customers!$A$2:$A$101,0))</f>
        <v>Small Business</v>
      </c>
      <c r="T898" s="0" t="str">
        <f aca="false">INDEX(Customers!$D$2:$D$101,MATCH(D898,Customers!$A$2:$A$101,0))</f>
        <v>Gurugram</v>
      </c>
    </row>
    <row r="899" customFormat="false" ht="15" hidden="false" customHeight="false" outlineLevel="0" collapsed="false">
      <c r="A899" s="0" t="s">
        <v>1170</v>
      </c>
      <c r="B899" s="37" t="n">
        <v>45946</v>
      </c>
      <c r="C899" s="37" t="n">
        <v>45947</v>
      </c>
      <c r="D899" s="38" t="s">
        <v>310</v>
      </c>
      <c r="E899" s="38" t="s">
        <v>121</v>
      </c>
      <c r="F899" s="38" t="s">
        <v>102</v>
      </c>
      <c r="G899" s="38" t="s">
        <v>173</v>
      </c>
      <c r="H899" s="0" t="n">
        <v>2</v>
      </c>
      <c r="I899" s="39" t="n">
        <v>180</v>
      </c>
      <c r="J899" s="40" t="n">
        <v>0.25</v>
      </c>
      <c r="K899" s="39" t="n">
        <v>270</v>
      </c>
      <c r="L899" s="39" t="n">
        <v>140</v>
      </c>
      <c r="M899" s="39" t="n">
        <v>130</v>
      </c>
      <c r="N899" s="38" t="s">
        <v>66</v>
      </c>
      <c r="O899" s="38" t="n">
        <f aca="false">YEAR(B899)</f>
        <v>2025</v>
      </c>
      <c r="P899" s="41" t="n">
        <f aca="false">DATE(YEAR(B899),MONTH(B899),1)</f>
        <v>45931</v>
      </c>
      <c r="Q899" s="0" t="str">
        <f aca="false">INDEX(Products!$C$2:$C$16,MATCH(E899,Products!$A$2:$A$16,0))</f>
        <v>Office Supplies</v>
      </c>
      <c r="R899" s="0" t="str">
        <f aca="false">INDEX(Customers!$F$2:$F$101,MATCH(D899,Customers!$A$2:$A$101,0))</f>
        <v>South</v>
      </c>
      <c r="S899" s="0" t="str">
        <f aca="false">INDEX(Customers!$C$2:$C$101,MATCH(D899,Customers!$A$2:$A$101,0))</f>
        <v>Small Business</v>
      </c>
      <c r="T899" s="0" t="str">
        <f aca="false">INDEX(Customers!$D$2:$D$101,MATCH(D899,Customers!$A$2:$A$101,0))</f>
        <v>Hyderabad</v>
      </c>
    </row>
    <row r="900" customFormat="false" ht="15" hidden="false" customHeight="false" outlineLevel="0" collapsed="false">
      <c r="A900" s="0" t="s">
        <v>1171</v>
      </c>
      <c r="B900" s="37" t="n">
        <v>45463</v>
      </c>
      <c r="C900" s="37" t="n">
        <v>45468</v>
      </c>
      <c r="D900" s="38" t="s">
        <v>266</v>
      </c>
      <c r="E900" s="38" t="s">
        <v>125</v>
      </c>
      <c r="F900" s="38" t="s">
        <v>102</v>
      </c>
      <c r="G900" s="38" t="s">
        <v>170</v>
      </c>
      <c r="H900" s="0" t="n">
        <v>2</v>
      </c>
      <c r="I900" s="39" t="n">
        <v>600</v>
      </c>
      <c r="J900" s="40" t="n">
        <v>0.05</v>
      </c>
      <c r="K900" s="39" t="n">
        <v>1140</v>
      </c>
      <c r="L900" s="39" t="n">
        <v>700</v>
      </c>
      <c r="M900" s="39" t="n">
        <v>440</v>
      </c>
      <c r="N900" s="38" t="s">
        <v>66</v>
      </c>
      <c r="O900" s="38" t="n">
        <f aca="false">YEAR(B900)</f>
        <v>2024</v>
      </c>
      <c r="P900" s="41" t="n">
        <f aca="false">DATE(YEAR(B900),MONTH(B900),1)</f>
        <v>45444</v>
      </c>
      <c r="Q900" s="0" t="str">
        <f aca="false">INDEX(Products!$C$2:$C$16,MATCH(E900,Products!$A$2:$A$16,0))</f>
        <v>Office Supplies</v>
      </c>
      <c r="R900" s="0" t="str">
        <f aca="false">INDEX(Customers!$F$2:$F$101,MATCH(D900,Customers!$A$2:$A$101,0))</f>
        <v>West</v>
      </c>
      <c r="S900" s="0" t="str">
        <f aca="false">INDEX(Customers!$C$2:$C$101,MATCH(D900,Customers!$A$2:$A$101,0))</f>
        <v>Consumer</v>
      </c>
      <c r="T900" s="0" t="str">
        <f aca="false">INDEX(Customers!$D$2:$D$101,MATCH(D900,Customers!$A$2:$A$101,0))</f>
        <v>Pune</v>
      </c>
    </row>
    <row r="901" customFormat="false" ht="15" hidden="false" customHeight="false" outlineLevel="0" collapsed="false">
      <c r="A901" s="0" t="s">
        <v>1172</v>
      </c>
      <c r="B901" s="37" t="n">
        <v>45663</v>
      </c>
      <c r="C901" s="37" t="n">
        <v>45664</v>
      </c>
      <c r="D901" s="38" t="s">
        <v>184</v>
      </c>
      <c r="E901" s="38" t="s">
        <v>124</v>
      </c>
      <c r="F901" s="38" t="s">
        <v>100</v>
      </c>
      <c r="G901" s="38" t="s">
        <v>178</v>
      </c>
      <c r="H901" s="0" t="n">
        <v>2</v>
      </c>
      <c r="I901" s="39" t="n">
        <v>3000</v>
      </c>
      <c r="J901" s="40" t="n">
        <v>0.05</v>
      </c>
      <c r="K901" s="39" t="n">
        <v>5700</v>
      </c>
      <c r="L901" s="39" t="n">
        <v>3800</v>
      </c>
      <c r="M901" s="39" t="n">
        <v>1900</v>
      </c>
      <c r="N901" s="38" t="s">
        <v>66</v>
      </c>
      <c r="O901" s="38" t="n">
        <f aca="false">YEAR(B901)</f>
        <v>2025</v>
      </c>
      <c r="P901" s="41" t="n">
        <f aca="false">DATE(YEAR(B901),MONTH(B901),1)</f>
        <v>45658</v>
      </c>
      <c r="Q901" s="0" t="str">
        <f aca="false">INDEX(Products!$C$2:$C$16,MATCH(E901,Products!$A$2:$A$16,0))</f>
        <v>Technology</v>
      </c>
      <c r="R901" s="0" t="str">
        <f aca="false">INDEX(Customers!$F$2:$F$101,MATCH(D901,Customers!$A$2:$A$101,0))</f>
        <v>West</v>
      </c>
      <c r="S901" s="0" t="str">
        <f aca="false">INDEX(Customers!$C$2:$C$101,MATCH(D901,Customers!$A$2:$A$101,0))</f>
        <v>Consumer</v>
      </c>
      <c r="T901" s="0" t="str">
        <f aca="false">INDEX(Customers!$D$2:$D$101,MATCH(D901,Customers!$A$2:$A$101,0))</f>
        <v>Ahmedabad</v>
      </c>
    </row>
    <row r="902" customFormat="false" ht="15" hidden="false" customHeight="false" outlineLevel="0" collapsed="false">
      <c r="A902" s="0" t="s">
        <v>1173</v>
      </c>
      <c r="B902" s="37" t="n">
        <v>46089</v>
      </c>
      <c r="C902" s="37" t="n">
        <v>46093</v>
      </c>
      <c r="D902" s="38" t="s">
        <v>175</v>
      </c>
      <c r="E902" s="38" t="s">
        <v>118</v>
      </c>
      <c r="F902" s="38" t="s">
        <v>100</v>
      </c>
      <c r="G902" s="38" t="s">
        <v>173</v>
      </c>
      <c r="H902" s="0" t="n">
        <v>2</v>
      </c>
      <c r="I902" s="39" t="n">
        <v>9000</v>
      </c>
      <c r="J902" s="40" t="n">
        <v>0</v>
      </c>
      <c r="K902" s="39" t="n">
        <v>18000</v>
      </c>
      <c r="L902" s="39" t="n">
        <v>13000</v>
      </c>
      <c r="M902" s="39" t="n">
        <v>5000</v>
      </c>
      <c r="N902" s="38" t="s">
        <v>66</v>
      </c>
      <c r="O902" s="38" t="n">
        <f aca="false">YEAR(B902)</f>
        <v>2026</v>
      </c>
      <c r="P902" s="41" t="n">
        <f aca="false">DATE(YEAR(B902),MONTH(B902),1)</f>
        <v>46082</v>
      </c>
      <c r="Q902" s="0" t="str">
        <f aca="false">INDEX(Products!$C$2:$C$16,MATCH(E902,Products!$A$2:$A$16,0))</f>
        <v>Furniture</v>
      </c>
      <c r="R902" s="0" t="str">
        <f aca="false">INDEX(Customers!$F$2:$F$101,MATCH(D902,Customers!$A$2:$A$101,0))</f>
        <v>North</v>
      </c>
      <c r="S902" s="0" t="str">
        <f aca="false">INDEX(Customers!$C$2:$C$101,MATCH(D902,Customers!$A$2:$A$101,0))</f>
        <v>Corporate</v>
      </c>
      <c r="T902" s="0" t="str">
        <f aca="false">INDEX(Customers!$D$2:$D$101,MATCH(D902,Customers!$A$2:$A$101,0))</f>
        <v>Jaipur</v>
      </c>
    </row>
    <row r="903" customFormat="false" ht="15" hidden="false" customHeight="false" outlineLevel="0" collapsed="false">
      <c r="A903" s="0" t="s">
        <v>1174</v>
      </c>
      <c r="B903" s="37" t="n">
        <v>45484</v>
      </c>
      <c r="C903" s="37" t="n">
        <v>45491</v>
      </c>
      <c r="D903" s="38" t="s">
        <v>255</v>
      </c>
      <c r="E903" s="38" t="s">
        <v>126</v>
      </c>
      <c r="F903" s="38" t="s">
        <v>102</v>
      </c>
      <c r="G903" s="38" t="s">
        <v>188</v>
      </c>
      <c r="H903" s="0" t="n">
        <v>6</v>
      </c>
      <c r="I903" s="39" t="n">
        <v>1200</v>
      </c>
      <c r="J903" s="40" t="n">
        <v>0.15</v>
      </c>
      <c r="K903" s="39" t="n">
        <v>6120</v>
      </c>
      <c r="L903" s="39" t="n">
        <v>4200</v>
      </c>
      <c r="M903" s="39" t="n">
        <v>1920</v>
      </c>
      <c r="N903" s="38" t="s">
        <v>66</v>
      </c>
      <c r="O903" s="38" t="n">
        <f aca="false">YEAR(B903)</f>
        <v>2024</v>
      </c>
      <c r="P903" s="41" t="n">
        <f aca="false">DATE(YEAR(B903),MONTH(B903),1)</f>
        <v>45474</v>
      </c>
      <c r="Q903" s="0" t="str">
        <f aca="false">INDEX(Products!$C$2:$C$16,MATCH(E903,Products!$A$2:$A$16,0))</f>
        <v>Furniture</v>
      </c>
      <c r="R903" s="0" t="str">
        <f aca="false">INDEX(Customers!$F$2:$F$101,MATCH(D903,Customers!$A$2:$A$101,0))</f>
        <v>East</v>
      </c>
      <c r="S903" s="0" t="str">
        <f aca="false">INDEX(Customers!$C$2:$C$101,MATCH(D903,Customers!$A$2:$A$101,0))</f>
        <v>Small Business</v>
      </c>
      <c r="T903" s="0" t="str">
        <f aca="false">INDEX(Customers!$D$2:$D$101,MATCH(D903,Customers!$A$2:$A$101,0))</f>
        <v>Kolkata</v>
      </c>
    </row>
    <row r="904" customFormat="false" ht="15" hidden="false" customHeight="false" outlineLevel="0" collapsed="false">
      <c r="A904" s="0" t="s">
        <v>1175</v>
      </c>
      <c r="B904" s="37" t="n">
        <v>46011</v>
      </c>
      <c r="C904" s="37" t="n">
        <v>46018</v>
      </c>
      <c r="D904" s="38" t="s">
        <v>285</v>
      </c>
      <c r="E904" s="38" t="s">
        <v>121</v>
      </c>
      <c r="F904" s="38" t="s">
        <v>101</v>
      </c>
      <c r="G904" s="38" t="s">
        <v>178</v>
      </c>
      <c r="H904" s="0" t="n">
        <v>4</v>
      </c>
      <c r="I904" s="39" t="n">
        <v>180</v>
      </c>
      <c r="J904" s="40" t="n">
        <v>0.1</v>
      </c>
      <c r="K904" s="39" t="n">
        <v>648</v>
      </c>
      <c r="L904" s="39" t="n">
        <v>280</v>
      </c>
      <c r="M904" s="39" t="n">
        <v>368</v>
      </c>
      <c r="N904" s="38" t="s">
        <v>66</v>
      </c>
      <c r="O904" s="38" t="n">
        <f aca="false">YEAR(B904)</f>
        <v>2025</v>
      </c>
      <c r="P904" s="41" t="n">
        <f aca="false">DATE(YEAR(B904),MONTH(B904),1)</f>
        <v>45992</v>
      </c>
      <c r="Q904" s="0" t="str">
        <f aca="false">INDEX(Products!$C$2:$C$16,MATCH(E904,Products!$A$2:$A$16,0))</f>
        <v>Office Supplies</v>
      </c>
      <c r="R904" s="0" t="str">
        <f aca="false">INDEX(Customers!$F$2:$F$101,MATCH(D904,Customers!$A$2:$A$101,0))</f>
        <v>South</v>
      </c>
      <c r="S904" s="0" t="str">
        <f aca="false">INDEX(Customers!$C$2:$C$101,MATCH(D904,Customers!$A$2:$A$101,0))</f>
        <v>Small Business</v>
      </c>
      <c r="T904" s="0" t="str">
        <f aca="false">INDEX(Customers!$D$2:$D$101,MATCH(D904,Customers!$A$2:$A$101,0))</f>
        <v>Hyderabad</v>
      </c>
    </row>
    <row r="905" customFormat="false" ht="15" hidden="false" customHeight="false" outlineLevel="0" collapsed="false">
      <c r="A905" s="0" t="s">
        <v>1176</v>
      </c>
      <c r="B905" s="37" t="n">
        <v>45309</v>
      </c>
      <c r="C905" s="37" t="n">
        <v>45313</v>
      </c>
      <c r="D905" s="38" t="s">
        <v>217</v>
      </c>
      <c r="E905" s="38" t="s">
        <v>127</v>
      </c>
      <c r="F905" s="38" t="s">
        <v>101</v>
      </c>
      <c r="G905" s="38" t="s">
        <v>173</v>
      </c>
      <c r="H905" s="0" t="n">
        <v>2</v>
      </c>
      <c r="I905" s="39" t="n">
        <v>18000</v>
      </c>
      <c r="J905" s="40" t="n">
        <v>0.2</v>
      </c>
      <c r="K905" s="39" t="n">
        <v>28800</v>
      </c>
      <c r="L905" s="39" t="n">
        <v>28000</v>
      </c>
      <c r="M905" s="39" t="n">
        <v>800</v>
      </c>
      <c r="N905" s="38" t="s">
        <v>66</v>
      </c>
      <c r="O905" s="38" t="n">
        <f aca="false">YEAR(B905)</f>
        <v>2024</v>
      </c>
      <c r="P905" s="41" t="n">
        <f aca="false">DATE(YEAR(B905),MONTH(B905),1)</f>
        <v>45292</v>
      </c>
      <c r="Q905" s="0" t="str">
        <f aca="false">INDEX(Products!$C$2:$C$16,MATCH(E905,Products!$A$2:$A$16,0))</f>
        <v>Technology</v>
      </c>
      <c r="R905" s="0" t="str">
        <f aca="false">INDEX(Customers!$F$2:$F$101,MATCH(D905,Customers!$A$2:$A$101,0))</f>
        <v>East</v>
      </c>
      <c r="S905" s="0" t="str">
        <f aca="false">INDEX(Customers!$C$2:$C$101,MATCH(D905,Customers!$A$2:$A$101,0))</f>
        <v>Small Business</v>
      </c>
      <c r="T905" s="0" t="str">
        <f aca="false">INDEX(Customers!$D$2:$D$101,MATCH(D905,Customers!$A$2:$A$101,0))</f>
        <v>Kolkata</v>
      </c>
    </row>
    <row r="906" customFormat="false" ht="15" hidden="false" customHeight="false" outlineLevel="0" collapsed="false">
      <c r="A906" s="0" t="s">
        <v>1177</v>
      </c>
      <c r="B906" s="37" t="n">
        <v>46073</v>
      </c>
      <c r="C906" s="37" t="n">
        <v>46076</v>
      </c>
      <c r="D906" s="38" t="s">
        <v>266</v>
      </c>
      <c r="E906" s="38" t="s">
        <v>121</v>
      </c>
      <c r="F906" s="38" t="s">
        <v>100</v>
      </c>
      <c r="G906" s="38" t="s">
        <v>178</v>
      </c>
      <c r="H906" s="0" t="n">
        <v>1</v>
      </c>
      <c r="I906" s="39" t="n">
        <v>180</v>
      </c>
      <c r="J906" s="40" t="n">
        <v>0.05</v>
      </c>
      <c r="K906" s="39" t="n">
        <v>171</v>
      </c>
      <c r="L906" s="39" t="n">
        <v>70</v>
      </c>
      <c r="M906" s="39" t="n">
        <v>101</v>
      </c>
      <c r="N906" s="38" t="s">
        <v>66</v>
      </c>
      <c r="O906" s="38" t="n">
        <f aca="false">YEAR(B906)</f>
        <v>2026</v>
      </c>
      <c r="P906" s="41" t="n">
        <f aca="false">DATE(YEAR(B906),MONTH(B906),1)</f>
        <v>46054</v>
      </c>
      <c r="Q906" s="0" t="str">
        <f aca="false">INDEX(Products!$C$2:$C$16,MATCH(E906,Products!$A$2:$A$16,0))</f>
        <v>Office Supplies</v>
      </c>
      <c r="R906" s="0" t="str">
        <f aca="false">INDEX(Customers!$F$2:$F$101,MATCH(D906,Customers!$A$2:$A$101,0))</f>
        <v>West</v>
      </c>
      <c r="S906" s="0" t="str">
        <f aca="false">INDEX(Customers!$C$2:$C$101,MATCH(D906,Customers!$A$2:$A$101,0))</f>
        <v>Consumer</v>
      </c>
      <c r="T906" s="0" t="str">
        <f aca="false">INDEX(Customers!$D$2:$D$101,MATCH(D906,Customers!$A$2:$A$101,0))</f>
        <v>Pune</v>
      </c>
    </row>
    <row r="907" customFormat="false" ht="15" hidden="false" customHeight="false" outlineLevel="0" collapsed="false">
      <c r="A907" s="0" t="s">
        <v>1178</v>
      </c>
      <c r="B907" s="37" t="n">
        <v>45996</v>
      </c>
      <c r="C907" s="37" t="n">
        <v>45998</v>
      </c>
      <c r="D907" s="38" t="s">
        <v>182</v>
      </c>
      <c r="E907" s="38" t="s">
        <v>115</v>
      </c>
      <c r="F907" s="38" t="s">
        <v>100</v>
      </c>
      <c r="G907" s="38" t="s">
        <v>178</v>
      </c>
      <c r="H907" s="0" t="n">
        <v>2</v>
      </c>
      <c r="I907" s="39" t="n">
        <v>1500</v>
      </c>
      <c r="J907" s="40" t="n">
        <v>0</v>
      </c>
      <c r="K907" s="39" t="n">
        <v>3000</v>
      </c>
      <c r="L907" s="39" t="n">
        <v>1700</v>
      </c>
      <c r="M907" s="39" t="n">
        <v>1300</v>
      </c>
      <c r="N907" s="38" t="s">
        <v>66</v>
      </c>
      <c r="O907" s="38" t="n">
        <f aca="false">YEAR(B907)</f>
        <v>2025</v>
      </c>
      <c r="P907" s="41" t="n">
        <f aca="false">DATE(YEAR(B907),MONTH(B907),1)</f>
        <v>45992</v>
      </c>
      <c r="Q907" s="0" t="str">
        <f aca="false">INDEX(Products!$C$2:$C$16,MATCH(E907,Products!$A$2:$A$16,0))</f>
        <v>Technology</v>
      </c>
      <c r="R907" s="0" t="str">
        <f aca="false">INDEX(Customers!$F$2:$F$101,MATCH(D907,Customers!$A$2:$A$101,0))</f>
        <v>North</v>
      </c>
      <c r="S907" s="0" t="str">
        <f aca="false">INDEX(Customers!$C$2:$C$101,MATCH(D907,Customers!$A$2:$A$101,0))</f>
        <v>Small Business</v>
      </c>
      <c r="T907" s="0" t="str">
        <f aca="false">INDEX(Customers!$D$2:$D$101,MATCH(D907,Customers!$A$2:$A$101,0))</f>
        <v>Gurugram</v>
      </c>
    </row>
    <row r="908" customFormat="false" ht="15" hidden="false" customHeight="false" outlineLevel="0" collapsed="false">
      <c r="A908" s="0" t="s">
        <v>1179</v>
      </c>
      <c r="B908" s="37" t="n">
        <v>45406</v>
      </c>
      <c r="C908" s="37" t="n">
        <v>45407</v>
      </c>
      <c r="D908" s="38" t="s">
        <v>270</v>
      </c>
      <c r="E908" s="38" t="s">
        <v>125</v>
      </c>
      <c r="F908" s="38" t="s">
        <v>101</v>
      </c>
      <c r="G908" s="38" t="s">
        <v>178</v>
      </c>
      <c r="H908" s="0" t="n">
        <v>1</v>
      </c>
      <c r="I908" s="39" t="n">
        <v>600</v>
      </c>
      <c r="J908" s="40" t="n">
        <v>0.1</v>
      </c>
      <c r="K908" s="39" t="n">
        <v>540</v>
      </c>
      <c r="L908" s="39" t="n">
        <v>350</v>
      </c>
      <c r="M908" s="39" t="n">
        <v>190</v>
      </c>
      <c r="N908" s="38" t="s">
        <v>66</v>
      </c>
      <c r="O908" s="38" t="n">
        <f aca="false">YEAR(B908)</f>
        <v>2024</v>
      </c>
      <c r="P908" s="41" t="n">
        <f aca="false">DATE(YEAR(B908),MONTH(B908),1)</f>
        <v>45383</v>
      </c>
      <c r="Q908" s="0" t="str">
        <f aca="false">INDEX(Products!$C$2:$C$16,MATCH(E908,Products!$A$2:$A$16,0))</f>
        <v>Office Supplies</v>
      </c>
      <c r="R908" s="0" t="str">
        <f aca="false">INDEX(Customers!$F$2:$F$101,MATCH(D908,Customers!$A$2:$A$101,0))</f>
        <v>West</v>
      </c>
      <c r="S908" s="0" t="str">
        <f aca="false">INDEX(Customers!$C$2:$C$101,MATCH(D908,Customers!$A$2:$A$101,0))</f>
        <v>Small Business</v>
      </c>
      <c r="T908" s="0" t="str">
        <f aca="false">INDEX(Customers!$D$2:$D$101,MATCH(D908,Customers!$A$2:$A$101,0))</f>
        <v>Pune</v>
      </c>
    </row>
    <row r="909" customFormat="false" ht="15" hidden="false" customHeight="false" outlineLevel="0" collapsed="false">
      <c r="A909" s="0" t="s">
        <v>1180</v>
      </c>
      <c r="B909" s="37" t="n">
        <v>45967</v>
      </c>
      <c r="C909" s="37" t="n">
        <v>45972</v>
      </c>
      <c r="D909" s="38" t="s">
        <v>294</v>
      </c>
      <c r="E909" s="38" t="s">
        <v>125</v>
      </c>
      <c r="F909" s="38" t="s">
        <v>100</v>
      </c>
      <c r="G909" s="38" t="s">
        <v>170</v>
      </c>
      <c r="H909" s="0" t="n">
        <v>3</v>
      </c>
      <c r="I909" s="39" t="n">
        <v>600</v>
      </c>
      <c r="J909" s="40" t="n">
        <v>0.1</v>
      </c>
      <c r="K909" s="39" t="n">
        <v>1620</v>
      </c>
      <c r="L909" s="39" t="n">
        <v>1050</v>
      </c>
      <c r="M909" s="39" t="n">
        <v>570</v>
      </c>
      <c r="N909" s="38" t="s">
        <v>66</v>
      </c>
      <c r="O909" s="38" t="n">
        <f aca="false">YEAR(B909)</f>
        <v>2025</v>
      </c>
      <c r="P909" s="41" t="n">
        <f aca="false">DATE(YEAR(B909),MONTH(B909),1)</f>
        <v>45962</v>
      </c>
      <c r="Q909" s="0" t="str">
        <f aca="false">INDEX(Products!$C$2:$C$16,MATCH(E909,Products!$A$2:$A$16,0))</f>
        <v>Office Supplies</v>
      </c>
      <c r="R909" s="0" t="str">
        <f aca="false">INDEX(Customers!$F$2:$F$101,MATCH(D909,Customers!$A$2:$A$101,0))</f>
        <v>South</v>
      </c>
      <c r="S909" s="0" t="str">
        <f aca="false">INDEX(Customers!$C$2:$C$101,MATCH(D909,Customers!$A$2:$A$101,0))</f>
        <v>Small Business</v>
      </c>
      <c r="T909" s="0" t="str">
        <f aca="false">INDEX(Customers!$D$2:$D$101,MATCH(D909,Customers!$A$2:$A$101,0))</f>
        <v>Chennai</v>
      </c>
    </row>
    <row r="910" customFormat="false" ht="15" hidden="false" customHeight="false" outlineLevel="0" collapsed="false">
      <c r="A910" s="0" t="s">
        <v>1181</v>
      </c>
      <c r="B910" s="37" t="n">
        <v>45302</v>
      </c>
      <c r="C910" s="37" t="n">
        <v>45309</v>
      </c>
      <c r="D910" s="38" t="s">
        <v>253</v>
      </c>
      <c r="E910" s="38" t="s">
        <v>123</v>
      </c>
      <c r="F910" s="38" t="s">
        <v>102</v>
      </c>
      <c r="G910" s="38" t="s">
        <v>173</v>
      </c>
      <c r="H910" s="0" t="n">
        <v>1</v>
      </c>
      <c r="I910" s="39" t="n">
        <v>2200</v>
      </c>
      <c r="J910" s="40" t="n">
        <v>0</v>
      </c>
      <c r="K910" s="39" t="n">
        <v>2200</v>
      </c>
      <c r="L910" s="39" t="n">
        <v>1300</v>
      </c>
      <c r="M910" s="39" t="n">
        <v>900</v>
      </c>
      <c r="N910" s="38" t="s">
        <v>66</v>
      </c>
      <c r="O910" s="38" t="n">
        <f aca="false">YEAR(B910)</f>
        <v>2024</v>
      </c>
      <c r="P910" s="41" t="n">
        <f aca="false">DATE(YEAR(B910),MONTH(B910),1)</f>
        <v>45292</v>
      </c>
      <c r="Q910" s="0" t="str">
        <f aca="false">INDEX(Products!$C$2:$C$16,MATCH(E910,Products!$A$2:$A$16,0))</f>
        <v>Technology</v>
      </c>
      <c r="R910" s="0" t="str">
        <f aca="false">INDEX(Customers!$F$2:$F$101,MATCH(D910,Customers!$A$2:$A$101,0))</f>
        <v>East</v>
      </c>
      <c r="S910" s="0" t="str">
        <f aca="false">INDEX(Customers!$C$2:$C$101,MATCH(D910,Customers!$A$2:$A$101,0))</f>
        <v>Small Business</v>
      </c>
      <c r="T910" s="0" t="str">
        <f aca="false">INDEX(Customers!$D$2:$D$101,MATCH(D910,Customers!$A$2:$A$101,0))</f>
        <v>Bhubaneswar</v>
      </c>
    </row>
    <row r="911" customFormat="false" ht="15" hidden="false" customHeight="false" outlineLevel="0" collapsed="false">
      <c r="A911" s="0" t="s">
        <v>1182</v>
      </c>
      <c r="B911" s="37" t="n">
        <v>45978</v>
      </c>
      <c r="C911" s="37" t="n">
        <v>45981</v>
      </c>
      <c r="D911" s="38" t="s">
        <v>177</v>
      </c>
      <c r="E911" s="38" t="s">
        <v>115</v>
      </c>
      <c r="F911" s="38" t="s">
        <v>102</v>
      </c>
      <c r="G911" s="38" t="s">
        <v>170</v>
      </c>
      <c r="H911" s="0" t="n">
        <v>1</v>
      </c>
      <c r="I911" s="39" t="n">
        <v>1500</v>
      </c>
      <c r="J911" s="40" t="n">
        <v>0</v>
      </c>
      <c r="K911" s="39" t="n">
        <v>1500</v>
      </c>
      <c r="L911" s="39" t="n">
        <v>850</v>
      </c>
      <c r="M911" s="39" t="n">
        <v>650</v>
      </c>
      <c r="N911" s="38" t="s">
        <v>146</v>
      </c>
      <c r="O911" s="38" t="n">
        <f aca="false">YEAR(B911)</f>
        <v>2025</v>
      </c>
      <c r="P911" s="41" t="n">
        <f aca="false">DATE(YEAR(B911),MONTH(B911),1)</f>
        <v>45962</v>
      </c>
      <c r="Q911" s="0" t="str">
        <f aca="false">INDEX(Products!$C$2:$C$16,MATCH(E911,Products!$A$2:$A$16,0))</f>
        <v>Technology</v>
      </c>
      <c r="R911" s="0" t="str">
        <f aca="false">INDEX(Customers!$F$2:$F$101,MATCH(D911,Customers!$A$2:$A$101,0))</f>
        <v>North</v>
      </c>
      <c r="S911" s="0" t="str">
        <f aca="false">INDEX(Customers!$C$2:$C$101,MATCH(D911,Customers!$A$2:$A$101,0))</f>
        <v>Consumer</v>
      </c>
      <c r="T911" s="0" t="str">
        <f aca="false">INDEX(Customers!$D$2:$D$101,MATCH(D911,Customers!$A$2:$A$101,0))</f>
        <v>Gurugram</v>
      </c>
    </row>
    <row r="912" customFormat="false" ht="15" hidden="false" customHeight="false" outlineLevel="0" collapsed="false">
      <c r="A912" s="0" t="s">
        <v>1183</v>
      </c>
      <c r="B912" s="37" t="n">
        <v>45456</v>
      </c>
      <c r="C912" s="37" t="n">
        <v>45463</v>
      </c>
      <c r="D912" s="38" t="s">
        <v>414</v>
      </c>
      <c r="E912" s="38" t="s">
        <v>118</v>
      </c>
      <c r="F912" s="38" t="s">
        <v>102</v>
      </c>
      <c r="G912" s="38" t="s">
        <v>173</v>
      </c>
      <c r="H912" s="0" t="n">
        <v>2</v>
      </c>
      <c r="I912" s="39" t="n">
        <v>9000</v>
      </c>
      <c r="J912" s="40" t="n">
        <v>0.2</v>
      </c>
      <c r="K912" s="39" t="n">
        <v>14400</v>
      </c>
      <c r="L912" s="39" t="n">
        <v>13000</v>
      </c>
      <c r="M912" s="39" t="n">
        <v>1400</v>
      </c>
      <c r="N912" s="38" t="s">
        <v>66</v>
      </c>
      <c r="O912" s="38" t="n">
        <f aca="false">YEAR(B912)</f>
        <v>2024</v>
      </c>
      <c r="P912" s="41" t="n">
        <f aca="false">DATE(YEAR(B912),MONTH(B912),1)</f>
        <v>45444</v>
      </c>
      <c r="Q912" s="0" t="str">
        <f aca="false">INDEX(Products!$C$2:$C$16,MATCH(E912,Products!$A$2:$A$16,0))</f>
        <v>Furniture</v>
      </c>
      <c r="R912" s="0" t="str">
        <f aca="false">INDEX(Customers!$F$2:$F$101,MATCH(D912,Customers!$A$2:$A$101,0))</f>
        <v>South</v>
      </c>
      <c r="S912" s="0" t="str">
        <f aca="false">INDEX(Customers!$C$2:$C$101,MATCH(D912,Customers!$A$2:$A$101,0))</f>
        <v>Small Business</v>
      </c>
      <c r="T912" s="0" t="str">
        <f aca="false">INDEX(Customers!$D$2:$D$101,MATCH(D912,Customers!$A$2:$A$101,0))</f>
        <v>Bengaluru</v>
      </c>
    </row>
    <row r="913" customFormat="false" ht="15" hidden="false" customHeight="false" outlineLevel="0" collapsed="false">
      <c r="A913" s="0" t="s">
        <v>1184</v>
      </c>
      <c r="B913" s="37" t="n">
        <v>46131</v>
      </c>
      <c r="C913" s="37" t="n">
        <v>46136</v>
      </c>
      <c r="D913" s="38" t="s">
        <v>326</v>
      </c>
      <c r="E913" s="38" t="s">
        <v>114</v>
      </c>
      <c r="F913" s="38" t="s">
        <v>100</v>
      </c>
      <c r="G913" s="38" t="s">
        <v>173</v>
      </c>
      <c r="H913" s="0" t="n">
        <v>4</v>
      </c>
      <c r="I913" s="39" t="n">
        <v>800</v>
      </c>
      <c r="J913" s="40" t="n">
        <v>0.15</v>
      </c>
      <c r="K913" s="39" t="n">
        <v>2720</v>
      </c>
      <c r="L913" s="39" t="n">
        <v>1680</v>
      </c>
      <c r="M913" s="39" t="n">
        <v>1040</v>
      </c>
      <c r="N913" s="38" t="s">
        <v>146</v>
      </c>
      <c r="O913" s="38" t="n">
        <f aca="false">YEAR(B913)</f>
        <v>2026</v>
      </c>
      <c r="P913" s="41" t="n">
        <f aca="false">DATE(YEAR(B913),MONTH(B913),1)</f>
        <v>46113</v>
      </c>
      <c r="Q913" s="0" t="str">
        <f aca="false">INDEX(Products!$C$2:$C$16,MATCH(E913,Products!$A$2:$A$16,0))</f>
        <v>Technology</v>
      </c>
      <c r="R913" s="0" t="str">
        <f aca="false">INDEX(Customers!$F$2:$F$101,MATCH(D913,Customers!$A$2:$A$101,0))</f>
        <v>North</v>
      </c>
      <c r="S913" s="0" t="str">
        <f aca="false">INDEX(Customers!$C$2:$C$101,MATCH(D913,Customers!$A$2:$A$101,0))</f>
        <v>Consumer</v>
      </c>
      <c r="T913" s="0" t="str">
        <f aca="false">INDEX(Customers!$D$2:$D$101,MATCH(D913,Customers!$A$2:$A$101,0))</f>
        <v>Gurugram</v>
      </c>
    </row>
    <row r="914" customFormat="false" ht="15" hidden="false" customHeight="false" outlineLevel="0" collapsed="false">
      <c r="A914" s="0" t="s">
        <v>1185</v>
      </c>
      <c r="B914" s="37" t="n">
        <v>46064</v>
      </c>
      <c r="C914" s="37" t="n">
        <v>46069</v>
      </c>
      <c r="D914" s="38" t="s">
        <v>219</v>
      </c>
      <c r="E914" s="38" t="s">
        <v>127</v>
      </c>
      <c r="F914" s="38" t="s">
        <v>100</v>
      </c>
      <c r="G914" s="38" t="s">
        <v>173</v>
      </c>
      <c r="H914" s="0" t="n">
        <v>1</v>
      </c>
      <c r="I914" s="39" t="n">
        <v>18000</v>
      </c>
      <c r="J914" s="40" t="n">
        <v>0.2</v>
      </c>
      <c r="K914" s="39" t="n">
        <v>14400</v>
      </c>
      <c r="L914" s="39" t="n">
        <v>14000</v>
      </c>
      <c r="M914" s="39" t="n">
        <v>400</v>
      </c>
      <c r="N914" s="38" t="s">
        <v>146</v>
      </c>
      <c r="O914" s="38" t="n">
        <f aca="false">YEAR(B914)</f>
        <v>2026</v>
      </c>
      <c r="P914" s="41" t="n">
        <f aca="false">DATE(YEAR(B914),MONTH(B914),1)</f>
        <v>46054</v>
      </c>
      <c r="Q914" s="0" t="str">
        <f aca="false">INDEX(Products!$C$2:$C$16,MATCH(E914,Products!$A$2:$A$16,0))</f>
        <v>Technology</v>
      </c>
      <c r="R914" s="0" t="str">
        <f aca="false">INDEX(Customers!$F$2:$F$101,MATCH(D914,Customers!$A$2:$A$101,0))</f>
        <v>North</v>
      </c>
      <c r="S914" s="0" t="str">
        <f aca="false">INDEX(Customers!$C$2:$C$101,MATCH(D914,Customers!$A$2:$A$101,0))</f>
        <v>Small Business</v>
      </c>
      <c r="T914" s="0" t="str">
        <f aca="false">INDEX(Customers!$D$2:$D$101,MATCH(D914,Customers!$A$2:$A$101,0))</f>
        <v>Lucknow</v>
      </c>
    </row>
    <row r="915" customFormat="false" ht="15" hidden="false" customHeight="false" outlineLevel="0" collapsed="false">
      <c r="A915" s="0" t="s">
        <v>1186</v>
      </c>
      <c r="B915" s="37" t="n">
        <v>45667</v>
      </c>
      <c r="C915" s="37" t="n">
        <v>45673</v>
      </c>
      <c r="D915" s="38" t="s">
        <v>397</v>
      </c>
      <c r="E915" s="38" t="s">
        <v>120</v>
      </c>
      <c r="F915" s="38" t="s">
        <v>102</v>
      </c>
      <c r="G915" s="38" t="s">
        <v>178</v>
      </c>
      <c r="H915" s="0" t="n">
        <v>3</v>
      </c>
      <c r="I915" s="39" t="n">
        <v>400</v>
      </c>
      <c r="J915" s="40" t="n">
        <v>0.1</v>
      </c>
      <c r="K915" s="39" t="n">
        <v>1080</v>
      </c>
      <c r="L915" s="39" t="n">
        <v>780</v>
      </c>
      <c r="M915" s="39" t="n">
        <v>300</v>
      </c>
      <c r="N915" s="38" t="s">
        <v>66</v>
      </c>
      <c r="O915" s="38" t="n">
        <f aca="false">YEAR(B915)</f>
        <v>2025</v>
      </c>
      <c r="P915" s="41" t="n">
        <f aca="false">DATE(YEAR(B915),MONTH(B915),1)</f>
        <v>45658</v>
      </c>
      <c r="Q915" s="0" t="str">
        <f aca="false">INDEX(Products!$C$2:$C$16,MATCH(E915,Products!$A$2:$A$16,0))</f>
        <v>Office Supplies</v>
      </c>
      <c r="R915" s="0" t="str">
        <f aca="false">INDEX(Customers!$F$2:$F$101,MATCH(D915,Customers!$A$2:$A$101,0))</f>
        <v>West</v>
      </c>
      <c r="S915" s="0" t="str">
        <f aca="false">INDEX(Customers!$C$2:$C$101,MATCH(D915,Customers!$A$2:$A$101,0))</f>
        <v>Consumer</v>
      </c>
      <c r="T915" s="0" t="str">
        <f aca="false">INDEX(Customers!$D$2:$D$101,MATCH(D915,Customers!$A$2:$A$101,0))</f>
        <v>Mumbai</v>
      </c>
    </row>
    <row r="916" customFormat="false" ht="15" hidden="false" customHeight="false" outlineLevel="0" collapsed="false">
      <c r="A916" s="0" t="s">
        <v>1187</v>
      </c>
      <c r="B916" s="37" t="n">
        <v>45726</v>
      </c>
      <c r="C916" s="37" t="n">
        <v>45728</v>
      </c>
      <c r="D916" s="38" t="s">
        <v>202</v>
      </c>
      <c r="E916" s="38" t="s">
        <v>119</v>
      </c>
      <c r="F916" s="38" t="s">
        <v>100</v>
      </c>
      <c r="G916" s="38" t="s">
        <v>170</v>
      </c>
      <c r="H916" s="0" t="n">
        <v>2</v>
      </c>
      <c r="I916" s="39" t="n">
        <v>250</v>
      </c>
      <c r="J916" s="40" t="n">
        <v>0.1</v>
      </c>
      <c r="K916" s="39" t="n">
        <v>450</v>
      </c>
      <c r="L916" s="39" t="n">
        <v>240</v>
      </c>
      <c r="M916" s="39" t="n">
        <v>210</v>
      </c>
      <c r="N916" s="38" t="s">
        <v>66</v>
      </c>
      <c r="O916" s="38" t="n">
        <f aca="false">YEAR(B916)</f>
        <v>2025</v>
      </c>
      <c r="P916" s="41" t="n">
        <f aca="false">DATE(YEAR(B916),MONTH(B916),1)</f>
        <v>45717</v>
      </c>
      <c r="Q916" s="0" t="str">
        <f aca="false">INDEX(Products!$C$2:$C$16,MATCH(E916,Products!$A$2:$A$16,0))</f>
        <v>Office Supplies</v>
      </c>
      <c r="R916" s="0" t="str">
        <f aca="false">INDEX(Customers!$F$2:$F$101,MATCH(D916,Customers!$A$2:$A$101,0))</f>
        <v>South</v>
      </c>
      <c r="S916" s="0" t="str">
        <f aca="false">INDEX(Customers!$C$2:$C$101,MATCH(D916,Customers!$A$2:$A$101,0))</f>
        <v>Corporate</v>
      </c>
      <c r="T916" s="0" t="str">
        <f aca="false">INDEX(Customers!$D$2:$D$101,MATCH(D916,Customers!$A$2:$A$101,0))</f>
        <v>Hyderabad</v>
      </c>
    </row>
    <row r="917" customFormat="false" ht="15" hidden="false" customHeight="false" outlineLevel="0" collapsed="false">
      <c r="A917" s="0" t="s">
        <v>1188</v>
      </c>
      <c r="B917" s="37" t="n">
        <v>45431</v>
      </c>
      <c r="C917" s="37" t="n">
        <v>45435</v>
      </c>
      <c r="D917" s="38" t="s">
        <v>369</v>
      </c>
      <c r="E917" s="38" t="s">
        <v>121</v>
      </c>
      <c r="F917" s="38" t="s">
        <v>101</v>
      </c>
      <c r="G917" s="38" t="s">
        <v>188</v>
      </c>
      <c r="H917" s="0" t="n">
        <v>4</v>
      </c>
      <c r="I917" s="39" t="n">
        <v>180</v>
      </c>
      <c r="J917" s="40" t="n">
        <v>0.2</v>
      </c>
      <c r="K917" s="39" t="n">
        <v>576</v>
      </c>
      <c r="L917" s="39" t="n">
        <v>280</v>
      </c>
      <c r="M917" s="39" t="n">
        <v>296</v>
      </c>
      <c r="N917" s="38" t="s">
        <v>66</v>
      </c>
      <c r="O917" s="38" t="n">
        <f aca="false">YEAR(B917)</f>
        <v>2024</v>
      </c>
      <c r="P917" s="41" t="n">
        <f aca="false">DATE(YEAR(B917),MONTH(B917),1)</f>
        <v>45413</v>
      </c>
      <c r="Q917" s="0" t="str">
        <f aca="false">INDEX(Products!$C$2:$C$16,MATCH(E917,Products!$A$2:$A$16,0))</f>
        <v>Office Supplies</v>
      </c>
      <c r="R917" s="0" t="str">
        <f aca="false">INDEX(Customers!$F$2:$F$101,MATCH(D917,Customers!$A$2:$A$101,0))</f>
        <v>West</v>
      </c>
      <c r="S917" s="0" t="str">
        <f aca="false">INDEX(Customers!$C$2:$C$101,MATCH(D917,Customers!$A$2:$A$101,0))</f>
        <v>Consumer</v>
      </c>
      <c r="T917" s="0" t="str">
        <f aca="false">INDEX(Customers!$D$2:$D$101,MATCH(D917,Customers!$A$2:$A$101,0))</f>
        <v>Mumbai</v>
      </c>
    </row>
    <row r="918" customFormat="false" ht="15" hidden="false" customHeight="false" outlineLevel="0" collapsed="false">
      <c r="A918" s="0" t="s">
        <v>1189</v>
      </c>
      <c r="B918" s="37" t="n">
        <v>45797</v>
      </c>
      <c r="C918" s="37" t="n">
        <v>45798</v>
      </c>
      <c r="D918" s="38" t="s">
        <v>196</v>
      </c>
      <c r="E918" s="38" t="s">
        <v>118</v>
      </c>
      <c r="F918" s="38" t="s">
        <v>102</v>
      </c>
      <c r="G918" s="38" t="s">
        <v>170</v>
      </c>
      <c r="H918" s="0" t="n">
        <v>2</v>
      </c>
      <c r="I918" s="39" t="n">
        <v>9000</v>
      </c>
      <c r="J918" s="40" t="n">
        <v>0.1</v>
      </c>
      <c r="K918" s="39" t="n">
        <v>16200</v>
      </c>
      <c r="L918" s="39" t="n">
        <v>13000</v>
      </c>
      <c r="M918" s="39" t="n">
        <v>3200</v>
      </c>
      <c r="N918" s="38" t="s">
        <v>66</v>
      </c>
      <c r="O918" s="38" t="n">
        <f aca="false">YEAR(B918)</f>
        <v>2025</v>
      </c>
      <c r="P918" s="41" t="n">
        <f aca="false">DATE(YEAR(B918),MONTH(B918),1)</f>
        <v>45778</v>
      </c>
      <c r="Q918" s="0" t="str">
        <f aca="false">INDEX(Products!$C$2:$C$16,MATCH(E918,Products!$A$2:$A$16,0))</f>
        <v>Furniture</v>
      </c>
      <c r="R918" s="0" t="str">
        <f aca="false">INDEX(Customers!$F$2:$F$101,MATCH(D918,Customers!$A$2:$A$101,0))</f>
        <v>South</v>
      </c>
      <c r="S918" s="0" t="str">
        <f aca="false">INDEX(Customers!$C$2:$C$101,MATCH(D918,Customers!$A$2:$A$101,0))</f>
        <v>Consumer</v>
      </c>
      <c r="T918" s="0" t="str">
        <f aca="false">INDEX(Customers!$D$2:$D$101,MATCH(D918,Customers!$A$2:$A$101,0))</f>
        <v>Chennai</v>
      </c>
    </row>
    <row r="919" customFormat="false" ht="15" hidden="false" customHeight="false" outlineLevel="0" collapsed="false">
      <c r="A919" s="0" t="s">
        <v>1190</v>
      </c>
      <c r="B919" s="37" t="n">
        <v>45859</v>
      </c>
      <c r="C919" s="37" t="n">
        <v>45863</v>
      </c>
      <c r="D919" s="38" t="s">
        <v>172</v>
      </c>
      <c r="E919" s="38" t="s">
        <v>116</v>
      </c>
      <c r="F919" s="38" t="s">
        <v>101</v>
      </c>
      <c r="G919" s="38" t="s">
        <v>173</v>
      </c>
      <c r="H919" s="0" t="n">
        <v>1</v>
      </c>
      <c r="I919" s="39" t="n">
        <v>12000</v>
      </c>
      <c r="J919" s="40" t="n">
        <v>0.25</v>
      </c>
      <c r="K919" s="39" t="n">
        <v>9000</v>
      </c>
      <c r="L919" s="39" t="n">
        <v>9000</v>
      </c>
      <c r="M919" s="39" t="n">
        <v>0</v>
      </c>
      <c r="N919" s="38" t="s">
        <v>66</v>
      </c>
      <c r="O919" s="38" t="n">
        <f aca="false">YEAR(B919)</f>
        <v>2025</v>
      </c>
      <c r="P919" s="41" t="n">
        <f aca="false">DATE(YEAR(B919),MONTH(B919),1)</f>
        <v>45839</v>
      </c>
      <c r="Q919" s="0" t="str">
        <f aca="false">INDEX(Products!$C$2:$C$16,MATCH(E919,Products!$A$2:$A$16,0))</f>
        <v>Technology</v>
      </c>
      <c r="R919" s="0" t="str">
        <f aca="false">INDEX(Customers!$F$2:$F$101,MATCH(D919,Customers!$A$2:$A$101,0))</f>
        <v>East</v>
      </c>
      <c r="S919" s="0" t="str">
        <f aca="false">INDEX(Customers!$C$2:$C$101,MATCH(D919,Customers!$A$2:$A$101,0))</f>
        <v>Consumer</v>
      </c>
      <c r="T919" s="0" t="str">
        <f aca="false">INDEX(Customers!$D$2:$D$101,MATCH(D919,Customers!$A$2:$A$101,0))</f>
        <v>Bhubaneswar</v>
      </c>
    </row>
    <row r="920" customFormat="false" ht="15" hidden="false" customHeight="false" outlineLevel="0" collapsed="false">
      <c r="A920" s="0" t="s">
        <v>1191</v>
      </c>
      <c r="B920" s="37" t="n">
        <v>45668</v>
      </c>
      <c r="C920" s="37" t="n">
        <v>45670</v>
      </c>
      <c r="D920" s="38" t="s">
        <v>213</v>
      </c>
      <c r="E920" s="38" t="s">
        <v>123</v>
      </c>
      <c r="F920" s="38" t="s">
        <v>101</v>
      </c>
      <c r="G920" s="38" t="s">
        <v>178</v>
      </c>
      <c r="H920" s="0" t="n">
        <v>1</v>
      </c>
      <c r="I920" s="39" t="n">
        <v>2200</v>
      </c>
      <c r="J920" s="40" t="n">
        <v>0.2</v>
      </c>
      <c r="K920" s="39" t="n">
        <v>1760</v>
      </c>
      <c r="L920" s="39" t="n">
        <v>1300</v>
      </c>
      <c r="M920" s="39" t="n">
        <v>460</v>
      </c>
      <c r="N920" s="38" t="s">
        <v>66</v>
      </c>
      <c r="O920" s="38" t="n">
        <f aca="false">YEAR(B920)</f>
        <v>2025</v>
      </c>
      <c r="P920" s="41" t="n">
        <f aca="false">DATE(YEAR(B920),MONTH(B920),1)</f>
        <v>45658</v>
      </c>
      <c r="Q920" s="0" t="str">
        <f aca="false">INDEX(Products!$C$2:$C$16,MATCH(E920,Products!$A$2:$A$16,0))</f>
        <v>Technology</v>
      </c>
      <c r="R920" s="0" t="str">
        <f aca="false">INDEX(Customers!$F$2:$F$101,MATCH(D920,Customers!$A$2:$A$101,0))</f>
        <v>North</v>
      </c>
      <c r="S920" s="0" t="str">
        <f aca="false">INDEX(Customers!$C$2:$C$101,MATCH(D920,Customers!$A$2:$A$101,0))</f>
        <v>Small Business</v>
      </c>
      <c r="T920" s="0" t="str">
        <f aca="false">INDEX(Customers!$D$2:$D$101,MATCH(D920,Customers!$A$2:$A$101,0))</f>
        <v>Gurugram</v>
      </c>
    </row>
    <row r="921" customFormat="false" ht="15" hidden="false" customHeight="false" outlineLevel="0" collapsed="false">
      <c r="A921" s="0" t="s">
        <v>1192</v>
      </c>
      <c r="B921" s="37" t="n">
        <v>45984</v>
      </c>
      <c r="C921" s="37" t="n">
        <v>45985</v>
      </c>
      <c r="D921" s="38" t="s">
        <v>433</v>
      </c>
      <c r="E921" s="38" t="s">
        <v>123</v>
      </c>
      <c r="F921" s="38" t="s">
        <v>101</v>
      </c>
      <c r="G921" s="38" t="s">
        <v>188</v>
      </c>
      <c r="H921" s="0" t="n">
        <v>1</v>
      </c>
      <c r="I921" s="39" t="n">
        <v>2200</v>
      </c>
      <c r="J921" s="40" t="n">
        <v>0.1</v>
      </c>
      <c r="K921" s="39" t="n">
        <v>1980</v>
      </c>
      <c r="L921" s="39" t="n">
        <v>1300</v>
      </c>
      <c r="M921" s="39" t="n">
        <v>680</v>
      </c>
      <c r="N921" s="38" t="s">
        <v>147</v>
      </c>
      <c r="O921" s="38" t="n">
        <f aca="false">YEAR(B921)</f>
        <v>2025</v>
      </c>
      <c r="P921" s="41" t="n">
        <f aca="false">DATE(YEAR(B921),MONTH(B921),1)</f>
        <v>45962</v>
      </c>
      <c r="Q921" s="0" t="str">
        <f aca="false">INDEX(Products!$C$2:$C$16,MATCH(E921,Products!$A$2:$A$16,0))</f>
        <v>Technology</v>
      </c>
      <c r="R921" s="0" t="str">
        <f aca="false">INDEX(Customers!$F$2:$F$101,MATCH(D921,Customers!$A$2:$A$101,0))</f>
        <v>North</v>
      </c>
      <c r="S921" s="0" t="str">
        <f aca="false">INDEX(Customers!$C$2:$C$101,MATCH(D921,Customers!$A$2:$A$101,0))</f>
        <v>Consumer</v>
      </c>
      <c r="T921" s="0" t="str">
        <f aca="false">INDEX(Customers!$D$2:$D$101,MATCH(D921,Customers!$A$2:$A$101,0))</f>
        <v>Delhi</v>
      </c>
    </row>
    <row r="922" customFormat="false" ht="15" hidden="false" customHeight="false" outlineLevel="0" collapsed="false">
      <c r="A922" s="0" t="s">
        <v>1193</v>
      </c>
      <c r="B922" s="37" t="n">
        <v>46205</v>
      </c>
      <c r="C922" s="37" t="n">
        <v>46207</v>
      </c>
      <c r="D922" s="38" t="s">
        <v>341</v>
      </c>
      <c r="E922" s="38" t="s">
        <v>127</v>
      </c>
      <c r="F922" s="38" t="s">
        <v>101</v>
      </c>
      <c r="G922" s="38" t="s">
        <v>173</v>
      </c>
      <c r="H922" s="0" t="n">
        <v>1</v>
      </c>
      <c r="I922" s="39" t="n">
        <v>18000</v>
      </c>
      <c r="J922" s="40" t="n">
        <v>0</v>
      </c>
      <c r="K922" s="39" t="n">
        <v>18000</v>
      </c>
      <c r="L922" s="39" t="n">
        <v>14000</v>
      </c>
      <c r="M922" s="39" t="n">
        <v>4000</v>
      </c>
      <c r="N922" s="38" t="s">
        <v>66</v>
      </c>
      <c r="O922" s="38" t="n">
        <f aca="false">YEAR(B922)</f>
        <v>2026</v>
      </c>
      <c r="P922" s="41" t="n">
        <f aca="false">DATE(YEAR(B922),MONTH(B922),1)</f>
        <v>46204</v>
      </c>
      <c r="Q922" s="0" t="str">
        <f aca="false">INDEX(Products!$C$2:$C$16,MATCH(E922,Products!$A$2:$A$16,0))</f>
        <v>Technology</v>
      </c>
      <c r="R922" s="0" t="str">
        <f aca="false">INDEX(Customers!$F$2:$F$101,MATCH(D922,Customers!$A$2:$A$101,0))</f>
        <v>North</v>
      </c>
      <c r="S922" s="0" t="str">
        <f aca="false">INDEX(Customers!$C$2:$C$101,MATCH(D922,Customers!$A$2:$A$101,0))</f>
        <v>Corporate</v>
      </c>
      <c r="T922" s="0" t="str">
        <f aca="false">INDEX(Customers!$D$2:$D$101,MATCH(D922,Customers!$A$2:$A$101,0))</f>
        <v>Delhi</v>
      </c>
    </row>
    <row r="923" customFormat="false" ht="15" hidden="false" customHeight="false" outlineLevel="0" collapsed="false">
      <c r="A923" s="0" t="s">
        <v>1194</v>
      </c>
      <c r="B923" s="37" t="n">
        <v>45530</v>
      </c>
      <c r="C923" s="37" t="n">
        <v>45537</v>
      </c>
      <c r="D923" s="38" t="s">
        <v>251</v>
      </c>
      <c r="E923" s="38" t="s">
        <v>114</v>
      </c>
      <c r="F923" s="38" t="s">
        <v>101</v>
      </c>
      <c r="G923" s="38" t="s">
        <v>188</v>
      </c>
      <c r="H923" s="0" t="n">
        <v>2</v>
      </c>
      <c r="I923" s="39" t="n">
        <v>800</v>
      </c>
      <c r="J923" s="40" t="n">
        <v>0.1</v>
      </c>
      <c r="K923" s="39" t="n">
        <v>1440</v>
      </c>
      <c r="L923" s="39" t="n">
        <v>840</v>
      </c>
      <c r="M923" s="39" t="n">
        <v>600</v>
      </c>
      <c r="N923" s="38" t="s">
        <v>66</v>
      </c>
      <c r="O923" s="38" t="n">
        <f aca="false">YEAR(B923)</f>
        <v>2024</v>
      </c>
      <c r="P923" s="41" t="n">
        <f aca="false">DATE(YEAR(B923),MONTH(B923),1)</f>
        <v>45505</v>
      </c>
      <c r="Q923" s="0" t="str">
        <f aca="false">INDEX(Products!$C$2:$C$16,MATCH(E923,Products!$A$2:$A$16,0))</f>
        <v>Technology</v>
      </c>
      <c r="R923" s="0" t="str">
        <f aca="false">INDEX(Customers!$F$2:$F$101,MATCH(D923,Customers!$A$2:$A$101,0))</f>
        <v>South</v>
      </c>
      <c r="S923" s="0" t="str">
        <f aca="false">INDEX(Customers!$C$2:$C$101,MATCH(D923,Customers!$A$2:$A$101,0))</f>
        <v>Corporate</v>
      </c>
      <c r="T923" s="0" t="str">
        <f aca="false">INDEX(Customers!$D$2:$D$101,MATCH(D923,Customers!$A$2:$A$101,0))</f>
        <v>Bengaluru</v>
      </c>
    </row>
    <row r="924" customFormat="false" ht="15" hidden="false" customHeight="false" outlineLevel="0" collapsed="false">
      <c r="A924" s="0" t="s">
        <v>1195</v>
      </c>
      <c r="B924" s="37" t="n">
        <v>46112</v>
      </c>
      <c r="C924" s="37" t="n">
        <v>46118</v>
      </c>
      <c r="D924" s="38" t="s">
        <v>192</v>
      </c>
      <c r="E924" s="38" t="s">
        <v>125</v>
      </c>
      <c r="F924" s="38" t="s">
        <v>101</v>
      </c>
      <c r="G924" s="38" t="s">
        <v>188</v>
      </c>
      <c r="H924" s="0" t="n">
        <v>8</v>
      </c>
      <c r="I924" s="39" t="n">
        <v>600</v>
      </c>
      <c r="J924" s="40" t="n">
        <v>0.05</v>
      </c>
      <c r="K924" s="39" t="n">
        <v>4560</v>
      </c>
      <c r="L924" s="39" t="n">
        <v>2800</v>
      </c>
      <c r="M924" s="39" t="n">
        <v>1760</v>
      </c>
      <c r="N924" s="38" t="s">
        <v>146</v>
      </c>
      <c r="O924" s="38" t="n">
        <f aca="false">YEAR(B924)</f>
        <v>2026</v>
      </c>
      <c r="P924" s="41" t="n">
        <f aca="false">DATE(YEAR(B924),MONTH(B924),1)</f>
        <v>46082</v>
      </c>
      <c r="Q924" s="0" t="str">
        <f aca="false">INDEX(Products!$C$2:$C$16,MATCH(E924,Products!$A$2:$A$16,0))</f>
        <v>Office Supplies</v>
      </c>
      <c r="R924" s="0" t="str">
        <f aca="false">INDEX(Customers!$F$2:$F$101,MATCH(D924,Customers!$A$2:$A$101,0))</f>
        <v>East</v>
      </c>
      <c r="S924" s="0" t="str">
        <f aca="false">INDEX(Customers!$C$2:$C$101,MATCH(D924,Customers!$A$2:$A$101,0))</f>
        <v>Small Business</v>
      </c>
      <c r="T924" s="0" t="str">
        <f aca="false">INDEX(Customers!$D$2:$D$101,MATCH(D924,Customers!$A$2:$A$101,0))</f>
        <v>Bhubaneswar</v>
      </c>
    </row>
    <row r="925" customFormat="false" ht="15" hidden="false" customHeight="false" outlineLevel="0" collapsed="false">
      <c r="A925" s="0" t="s">
        <v>1196</v>
      </c>
      <c r="B925" s="37" t="n">
        <v>45577</v>
      </c>
      <c r="C925" s="37" t="n">
        <v>45579</v>
      </c>
      <c r="D925" s="38" t="s">
        <v>238</v>
      </c>
      <c r="E925" s="38" t="s">
        <v>121</v>
      </c>
      <c r="F925" s="38" t="s">
        <v>100</v>
      </c>
      <c r="G925" s="38" t="s">
        <v>170</v>
      </c>
      <c r="H925" s="0" t="n">
        <v>4</v>
      </c>
      <c r="I925" s="39" t="n">
        <v>180</v>
      </c>
      <c r="J925" s="40" t="n">
        <v>0</v>
      </c>
      <c r="K925" s="39" t="n">
        <v>720</v>
      </c>
      <c r="L925" s="39" t="n">
        <v>280</v>
      </c>
      <c r="M925" s="39" t="n">
        <v>440</v>
      </c>
      <c r="N925" s="38" t="s">
        <v>66</v>
      </c>
      <c r="O925" s="38" t="n">
        <f aca="false">YEAR(B925)</f>
        <v>2024</v>
      </c>
      <c r="P925" s="41" t="n">
        <f aca="false">DATE(YEAR(B925),MONTH(B925),1)</f>
        <v>45566</v>
      </c>
      <c r="Q925" s="0" t="str">
        <f aca="false">INDEX(Products!$C$2:$C$16,MATCH(E925,Products!$A$2:$A$16,0))</f>
        <v>Office Supplies</v>
      </c>
      <c r="R925" s="0" t="str">
        <f aca="false">INDEX(Customers!$F$2:$F$101,MATCH(D925,Customers!$A$2:$A$101,0))</f>
        <v>North</v>
      </c>
      <c r="S925" s="0" t="str">
        <f aca="false">INDEX(Customers!$C$2:$C$101,MATCH(D925,Customers!$A$2:$A$101,0))</f>
        <v>Small Business</v>
      </c>
      <c r="T925" s="0" t="str">
        <f aca="false">INDEX(Customers!$D$2:$D$101,MATCH(D925,Customers!$A$2:$A$101,0))</f>
        <v>Lucknow</v>
      </c>
    </row>
    <row r="926" customFormat="false" ht="15" hidden="false" customHeight="false" outlineLevel="0" collapsed="false">
      <c r="A926" s="0" t="s">
        <v>1197</v>
      </c>
      <c r="B926" s="37" t="n">
        <v>46257</v>
      </c>
      <c r="C926" s="37" t="n">
        <v>46259</v>
      </c>
      <c r="D926" s="38" t="s">
        <v>314</v>
      </c>
      <c r="E926" s="38" t="s">
        <v>123</v>
      </c>
      <c r="F926" s="38" t="s">
        <v>100</v>
      </c>
      <c r="G926" s="38" t="s">
        <v>178</v>
      </c>
      <c r="H926" s="0" t="n">
        <v>1</v>
      </c>
      <c r="I926" s="39" t="n">
        <v>2200</v>
      </c>
      <c r="J926" s="40" t="n">
        <v>0.2</v>
      </c>
      <c r="K926" s="39" t="n">
        <v>1760</v>
      </c>
      <c r="L926" s="39" t="n">
        <v>1300</v>
      </c>
      <c r="M926" s="39" t="n">
        <v>460</v>
      </c>
      <c r="N926" s="38" t="s">
        <v>66</v>
      </c>
      <c r="O926" s="38" t="n">
        <f aca="false">YEAR(B926)</f>
        <v>2026</v>
      </c>
      <c r="P926" s="41" t="n">
        <f aca="false">DATE(YEAR(B926),MONTH(B926),1)</f>
        <v>46235</v>
      </c>
      <c r="Q926" s="0" t="str">
        <f aca="false">INDEX(Products!$C$2:$C$16,MATCH(E926,Products!$A$2:$A$16,0))</f>
        <v>Technology</v>
      </c>
      <c r="R926" s="0" t="str">
        <f aca="false">INDEX(Customers!$F$2:$F$101,MATCH(D926,Customers!$A$2:$A$101,0))</f>
        <v>North</v>
      </c>
      <c r="S926" s="0" t="str">
        <f aca="false">INDEX(Customers!$C$2:$C$101,MATCH(D926,Customers!$A$2:$A$101,0))</f>
        <v>Consumer</v>
      </c>
      <c r="T926" s="0" t="str">
        <f aca="false">INDEX(Customers!$D$2:$D$101,MATCH(D926,Customers!$A$2:$A$101,0))</f>
        <v>Gurugram</v>
      </c>
    </row>
    <row r="927" customFormat="false" ht="15" hidden="false" customHeight="false" outlineLevel="0" collapsed="false">
      <c r="A927" s="0" t="s">
        <v>1198</v>
      </c>
      <c r="B927" s="37" t="n">
        <v>45683</v>
      </c>
      <c r="C927" s="37" t="n">
        <v>45688</v>
      </c>
      <c r="D927" s="38" t="s">
        <v>221</v>
      </c>
      <c r="E927" s="38" t="s">
        <v>115</v>
      </c>
      <c r="F927" s="38" t="s">
        <v>101</v>
      </c>
      <c r="G927" s="38" t="s">
        <v>188</v>
      </c>
      <c r="H927" s="0" t="n">
        <v>3</v>
      </c>
      <c r="I927" s="39" t="n">
        <v>1500</v>
      </c>
      <c r="J927" s="40" t="n">
        <v>0</v>
      </c>
      <c r="K927" s="39" t="n">
        <v>4500</v>
      </c>
      <c r="L927" s="39" t="n">
        <v>2550</v>
      </c>
      <c r="M927" s="39" t="n">
        <v>1950</v>
      </c>
      <c r="N927" s="38" t="s">
        <v>66</v>
      </c>
      <c r="O927" s="38" t="n">
        <f aca="false">YEAR(B927)</f>
        <v>2025</v>
      </c>
      <c r="P927" s="41" t="n">
        <f aca="false">DATE(YEAR(B927),MONTH(B927),1)</f>
        <v>45658</v>
      </c>
      <c r="Q927" s="0" t="str">
        <f aca="false">INDEX(Products!$C$2:$C$16,MATCH(E927,Products!$A$2:$A$16,0))</f>
        <v>Technology</v>
      </c>
      <c r="R927" s="0" t="str">
        <f aca="false">INDEX(Customers!$F$2:$F$101,MATCH(D927,Customers!$A$2:$A$101,0))</f>
        <v>North</v>
      </c>
      <c r="S927" s="0" t="str">
        <f aca="false">INDEX(Customers!$C$2:$C$101,MATCH(D927,Customers!$A$2:$A$101,0))</f>
        <v>Consumer</v>
      </c>
      <c r="T927" s="0" t="str">
        <f aca="false">INDEX(Customers!$D$2:$D$101,MATCH(D927,Customers!$A$2:$A$101,0))</f>
        <v>Delhi</v>
      </c>
    </row>
    <row r="928" customFormat="false" ht="15" hidden="false" customHeight="false" outlineLevel="0" collapsed="false">
      <c r="A928" s="0" t="s">
        <v>1199</v>
      </c>
      <c r="B928" s="37" t="n">
        <v>45968</v>
      </c>
      <c r="C928" s="37" t="n">
        <v>45975</v>
      </c>
      <c r="D928" s="38" t="s">
        <v>270</v>
      </c>
      <c r="E928" s="38" t="s">
        <v>114</v>
      </c>
      <c r="F928" s="38" t="s">
        <v>101</v>
      </c>
      <c r="G928" s="38" t="s">
        <v>173</v>
      </c>
      <c r="H928" s="0" t="n">
        <v>2</v>
      </c>
      <c r="I928" s="39" t="n">
        <v>800</v>
      </c>
      <c r="J928" s="40" t="n">
        <v>0.1</v>
      </c>
      <c r="K928" s="39" t="n">
        <v>1440</v>
      </c>
      <c r="L928" s="39" t="n">
        <v>840</v>
      </c>
      <c r="M928" s="39" t="n">
        <v>600</v>
      </c>
      <c r="N928" s="38" t="s">
        <v>66</v>
      </c>
      <c r="O928" s="38" t="n">
        <f aca="false">YEAR(B928)</f>
        <v>2025</v>
      </c>
      <c r="P928" s="41" t="n">
        <f aca="false">DATE(YEAR(B928),MONTH(B928),1)</f>
        <v>45962</v>
      </c>
      <c r="Q928" s="0" t="str">
        <f aca="false">INDEX(Products!$C$2:$C$16,MATCH(E928,Products!$A$2:$A$16,0))</f>
        <v>Technology</v>
      </c>
      <c r="R928" s="0" t="str">
        <f aca="false">INDEX(Customers!$F$2:$F$101,MATCH(D928,Customers!$A$2:$A$101,0))</f>
        <v>West</v>
      </c>
      <c r="S928" s="0" t="str">
        <f aca="false">INDEX(Customers!$C$2:$C$101,MATCH(D928,Customers!$A$2:$A$101,0))</f>
        <v>Small Business</v>
      </c>
      <c r="T928" s="0" t="str">
        <f aca="false">INDEX(Customers!$D$2:$D$101,MATCH(D928,Customers!$A$2:$A$101,0))</f>
        <v>Pune</v>
      </c>
    </row>
    <row r="929" customFormat="false" ht="15" hidden="false" customHeight="false" outlineLevel="0" collapsed="false">
      <c r="A929" s="0" t="s">
        <v>1200</v>
      </c>
      <c r="B929" s="37" t="n">
        <v>45808</v>
      </c>
      <c r="C929" s="37" t="n">
        <v>45811</v>
      </c>
      <c r="D929" s="38" t="s">
        <v>467</v>
      </c>
      <c r="E929" s="38" t="s">
        <v>120</v>
      </c>
      <c r="F929" s="38" t="s">
        <v>102</v>
      </c>
      <c r="G929" s="38" t="s">
        <v>188</v>
      </c>
      <c r="H929" s="0" t="n">
        <v>2</v>
      </c>
      <c r="I929" s="39" t="n">
        <v>400</v>
      </c>
      <c r="J929" s="40" t="n">
        <v>0.25</v>
      </c>
      <c r="K929" s="39" t="n">
        <v>600</v>
      </c>
      <c r="L929" s="39" t="n">
        <v>520</v>
      </c>
      <c r="M929" s="39" t="n">
        <v>80</v>
      </c>
      <c r="N929" s="38" t="s">
        <v>66</v>
      </c>
      <c r="O929" s="38" t="n">
        <f aca="false">YEAR(B929)</f>
        <v>2025</v>
      </c>
      <c r="P929" s="41" t="n">
        <f aca="false">DATE(YEAR(B929),MONTH(B929),1)</f>
        <v>45778</v>
      </c>
      <c r="Q929" s="0" t="str">
        <f aca="false">INDEX(Products!$C$2:$C$16,MATCH(E929,Products!$A$2:$A$16,0))</f>
        <v>Office Supplies</v>
      </c>
      <c r="R929" s="0" t="str">
        <f aca="false">INDEX(Customers!$F$2:$F$101,MATCH(D929,Customers!$A$2:$A$101,0))</f>
        <v>West</v>
      </c>
      <c r="S929" s="0" t="str">
        <f aca="false">INDEX(Customers!$C$2:$C$101,MATCH(D929,Customers!$A$2:$A$101,0))</f>
        <v>Corporate</v>
      </c>
      <c r="T929" s="0" t="str">
        <f aca="false">INDEX(Customers!$D$2:$D$101,MATCH(D929,Customers!$A$2:$A$101,0))</f>
        <v>Ahmedabad</v>
      </c>
    </row>
    <row r="930" customFormat="false" ht="15" hidden="false" customHeight="false" outlineLevel="0" collapsed="false">
      <c r="A930" s="0" t="s">
        <v>1201</v>
      </c>
      <c r="B930" s="37" t="n">
        <v>45732</v>
      </c>
      <c r="C930" s="37" t="n">
        <v>45733</v>
      </c>
      <c r="D930" s="38" t="s">
        <v>270</v>
      </c>
      <c r="E930" s="38" t="s">
        <v>113</v>
      </c>
      <c r="F930" s="38" t="s">
        <v>101</v>
      </c>
      <c r="G930" s="38" t="s">
        <v>185</v>
      </c>
      <c r="H930" s="0" t="n">
        <v>2</v>
      </c>
      <c r="I930" s="39" t="n">
        <v>45000</v>
      </c>
      <c r="J930" s="40" t="n">
        <v>0.05</v>
      </c>
      <c r="K930" s="39" t="n">
        <v>85500</v>
      </c>
      <c r="L930" s="39" t="n">
        <v>72000</v>
      </c>
      <c r="M930" s="39" t="n">
        <v>13500</v>
      </c>
      <c r="N930" s="38" t="s">
        <v>66</v>
      </c>
      <c r="O930" s="38" t="n">
        <f aca="false">YEAR(B930)</f>
        <v>2025</v>
      </c>
      <c r="P930" s="41" t="n">
        <f aca="false">DATE(YEAR(B930),MONTH(B930),1)</f>
        <v>45717</v>
      </c>
      <c r="Q930" s="0" t="str">
        <f aca="false">INDEX(Products!$C$2:$C$16,MATCH(E930,Products!$A$2:$A$16,0))</f>
        <v>Technology</v>
      </c>
      <c r="R930" s="0" t="str">
        <f aca="false">INDEX(Customers!$F$2:$F$101,MATCH(D930,Customers!$A$2:$A$101,0))</f>
        <v>West</v>
      </c>
      <c r="S930" s="0" t="str">
        <f aca="false">INDEX(Customers!$C$2:$C$101,MATCH(D930,Customers!$A$2:$A$101,0))</f>
        <v>Small Business</v>
      </c>
      <c r="T930" s="0" t="str">
        <f aca="false">INDEX(Customers!$D$2:$D$101,MATCH(D930,Customers!$A$2:$A$101,0))</f>
        <v>Pune</v>
      </c>
    </row>
    <row r="931" customFormat="false" ht="15" hidden="false" customHeight="false" outlineLevel="0" collapsed="false">
      <c r="A931" s="0" t="s">
        <v>1202</v>
      </c>
      <c r="B931" s="37" t="n">
        <v>45862</v>
      </c>
      <c r="C931" s="37" t="n">
        <v>45868</v>
      </c>
      <c r="D931" s="38" t="s">
        <v>294</v>
      </c>
      <c r="E931" s="38" t="s">
        <v>115</v>
      </c>
      <c r="F931" s="38" t="s">
        <v>102</v>
      </c>
      <c r="G931" s="38" t="s">
        <v>173</v>
      </c>
      <c r="H931" s="0" t="n">
        <v>5</v>
      </c>
      <c r="I931" s="39" t="n">
        <v>1500</v>
      </c>
      <c r="J931" s="40" t="n">
        <v>0.05</v>
      </c>
      <c r="K931" s="39" t="n">
        <v>7125</v>
      </c>
      <c r="L931" s="39" t="n">
        <v>4250</v>
      </c>
      <c r="M931" s="39" t="n">
        <v>2875</v>
      </c>
      <c r="N931" s="38" t="s">
        <v>66</v>
      </c>
      <c r="O931" s="38" t="n">
        <f aca="false">YEAR(B931)</f>
        <v>2025</v>
      </c>
      <c r="P931" s="41" t="n">
        <f aca="false">DATE(YEAR(B931),MONTH(B931),1)</f>
        <v>45839</v>
      </c>
      <c r="Q931" s="0" t="str">
        <f aca="false">INDEX(Products!$C$2:$C$16,MATCH(E931,Products!$A$2:$A$16,0))</f>
        <v>Technology</v>
      </c>
      <c r="R931" s="0" t="str">
        <f aca="false">INDEX(Customers!$F$2:$F$101,MATCH(D931,Customers!$A$2:$A$101,0))</f>
        <v>South</v>
      </c>
      <c r="S931" s="0" t="str">
        <f aca="false">INDEX(Customers!$C$2:$C$101,MATCH(D931,Customers!$A$2:$A$101,0))</f>
        <v>Small Business</v>
      </c>
      <c r="T931" s="0" t="str">
        <f aca="false">INDEX(Customers!$D$2:$D$101,MATCH(D931,Customers!$A$2:$A$101,0))</f>
        <v>Chennai</v>
      </c>
    </row>
    <row r="932" customFormat="false" ht="15" hidden="false" customHeight="false" outlineLevel="0" collapsed="false">
      <c r="A932" s="0" t="s">
        <v>1203</v>
      </c>
      <c r="B932" s="37" t="n">
        <v>46024</v>
      </c>
      <c r="C932" s="37" t="n">
        <v>46028</v>
      </c>
      <c r="D932" s="38" t="s">
        <v>210</v>
      </c>
      <c r="E932" s="38" t="s">
        <v>117</v>
      </c>
      <c r="F932" s="38" t="s">
        <v>102</v>
      </c>
      <c r="G932" s="38" t="s">
        <v>185</v>
      </c>
      <c r="H932" s="0" t="n">
        <v>2</v>
      </c>
      <c r="I932" s="39" t="n">
        <v>6500</v>
      </c>
      <c r="J932" s="40" t="n">
        <v>0</v>
      </c>
      <c r="K932" s="39" t="n">
        <v>13000</v>
      </c>
      <c r="L932" s="39" t="n">
        <v>8400</v>
      </c>
      <c r="M932" s="39" t="n">
        <v>4600</v>
      </c>
      <c r="N932" s="38" t="s">
        <v>66</v>
      </c>
      <c r="O932" s="38" t="n">
        <f aca="false">YEAR(B932)</f>
        <v>2026</v>
      </c>
      <c r="P932" s="41" t="n">
        <f aca="false">DATE(YEAR(B932),MONTH(B932),1)</f>
        <v>46023</v>
      </c>
      <c r="Q932" s="0" t="str">
        <f aca="false">INDEX(Products!$C$2:$C$16,MATCH(E932,Products!$A$2:$A$16,0))</f>
        <v>Furniture</v>
      </c>
      <c r="R932" s="0" t="str">
        <f aca="false">INDEX(Customers!$F$2:$F$101,MATCH(D932,Customers!$A$2:$A$101,0))</f>
        <v>North</v>
      </c>
      <c r="S932" s="0" t="str">
        <f aca="false">INDEX(Customers!$C$2:$C$101,MATCH(D932,Customers!$A$2:$A$101,0))</f>
        <v>Corporate</v>
      </c>
      <c r="T932" s="0" t="str">
        <f aca="false">INDEX(Customers!$D$2:$D$101,MATCH(D932,Customers!$A$2:$A$101,0))</f>
        <v>Jaipur</v>
      </c>
    </row>
    <row r="933" customFormat="false" ht="15" hidden="false" customHeight="false" outlineLevel="0" collapsed="false">
      <c r="A933" s="0" t="s">
        <v>1204</v>
      </c>
      <c r="B933" s="37" t="n">
        <v>45877</v>
      </c>
      <c r="C933" s="37" t="n">
        <v>45881</v>
      </c>
      <c r="D933" s="38" t="s">
        <v>312</v>
      </c>
      <c r="E933" s="38" t="s">
        <v>121</v>
      </c>
      <c r="F933" s="38" t="s">
        <v>100</v>
      </c>
      <c r="G933" s="38" t="s">
        <v>188</v>
      </c>
      <c r="H933" s="0" t="n">
        <v>2</v>
      </c>
      <c r="I933" s="39" t="n">
        <v>180</v>
      </c>
      <c r="J933" s="40" t="n">
        <v>0.25</v>
      </c>
      <c r="K933" s="39" t="n">
        <v>270</v>
      </c>
      <c r="L933" s="39" t="n">
        <v>140</v>
      </c>
      <c r="M933" s="39" t="n">
        <v>130</v>
      </c>
      <c r="N933" s="38" t="s">
        <v>66</v>
      </c>
      <c r="O933" s="38" t="n">
        <f aca="false">YEAR(B933)</f>
        <v>2025</v>
      </c>
      <c r="P933" s="41" t="n">
        <f aca="false">DATE(YEAR(B933),MONTH(B933),1)</f>
        <v>45870</v>
      </c>
      <c r="Q933" s="0" t="str">
        <f aca="false">INDEX(Products!$C$2:$C$16,MATCH(E933,Products!$A$2:$A$16,0))</f>
        <v>Office Supplies</v>
      </c>
      <c r="R933" s="0" t="str">
        <f aca="false">INDEX(Customers!$F$2:$F$101,MATCH(D933,Customers!$A$2:$A$101,0))</f>
        <v>North</v>
      </c>
      <c r="S933" s="0" t="str">
        <f aca="false">INDEX(Customers!$C$2:$C$101,MATCH(D933,Customers!$A$2:$A$101,0))</f>
        <v>Corporate</v>
      </c>
      <c r="T933" s="0" t="str">
        <f aca="false">INDEX(Customers!$D$2:$D$101,MATCH(D933,Customers!$A$2:$A$101,0))</f>
        <v>Delhi</v>
      </c>
    </row>
    <row r="934" customFormat="false" ht="15" hidden="false" customHeight="false" outlineLevel="0" collapsed="false">
      <c r="A934" s="0" t="s">
        <v>1205</v>
      </c>
      <c r="B934" s="37" t="n">
        <v>45897</v>
      </c>
      <c r="C934" s="37" t="n">
        <v>45901</v>
      </c>
      <c r="D934" s="38" t="s">
        <v>234</v>
      </c>
      <c r="E934" s="38" t="s">
        <v>120</v>
      </c>
      <c r="F934" s="38" t="s">
        <v>101</v>
      </c>
      <c r="G934" s="38" t="s">
        <v>170</v>
      </c>
      <c r="H934" s="0" t="n">
        <v>3</v>
      </c>
      <c r="I934" s="39" t="n">
        <v>400</v>
      </c>
      <c r="J934" s="40" t="n">
        <v>0.05</v>
      </c>
      <c r="K934" s="39" t="n">
        <v>1140</v>
      </c>
      <c r="L934" s="39" t="n">
        <v>780</v>
      </c>
      <c r="M934" s="39" t="n">
        <v>360</v>
      </c>
      <c r="N934" s="38" t="s">
        <v>66</v>
      </c>
      <c r="O934" s="38" t="n">
        <f aca="false">YEAR(B934)</f>
        <v>2025</v>
      </c>
      <c r="P934" s="41" t="n">
        <f aca="false">DATE(YEAR(B934),MONTH(B934),1)</f>
        <v>45870</v>
      </c>
      <c r="Q934" s="0" t="str">
        <f aca="false">INDEX(Products!$C$2:$C$16,MATCH(E934,Products!$A$2:$A$16,0))</f>
        <v>Office Supplies</v>
      </c>
      <c r="R934" s="0" t="str">
        <f aca="false">INDEX(Customers!$F$2:$F$101,MATCH(D934,Customers!$A$2:$A$101,0))</f>
        <v>South</v>
      </c>
      <c r="S934" s="0" t="str">
        <f aca="false">INDEX(Customers!$C$2:$C$101,MATCH(D934,Customers!$A$2:$A$101,0))</f>
        <v>Corporate</v>
      </c>
      <c r="T934" s="0" t="str">
        <f aca="false">INDEX(Customers!$D$2:$D$101,MATCH(D934,Customers!$A$2:$A$101,0))</f>
        <v>Bengaluru</v>
      </c>
    </row>
    <row r="935" customFormat="false" ht="15" hidden="false" customHeight="false" outlineLevel="0" collapsed="false">
      <c r="A935" s="0" t="s">
        <v>1206</v>
      </c>
      <c r="B935" s="37" t="n">
        <v>45423</v>
      </c>
      <c r="C935" s="37" t="n">
        <v>45430</v>
      </c>
      <c r="D935" s="38" t="s">
        <v>244</v>
      </c>
      <c r="E935" s="38" t="s">
        <v>113</v>
      </c>
      <c r="F935" s="38" t="s">
        <v>102</v>
      </c>
      <c r="G935" s="38" t="s">
        <v>188</v>
      </c>
      <c r="H935" s="0" t="n">
        <v>2</v>
      </c>
      <c r="I935" s="39" t="n">
        <v>45000</v>
      </c>
      <c r="J935" s="40" t="n">
        <v>0.25</v>
      </c>
      <c r="K935" s="39" t="n">
        <v>67500</v>
      </c>
      <c r="L935" s="39" t="n">
        <v>72000</v>
      </c>
      <c r="M935" s="39" t="n">
        <v>-4500</v>
      </c>
      <c r="N935" s="38" t="s">
        <v>66</v>
      </c>
      <c r="O935" s="38" t="n">
        <f aca="false">YEAR(B935)</f>
        <v>2024</v>
      </c>
      <c r="P935" s="41" t="n">
        <f aca="false">DATE(YEAR(B935),MONTH(B935),1)</f>
        <v>45413</v>
      </c>
      <c r="Q935" s="0" t="str">
        <f aca="false">INDEX(Products!$C$2:$C$16,MATCH(E935,Products!$A$2:$A$16,0))</f>
        <v>Technology</v>
      </c>
      <c r="R935" s="0" t="str">
        <f aca="false">INDEX(Customers!$F$2:$F$101,MATCH(D935,Customers!$A$2:$A$101,0))</f>
        <v>North</v>
      </c>
      <c r="S935" s="0" t="str">
        <f aca="false">INDEX(Customers!$C$2:$C$101,MATCH(D935,Customers!$A$2:$A$101,0))</f>
        <v>Consumer</v>
      </c>
      <c r="T935" s="0" t="str">
        <f aca="false">INDEX(Customers!$D$2:$D$101,MATCH(D935,Customers!$A$2:$A$101,0))</f>
        <v>Gurugram</v>
      </c>
    </row>
    <row r="936" customFormat="false" ht="15" hidden="false" customHeight="false" outlineLevel="0" collapsed="false">
      <c r="A936" s="0" t="s">
        <v>1207</v>
      </c>
      <c r="B936" s="37" t="n">
        <v>45681</v>
      </c>
      <c r="C936" s="37" t="n">
        <v>45682</v>
      </c>
      <c r="D936" s="38" t="s">
        <v>180</v>
      </c>
      <c r="E936" s="38" t="s">
        <v>118</v>
      </c>
      <c r="F936" s="38" t="s">
        <v>101</v>
      </c>
      <c r="G936" s="38" t="s">
        <v>170</v>
      </c>
      <c r="H936" s="0" t="n">
        <v>2</v>
      </c>
      <c r="I936" s="39" t="n">
        <v>9000</v>
      </c>
      <c r="J936" s="40" t="n">
        <v>0.05</v>
      </c>
      <c r="K936" s="39" t="n">
        <v>17100</v>
      </c>
      <c r="L936" s="39" t="n">
        <v>13000</v>
      </c>
      <c r="M936" s="39" t="n">
        <v>4100</v>
      </c>
      <c r="N936" s="38" t="s">
        <v>66</v>
      </c>
      <c r="O936" s="38" t="n">
        <f aca="false">YEAR(B936)</f>
        <v>2025</v>
      </c>
      <c r="P936" s="41" t="n">
        <f aca="false">DATE(YEAR(B936),MONTH(B936),1)</f>
        <v>45658</v>
      </c>
      <c r="Q936" s="0" t="str">
        <f aca="false">INDEX(Products!$C$2:$C$16,MATCH(E936,Products!$A$2:$A$16,0))</f>
        <v>Furniture</v>
      </c>
      <c r="R936" s="0" t="str">
        <f aca="false">INDEX(Customers!$F$2:$F$101,MATCH(D936,Customers!$A$2:$A$101,0))</f>
        <v>West</v>
      </c>
      <c r="S936" s="0" t="str">
        <f aca="false">INDEX(Customers!$C$2:$C$101,MATCH(D936,Customers!$A$2:$A$101,0))</f>
        <v>Corporate</v>
      </c>
      <c r="T936" s="0" t="str">
        <f aca="false">INDEX(Customers!$D$2:$D$101,MATCH(D936,Customers!$A$2:$A$101,0))</f>
        <v>Mumbai</v>
      </c>
    </row>
    <row r="937" customFormat="false" ht="15" hidden="false" customHeight="false" outlineLevel="0" collapsed="false">
      <c r="A937" s="0" t="s">
        <v>1208</v>
      </c>
      <c r="B937" s="37" t="n">
        <v>45532</v>
      </c>
      <c r="C937" s="37" t="n">
        <v>45538</v>
      </c>
      <c r="D937" s="38" t="s">
        <v>230</v>
      </c>
      <c r="E937" s="38" t="s">
        <v>116</v>
      </c>
      <c r="F937" s="38" t="s">
        <v>102</v>
      </c>
      <c r="G937" s="38" t="s">
        <v>178</v>
      </c>
      <c r="H937" s="0" t="n">
        <v>2</v>
      </c>
      <c r="I937" s="39" t="n">
        <v>12000</v>
      </c>
      <c r="J937" s="40" t="n">
        <v>0</v>
      </c>
      <c r="K937" s="39" t="n">
        <v>24000</v>
      </c>
      <c r="L937" s="39" t="n">
        <v>18000</v>
      </c>
      <c r="M937" s="39" t="n">
        <v>6000</v>
      </c>
      <c r="N937" s="38" t="s">
        <v>66</v>
      </c>
      <c r="O937" s="38" t="n">
        <f aca="false">YEAR(B937)</f>
        <v>2024</v>
      </c>
      <c r="P937" s="41" t="n">
        <f aca="false">DATE(YEAR(B937),MONTH(B937),1)</f>
        <v>45505</v>
      </c>
      <c r="Q937" s="0" t="str">
        <f aca="false">INDEX(Products!$C$2:$C$16,MATCH(E937,Products!$A$2:$A$16,0))</f>
        <v>Technology</v>
      </c>
      <c r="R937" s="0" t="str">
        <f aca="false">INDEX(Customers!$F$2:$F$101,MATCH(D937,Customers!$A$2:$A$101,0))</f>
        <v>East</v>
      </c>
      <c r="S937" s="0" t="str">
        <f aca="false">INDEX(Customers!$C$2:$C$101,MATCH(D937,Customers!$A$2:$A$101,0))</f>
        <v>Consumer</v>
      </c>
      <c r="T937" s="0" t="str">
        <f aca="false">INDEX(Customers!$D$2:$D$101,MATCH(D937,Customers!$A$2:$A$101,0))</f>
        <v>Kolkata</v>
      </c>
    </row>
    <row r="938" customFormat="false" ht="15" hidden="false" customHeight="false" outlineLevel="0" collapsed="false">
      <c r="A938" s="0" t="s">
        <v>1209</v>
      </c>
      <c r="B938" s="37" t="n">
        <v>45465</v>
      </c>
      <c r="C938" s="37" t="n">
        <v>45466</v>
      </c>
      <c r="D938" s="38" t="s">
        <v>369</v>
      </c>
      <c r="E938" s="38" t="s">
        <v>118</v>
      </c>
      <c r="F938" s="38" t="s">
        <v>101</v>
      </c>
      <c r="G938" s="38" t="s">
        <v>185</v>
      </c>
      <c r="H938" s="0" t="n">
        <v>2</v>
      </c>
      <c r="I938" s="39" t="n">
        <v>9000</v>
      </c>
      <c r="J938" s="40" t="n">
        <v>0</v>
      </c>
      <c r="K938" s="39" t="n">
        <v>18000</v>
      </c>
      <c r="L938" s="39" t="n">
        <v>13000</v>
      </c>
      <c r="M938" s="39" t="n">
        <v>5000</v>
      </c>
      <c r="N938" s="38" t="s">
        <v>66</v>
      </c>
      <c r="O938" s="38" t="n">
        <f aca="false">YEAR(B938)</f>
        <v>2024</v>
      </c>
      <c r="P938" s="41" t="n">
        <f aca="false">DATE(YEAR(B938),MONTH(B938),1)</f>
        <v>45444</v>
      </c>
      <c r="Q938" s="0" t="str">
        <f aca="false">INDEX(Products!$C$2:$C$16,MATCH(E938,Products!$A$2:$A$16,0))</f>
        <v>Furniture</v>
      </c>
      <c r="R938" s="0" t="str">
        <f aca="false">INDEX(Customers!$F$2:$F$101,MATCH(D938,Customers!$A$2:$A$101,0))</f>
        <v>West</v>
      </c>
      <c r="S938" s="0" t="str">
        <f aca="false">INDEX(Customers!$C$2:$C$101,MATCH(D938,Customers!$A$2:$A$101,0))</f>
        <v>Consumer</v>
      </c>
      <c r="T938" s="0" t="str">
        <f aca="false">INDEX(Customers!$D$2:$D$101,MATCH(D938,Customers!$A$2:$A$101,0))</f>
        <v>Mumbai</v>
      </c>
    </row>
    <row r="939" customFormat="false" ht="15" hidden="false" customHeight="false" outlineLevel="0" collapsed="false">
      <c r="A939" s="0" t="s">
        <v>1210</v>
      </c>
      <c r="B939" s="37" t="n">
        <v>45312</v>
      </c>
      <c r="C939" s="37" t="n">
        <v>45318</v>
      </c>
      <c r="D939" s="38" t="s">
        <v>364</v>
      </c>
      <c r="E939" s="38" t="s">
        <v>117</v>
      </c>
      <c r="F939" s="38" t="s">
        <v>101</v>
      </c>
      <c r="G939" s="38" t="s">
        <v>185</v>
      </c>
      <c r="H939" s="0" t="n">
        <v>2</v>
      </c>
      <c r="I939" s="39" t="n">
        <v>6500</v>
      </c>
      <c r="J939" s="40" t="n">
        <v>0</v>
      </c>
      <c r="K939" s="39" t="n">
        <v>13000</v>
      </c>
      <c r="L939" s="39" t="n">
        <v>8400</v>
      </c>
      <c r="M939" s="39" t="n">
        <v>4600</v>
      </c>
      <c r="N939" s="38" t="s">
        <v>66</v>
      </c>
      <c r="O939" s="38" t="n">
        <f aca="false">YEAR(B939)</f>
        <v>2024</v>
      </c>
      <c r="P939" s="41" t="n">
        <f aca="false">DATE(YEAR(B939),MONTH(B939),1)</f>
        <v>45292</v>
      </c>
      <c r="Q939" s="0" t="str">
        <f aca="false">INDEX(Products!$C$2:$C$16,MATCH(E939,Products!$A$2:$A$16,0))</f>
        <v>Furniture</v>
      </c>
      <c r="R939" s="0" t="str">
        <f aca="false">INDEX(Customers!$F$2:$F$101,MATCH(D939,Customers!$A$2:$A$101,0))</f>
        <v>North</v>
      </c>
      <c r="S939" s="0" t="str">
        <f aca="false">INDEX(Customers!$C$2:$C$101,MATCH(D939,Customers!$A$2:$A$101,0))</f>
        <v>Corporate</v>
      </c>
      <c r="T939" s="0" t="str">
        <f aca="false">INDEX(Customers!$D$2:$D$101,MATCH(D939,Customers!$A$2:$A$101,0))</f>
        <v>Jaipur</v>
      </c>
    </row>
    <row r="940" customFormat="false" ht="15" hidden="false" customHeight="false" outlineLevel="0" collapsed="false">
      <c r="A940" s="0" t="s">
        <v>1211</v>
      </c>
      <c r="B940" s="37" t="n">
        <v>45392</v>
      </c>
      <c r="C940" s="37" t="n">
        <v>45399</v>
      </c>
      <c r="D940" s="38" t="s">
        <v>390</v>
      </c>
      <c r="E940" s="38" t="s">
        <v>122</v>
      </c>
      <c r="F940" s="38" t="s">
        <v>102</v>
      </c>
      <c r="G940" s="38" t="s">
        <v>173</v>
      </c>
      <c r="H940" s="0" t="n">
        <v>2</v>
      </c>
      <c r="I940" s="39" t="n">
        <v>5500</v>
      </c>
      <c r="J940" s="40" t="n">
        <v>0.2</v>
      </c>
      <c r="K940" s="39" t="n">
        <v>8800</v>
      </c>
      <c r="L940" s="39" t="n">
        <v>7400</v>
      </c>
      <c r="M940" s="39" t="n">
        <v>1400</v>
      </c>
      <c r="N940" s="38" t="s">
        <v>66</v>
      </c>
      <c r="O940" s="38" t="n">
        <f aca="false">YEAR(B940)</f>
        <v>2024</v>
      </c>
      <c r="P940" s="41" t="n">
        <f aca="false">DATE(YEAR(B940),MONTH(B940),1)</f>
        <v>45383</v>
      </c>
      <c r="Q940" s="0" t="str">
        <f aca="false">INDEX(Products!$C$2:$C$16,MATCH(E940,Products!$A$2:$A$16,0))</f>
        <v>Furniture</v>
      </c>
      <c r="R940" s="0" t="str">
        <f aca="false">INDEX(Customers!$F$2:$F$101,MATCH(D940,Customers!$A$2:$A$101,0))</f>
        <v>South</v>
      </c>
      <c r="S940" s="0" t="str">
        <f aca="false">INDEX(Customers!$C$2:$C$101,MATCH(D940,Customers!$A$2:$A$101,0))</f>
        <v>Consumer</v>
      </c>
      <c r="T940" s="0" t="str">
        <f aca="false">INDEX(Customers!$D$2:$D$101,MATCH(D940,Customers!$A$2:$A$101,0))</f>
        <v>Chennai</v>
      </c>
    </row>
    <row r="941" customFormat="false" ht="15" hidden="false" customHeight="false" outlineLevel="0" collapsed="false">
      <c r="A941" s="0" t="s">
        <v>1212</v>
      </c>
      <c r="B941" s="37" t="n">
        <v>46075</v>
      </c>
      <c r="C941" s="37" t="n">
        <v>46081</v>
      </c>
      <c r="D941" s="38" t="s">
        <v>190</v>
      </c>
      <c r="E941" s="38" t="s">
        <v>125</v>
      </c>
      <c r="F941" s="38" t="s">
        <v>101</v>
      </c>
      <c r="G941" s="38" t="s">
        <v>170</v>
      </c>
      <c r="H941" s="0" t="n">
        <v>2</v>
      </c>
      <c r="I941" s="39" t="n">
        <v>600</v>
      </c>
      <c r="J941" s="40" t="n">
        <v>0.15</v>
      </c>
      <c r="K941" s="39" t="n">
        <v>1020</v>
      </c>
      <c r="L941" s="39" t="n">
        <v>700</v>
      </c>
      <c r="M941" s="39" t="n">
        <v>320</v>
      </c>
      <c r="N941" s="38" t="s">
        <v>146</v>
      </c>
      <c r="O941" s="38" t="n">
        <f aca="false">YEAR(B941)</f>
        <v>2026</v>
      </c>
      <c r="P941" s="41" t="n">
        <f aca="false">DATE(YEAR(B941),MONTH(B941),1)</f>
        <v>46054</v>
      </c>
      <c r="Q941" s="0" t="str">
        <f aca="false">INDEX(Products!$C$2:$C$16,MATCH(E941,Products!$A$2:$A$16,0))</f>
        <v>Office Supplies</v>
      </c>
      <c r="R941" s="0" t="str">
        <f aca="false">INDEX(Customers!$F$2:$F$101,MATCH(D941,Customers!$A$2:$A$101,0))</f>
        <v>East</v>
      </c>
      <c r="S941" s="0" t="str">
        <f aca="false">INDEX(Customers!$C$2:$C$101,MATCH(D941,Customers!$A$2:$A$101,0))</f>
        <v>Corporate</v>
      </c>
      <c r="T941" s="0" t="str">
        <f aca="false">INDEX(Customers!$D$2:$D$101,MATCH(D941,Customers!$A$2:$A$101,0))</f>
        <v>Kolkata</v>
      </c>
    </row>
    <row r="942" customFormat="false" ht="15" hidden="false" customHeight="false" outlineLevel="0" collapsed="false">
      <c r="A942" s="0" t="s">
        <v>1213</v>
      </c>
      <c r="B942" s="37" t="n">
        <v>45942</v>
      </c>
      <c r="C942" s="37" t="n">
        <v>45949</v>
      </c>
      <c r="D942" s="38" t="s">
        <v>177</v>
      </c>
      <c r="E942" s="38" t="s">
        <v>120</v>
      </c>
      <c r="F942" s="38" t="s">
        <v>102</v>
      </c>
      <c r="G942" s="38" t="s">
        <v>173</v>
      </c>
      <c r="H942" s="0" t="n">
        <v>8</v>
      </c>
      <c r="I942" s="39" t="n">
        <v>400</v>
      </c>
      <c r="J942" s="40" t="n">
        <v>0</v>
      </c>
      <c r="K942" s="39" t="n">
        <v>3200</v>
      </c>
      <c r="L942" s="39" t="n">
        <v>2080</v>
      </c>
      <c r="M942" s="39" t="n">
        <v>1120</v>
      </c>
      <c r="N942" s="38" t="s">
        <v>66</v>
      </c>
      <c r="O942" s="38" t="n">
        <f aca="false">YEAR(B942)</f>
        <v>2025</v>
      </c>
      <c r="P942" s="41" t="n">
        <f aca="false">DATE(YEAR(B942),MONTH(B942),1)</f>
        <v>45931</v>
      </c>
      <c r="Q942" s="0" t="str">
        <f aca="false">INDEX(Products!$C$2:$C$16,MATCH(E942,Products!$A$2:$A$16,0))</f>
        <v>Office Supplies</v>
      </c>
      <c r="R942" s="0" t="str">
        <f aca="false">INDEX(Customers!$F$2:$F$101,MATCH(D942,Customers!$A$2:$A$101,0))</f>
        <v>North</v>
      </c>
      <c r="S942" s="0" t="str">
        <f aca="false">INDEX(Customers!$C$2:$C$101,MATCH(D942,Customers!$A$2:$A$101,0))</f>
        <v>Consumer</v>
      </c>
      <c r="T942" s="0" t="str">
        <f aca="false">INDEX(Customers!$D$2:$D$101,MATCH(D942,Customers!$A$2:$A$101,0))</f>
        <v>Gurugram</v>
      </c>
    </row>
    <row r="943" customFormat="false" ht="15" hidden="false" customHeight="false" outlineLevel="0" collapsed="false">
      <c r="A943" s="0" t="s">
        <v>1214</v>
      </c>
      <c r="B943" s="37" t="n">
        <v>45879</v>
      </c>
      <c r="C943" s="37" t="n">
        <v>45883</v>
      </c>
      <c r="D943" s="38" t="s">
        <v>278</v>
      </c>
      <c r="E943" s="38" t="s">
        <v>117</v>
      </c>
      <c r="F943" s="38" t="s">
        <v>102</v>
      </c>
      <c r="G943" s="38" t="s">
        <v>178</v>
      </c>
      <c r="H943" s="0" t="n">
        <v>4</v>
      </c>
      <c r="I943" s="39" t="n">
        <v>6500</v>
      </c>
      <c r="J943" s="40" t="n">
        <v>0.15</v>
      </c>
      <c r="K943" s="39" t="n">
        <v>22100</v>
      </c>
      <c r="L943" s="39" t="n">
        <v>16800</v>
      </c>
      <c r="M943" s="39" t="n">
        <v>5300</v>
      </c>
      <c r="N943" s="38" t="s">
        <v>66</v>
      </c>
      <c r="O943" s="38" t="n">
        <f aca="false">YEAR(B943)</f>
        <v>2025</v>
      </c>
      <c r="P943" s="41" t="n">
        <f aca="false">DATE(YEAR(B943),MONTH(B943),1)</f>
        <v>45870</v>
      </c>
      <c r="Q943" s="0" t="str">
        <f aca="false">INDEX(Products!$C$2:$C$16,MATCH(E943,Products!$A$2:$A$16,0))</f>
        <v>Furniture</v>
      </c>
      <c r="R943" s="0" t="str">
        <f aca="false">INDEX(Customers!$F$2:$F$101,MATCH(D943,Customers!$A$2:$A$101,0))</f>
        <v>South</v>
      </c>
      <c r="S943" s="0" t="str">
        <f aca="false">INDEX(Customers!$C$2:$C$101,MATCH(D943,Customers!$A$2:$A$101,0))</f>
        <v>Consumer</v>
      </c>
      <c r="T943" s="0" t="str">
        <f aca="false">INDEX(Customers!$D$2:$D$101,MATCH(D943,Customers!$A$2:$A$101,0))</f>
        <v>Hyderabad</v>
      </c>
    </row>
    <row r="944" customFormat="false" ht="15" hidden="false" customHeight="false" outlineLevel="0" collapsed="false">
      <c r="A944" s="0" t="s">
        <v>1215</v>
      </c>
      <c r="B944" s="37" t="n">
        <v>45898</v>
      </c>
      <c r="C944" s="37" t="n">
        <v>45901</v>
      </c>
      <c r="D944" s="38" t="s">
        <v>200</v>
      </c>
      <c r="E944" s="38" t="s">
        <v>114</v>
      </c>
      <c r="F944" s="38" t="s">
        <v>102</v>
      </c>
      <c r="G944" s="38" t="s">
        <v>185</v>
      </c>
      <c r="H944" s="0" t="n">
        <v>1</v>
      </c>
      <c r="I944" s="39" t="n">
        <v>800</v>
      </c>
      <c r="J944" s="40" t="n">
        <v>0.15</v>
      </c>
      <c r="K944" s="39" t="n">
        <v>680</v>
      </c>
      <c r="L944" s="39" t="n">
        <v>420</v>
      </c>
      <c r="M944" s="39" t="n">
        <v>260</v>
      </c>
      <c r="N944" s="38" t="s">
        <v>66</v>
      </c>
      <c r="O944" s="38" t="n">
        <f aca="false">YEAR(B944)</f>
        <v>2025</v>
      </c>
      <c r="P944" s="41" t="n">
        <f aca="false">DATE(YEAR(B944),MONTH(B944),1)</f>
        <v>45870</v>
      </c>
      <c r="Q944" s="0" t="str">
        <f aca="false">INDEX(Products!$C$2:$C$16,MATCH(E944,Products!$A$2:$A$16,0))</f>
        <v>Technology</v>
      </c>
      <c r="R944" s="0" t="str">
        <f aca="false">INDEX(Customers!$F$2:$F$101,MATCH(D944,Customers!$A$2:$A$101,0))</f>
        <v>West</v>
      </c>
      <c r="S944" s="0" t="str">
        <f aca="false">INDEX(Customers!$C$2:$C$101,MATCH(D944,Customers!$A$2:$A$101,0))</f>
        <v>Corporate</v>
      </c>
      <c r="T944" s="0" t="str">
        <f aca="false">INDEX(Customers!$D$2:$D$101,MATCH(D944,Customers!$A$2:$A$101,0))</f>
        <v>Mumbai</v>
      </c>
    </row>
    <row r="945" customFormat="false" ht="15" hidden="false" customHeight="false" outlineLevel="0" collapsed="false">
      <c r="A945" s="0" t="s">
        <v>1216</v>
      </c>
      <c r="B945" s="37" t="n">
        <v>45370</v>
      </c>
      <c r="C945" s="37" t="n">
        <v>45376</v>
      </c>
      <c r="D945" s="38" t="s">
        <v>414</v>
      </c>
      <c r="E945" s="38" t="s">
        <v>125</v>
      </c>
      <c r="F945" s="38" t="s">
        <v>101</v>
      </c>
      <c r="G945" s="38" t="s">
        <v>185</v>
      </c>
      <c r="H945" s="0" t="n">
        <v>5</v>
      </c>
      <c r="I945" s="39" t="n">
        <v>600</v>
      </c>
      <c r="J945" s="40" t="n">
        <v>0.15</v>
      </c>
      <c r="K945" s="39" t="n">
        <v>2550</v>
      </c>
      <c r="L945" s="39" t="n">
        <v>1750</v>
      </c>
      <c r="M945" s="39" t="n">
        <v>800</v>
      </c>
      <c r="N945" s="38" t="s">
        <v>66</v>
      </c>
      <c r="O945" s="38" t="n">
        <f aca="false">YEAR(B945)</f>
        <v>2024</v>
      </c>
      <c r="P945" s="41" t="n">
        <f aca="false">DATE(YEAR(B945),MONTH(B945),1)</f>
        <v>45352</v>
      </c>
      <c r="Q945" s="0" t="str">
        <f aca="false">INDEX(Products!$C$2:$C$16,MATCH(E945,Products!$A$2:$A$16,0))</f>
        <v>Office Supplies</v>
      </c>
      <c r="R945" s="0" t="str">
        <f aca="false">INDEX(Customers!$F$2:$F$101,MATCH(D945,Customers!$A$2:$A$101,0))</f>
        <v>South</v>
      </c>
      <c r="S945" s="0" t="str">
        <f aca="false">INDEX(Customers!$C$2:$C$101,MATCH(D945,Customers!$A$2:$A$101,0))</f>
        <v>Small Business</v>
      </c>
      <c r="T945" s="0" t="str">
        <f aca="false">INDEX(Customers!$D$2:$D$101,MATCH(D945,Customers!$A$2:$A$101,0))</f>
        <v>Bengaluru</v>
      </c>
    </row>
    <row r="946" customFormat="false" ht="15" hidden="false" customHeight="false" outlineLevel="0" collapsed="false">
      <c r="A946" s="0" t="s">
        <v>1217</v>
      </c>
      <c r="B946" s="37" t="n">
        <v>45716</v>
      </c>
      <c r="C946" s="37" t="n">
        <v>45720</v>
      </c>
      <c r="D946" s="38" t="s">
        <v>298</v>
      </c>
      <c r="E946" s="38" t="s">
        <v>116</v>
      </c>
      <c r="F946" s="38" t="s">
        <v>101</v>
      </c>
      <c r="G946" s="38" t="s">
        <v>188</v>
      </c>
      <c r="H946" s="0" t="n">
        <v>1</v>
      </c>
      <c r="I946" s="39" t="n">
        <v>12000</v>
      </c>
      <c r="J946" s="40" t="n">
        <v>0.15</v>
      </c>
      <c r="K946" s="39" t="n">
        <v>10200</v>
      </c>
      <c r="L946" s="39" t="n">
        <v>9000</v>
      </c>
      <c r="M946" s="39" t="n">
        <v>1200</v>
      </c>
      <c r="N946" s="38" t="s">
        <v>66</v>
      </c>
      <c r="O946" s="38" t="n">
        <f aca="false">YEAR(B946)</f>
        <v>2025</v>
      </c>
      <c r="P946" s="41" t="n">
        <f aca="false">DATE(YEAR(B946),MONTH(B946),1)</f>
        <v>45689</v>
      </c>
      <c r="Q946" s="0" t="str">
        <f aca="false">INDEX(Products!$C$2:$C$16,MATCH(E946,Products!$A$2:$A$16,0))</f>
        <v>Technology</v>
      </c>
      <c r="R946" s="0" t="str">
        <f aca="false">INDEX(Customers!$F$2:$F$101,MATCH(D946,Customers!$A$2:$A$101,0))</f>
        <v>North</v>
      </c>
      <c r="S946" s="0" t="str">
        <f aca="false">INDEX(Customers!$C$2:$C$101,MATCH(D946,Customers!$A$2:$A$101,0))</f>
        <v>Consumer</v>
      </c>
      <c r="T946" s="0" t="str">
        <f aca="false">INDEX(Customers!$D$2:$D$101,MATCH(D946,Customers!$A$2:$A$101,0))</f>
        <v>Lucknow</v>
      </c>
    </row>
    <row r="947" customFormat="false" ht="15" hidden="false" customHeight="false" outlineLevel="0" collapsed="false">
      <c r="A947" s="0" t="s">
        <v>1218</v>
      </c>
      <c r="B947" s="37" t="n">
        <v>46012</v>
      </c>
      <c r="C947" s="37" t="n">
        <v>46017</v>
      </c>
      <c r="D947" s="38" t="s">
        <v>675</v>
      </c>
      <c r="E947" s="38" t="s">
        <v>123</v>
      </c>
      <c r="F947" s="38" t="s">
        <v>101</v>
      </c>
      <c r="G947" s="38" t="s">
        <v>173</v>
      </c>
      <c r="H947" s="0" t="n">
        <v>5</v>
      </c>
      <c r="I947" s="39" t="n">
        <v>2200</v>
      </c>
      <c r="J947" s="40" t="n">
        <v>0.15</v>
      </c>
      <c r="K947" s="39" t="n">
        <v>9350</v>
      </c>
      <c r="L947" s="39" t="n">
        <v>6500</v>
      </c>
      <c r="M947" s="39" t="n">
        <v>2850</v>
      </c>
      <c r="N947" s="38" t="s">
        <v>66</v>
      </c>
      <c r="O947" s="38" t="n">
        <f aca="false">YEAR(B947)</f>
        <v>2025</v>
      </c>
      <c r="P947" s="41" t="n">
        <f aca="false">DATE(YEAR(B947),MONTH(B947),1)</f>
        <v>45992</v>
      </c>
      <c r="Q947" s="0" t="str">
        <f aca="false">INDEX(Products!$C$2:$C$16,MATCH(E947,Products!$A$2:$A$16,0))</f>
        <v>Technology</v>
      </c>
      <c r="R947" s="0" t="str">
        <f aca="false">INDEX(Customers!$F$2:$F$101,MATCH(D947,Customers!$A$2:$A$101,0))</f>
        <v>East</v>
      </c>
      <c r="S947" s="0" t="str">
        <f aca="false">INDEX(Customers!$C$2:$C$101,MATCH(D947,Customers!$A$2:$A$101,0))</f>
        <v>Small Business</v>
      </c>
      <c r="T947" s="0" t="str">
        <f aca="false">INDEX(Customers!$D$2:$D$101,MATCH(D947,Customers!$A$2:$A$101,0))</f>
        <v>Kolkata</v>
      </c>
    </row>
    <row r="948" customFormat="false" ht="15" hidden="false" customHeight="false" outlineLevel="0" collapsed="false">
      <c r="A948" s="0" t="s">
        <v>1219</v>
      </c>
      <c r="B948" s="37" t="n">
        <v>45566</v>
      </c>
      <c r="C948" s="37" t="n">
        <v>45572</v>
      </c>
      <c r="D948" s="38" t="s">
        <v>242</v>
      </c>
      <c r="E948" s="38" t="s">
        <v>120</v>
      </c>
      <c r="F948" s="38" t="s">
        <v>101</v>
      </c>
      <c r="G948" s="38" t="s">
        <v>188</v>
      </c>
      <c r="H948" s="0" t="n">
        <v>2</v>
      </c>
      <c r="I948" s="39" t="n">
        <v>400</v>
      </c>
      <c r="J948" s="40" t="n">
        <v>0.15</v>
      </c>
      <c r="K948" s="39" t="n">
        <v>680</v>
      </c>
      <c r="L948" s="39" t="n">
        <v>520</v>
      </c>
      <c r="M948" s="39" t="n">
        <v>160</v>
      </c>
      <c r="N948" s="38" t="s">
        <v>66</v>
      </c>
      <c r="O948" s="38" t="n">
        <f aca="false">YEAR(B948)</f>
        <v>2024</v>
      </c>
      <c r="P948" s="41" t="n">
        <f aca="false">DATE(YEAR(B948),MONTH(B948),1)</f>
        <v>45566</v>
      </c>
      <c r="Q948" s="0" t="str">
        <f aca="false">INDEX(Products!$C$2:$C$16,MATCH(E948,Products!$A$2:$A$16,0))</f>
        <v>Office Supplies</v>
      </c>
      <c r="R948" s="0" t="str">
        <f aca="false">INDEX(Customers!$F$2:$F$101,MATCH(D948,Customers!$A$2:$A$101,0))</f>
        <v>North</v>
      </c>
      <c r="S948" s="0" t="str">
        <f aca="false">INDEX(Customers!$C$2:$C$101,MATCH(D948,Customers!$A$2:$A$101,0))</f>
        <v>Small Business</v>
      </c>
      <c r="T948" s="0" t="str">
        <f aca="false">INDEX(Customers!$D$2:$D$101,MATCH(D948,Customers!$A$2:$A$101,0))</f>
        <v>Gurugram</v>
      </c>
    </row>
    <row r="949" customFormat="false" ht="15" hidden="false" customHeight="false" outlineLevel="0" collapsed="false">
      <c r="A949" s="0" t="s">
        <v>1220</v>
      </c>
      <c r="B949" s="37" t="n">
        <v>45497</v>
      </c>
      <c r="C949" s="37" t="n">
        <v>45500</v>
      </c>
      <c r="D949" s="38" t="s">
        <v>454</v>
      </c>
      <c r="E949" s="38" t="s">
        <v>121</v>
      </c>
      <c r="F949" s="38" t="s">
        <v>100</v>
      </c>
      <c r="G949" s="38" t="s">
        <v>170</v>
      </c>
      <c r="H949" s="0" t="n">
        <v>2</v>
      </c>
      <c r="I949" s="39" t="n">
        <v>180</v>
      </c>
      <c r="J949" s="40" t="n">
        <v>0</v>
      </c>
      <c r="K949" s="39" t="n">
        <v>360</v>
      </c>
      <c r="L949" s="39" t="n">
        <v>140</v>
      </c>
      <c r="M949" s="39" t="n">
        <v>220</v>
      </c>
      <c r="N949" s="38" t="s">
        <v>66</v>
      </c>
      <c r="O949" s="38" t="n">
        <f aca="false">YEAR(B949)</f>
        <v>2024</v>
      </c>
      <c r="P949" s="41" t="n">
        <f aca="false">DATE(YEAR(B949),MONTH(B949),1)</f>
        <v>45474</v>
      </c>
      <c r="Q949" s="0" t="str">
        <f aca="false">INDEX(Products!$C$2:$C$16,MATCH(E949,Products!$A$2:$A$16,0))</f>
        <v>Office Supplies</v>
      </c>
      <c r="R949" s="0" t="str">
        <f aca="false">INDEX(Customers!$F$2:$F$101,MATCH(D949,Customers!$A$2:$A$101,0))</f>
        <v>West</v>
      </c>
      <c r="S949" s="0" t="str">
        <f aca="false">INDEX(Customers!$C$2:$C$101,MATCH(D949,Customers!$A$2:$A$101,0))</f>
        <v>Consumer</v>
      </c>
      <c r="T949" s="0" t="str">
        <f aca="false">INDEX(Customers!$D$2:$D$101,MATCH(D949,Customers!$A$2:$A$101,0))</f>
        <v>Pune</v>
      </c>
    </row>
    <row r="950" customFormat="false" ht="15" hidden="false" customHeight="false" outlineLevel="0" collapsed="false">
      <c r="A950" s="0" t="s">
        <v>1221</v>
      </c>
      <c r="B950" s="37" t="n">
        <v>46172</v>
      </c>
      <c r="C950" s="37" t="n">
        <v>46179</v>
      </c>
      <c r="D950" s="38" t="s">
        <v>198</v>
      </c>
      <c r="E950" s="38" t="s">
        <v>118</v>
      </c>
      <c r="F950" s="38" t="s">
        <v>100</v>
      </c>
      <c r="G950" s="38" t="s">
        <v>185</v>
      </c>
      <c r="H950" s="0" t="n">
        <v>6</v>
      </c>
      <c r="I950" s="39" t="n">
        <v>9000</v>
      </c>
      <c r="J950" s="40" t="n">
        <v>0.2</v>
      </c>
      <c r="K950" s="39" t="n">
        <v>43200</v>
      </c>
      <c r="L950" s="39" t="n">
        <v>39000</v>
      </c>
      <c r="M950" s="39" t="n">
        <v>4200</v>
      </c>
      <c r="N950" s="38" t="s">
        <v>66</v>
      </c>
      <c r="O950" s="38" t="n">
        <f aca="false">YEAR(B950)</f>
        <v>2026</v>
      </c>
      <c r="P950" s="41" t="n">
        <f aca="false">DATE(YEAR(B950),MONTH(B950),1)</f>
        <v>46143</v>
      </c>
      <c r="Q950" s="0" t="str">
        <f aca="false">INDEX(Products!$C$2:$C$16,MATCH(E950,Products!$A$2:$A$16,0))</f>
        <v>Furniture</v>
      </c>
      <c r="R950" s="0" t="str">
        <f aca="false">INDEX(Customers!$F$2:$F$101,MATCH(D950,Customers!$A$2:$A$101,0))</f>
        <v>North</v>
      </c>
      <c r="S950" s="0" t="str">
        <f aca="false">INDEX(Customers!$C$2:$C$101,MATCH(D950,Customers!$A$2:$A$101,0))</f>
        <v>Consumer</v>
      </c>
      <c r="T950" s="0" t="str">
        <f aca="false">INDEX(Customers!$D$2:$D$101,MATCH(D950,Customers!$A$2:$A$101,0))</f>
        <v>Gurugram</v>
      </c>
    </row>
    <row r="951" customFormat="false" ht="15" hidden="false" customHeight="false" outlineLevel="0" collapsed="false">
      <c r="A951" s="0" t="s">
        <v>1222</v>
      </c>
      <c r="B951" s="37" t="n">
        <v>45456</v>
      </c>
      <c r="C951" s="37" t="n">
        <v>45459</v>
      </c>
      <c r="D951" s="38" t="s">
        <v>175</v>
      </c>
      <c r="E951" s="38" t="s">
        <v>123</v>
      </c>
      <c r="F951" s="38" t="s">
        <v>101</v>
      </c>
      <c r="G951" s="38" t="s">
        <v>173</v>
      </c>
      <c r="H951" s="0" t="n">
        <v>3</v>
      </c>
      <c r="I951" s="39" t="n">
        <v>2200</v>
      </c>
      <c r="J951" s="40" t="n">
        <v>0</v>
      </c>
      <c r="K951" s="39" t="n">
        <v>6600</v>
      </c>
      <c r="L951" s="39" t="n">
        <v>3900</v>
      </c>
      <c r="M951" s="39" t="n">
        <v>2700</v>
      </c>
      <c r="N951" s="38" t="s">
        <v>66</v>
      </c>
      <c r="O951" s="38" t="n">
        <f aca="false">YEAR(B951)</f>
        <v>2024</v>
      </c>
      <c r="P951" s="41" t="n">
        <f aca="false">DATE(YEAR(B951),MONTH(B951),1)</f>
        <v>45444</v>
      </c>
      <c r="Q951" s="0" t="str">
        <f aca="false">INDEX(Products!$C$2:$C$16,MATCH(E951,Products!$A$2:$A$16,0))</f>
        <v>Technology</v>
      </c>
      <c r="R951" s="0" t="str">
        <f aca="false">INDEX(Customers!$F$2:$F$101,MATCH(D951,Customers!$A$2:$A$101,0))</f>
        <v>North</v>
      </c>
      <c r="S951" s="0" t="str">
        <f aca="false">INDEX(Customers!$C$2:$C$101,MATCH(D951,Customers!$A$2:$A$101,0))</f>
        <v>Corporate</v>
      </c>
      <c r="T951" s="0" t="str">
        <f aca="false">INDEX(Customers!$D$2:$D$101,MATCH(D951,Customers!$A$2:$A$101,0))</f>
        <v>Jaipur</v>
      </c>
    </row>
    <row r="952" customFormat="false" ht="15" hidden="false" customHeight="false" outlineLevel="0" collapsed="false">
      <c r="A952" s="0" t="s">
        <v>1223</v>
      </c>
      <c r="B952" s="37" t="n">
        <v>45543</v>
      </c>
      <c r="C952" s="37" t="n">
        <v>45550</v>
      </c>
      <c r="D952" s="38" t="s">
        <v>236</v>
      </c>
      <c r="E952" s="38" t="s">
        <v>113</v>
      </c>
      <c r="F952" s="38" t="s">
        <v>101</v>
      </c>
      <c r="G952" s="38" t="s">
        <v>188</v>
      </c>
      <c r="H952" s="0" t="n">
        <v>5</v>
      </c>
      <c r="I952" s="39" t="n">
        <v>45000</v>
      </c>
      <c r="J952" s="40" t="n">
        <v>0.1</v>
      </c>
      <c r="K952" s="39" t="n">
        <v>202500</v>
      </c>
      <c r="L952" s="39" t="n">
        <v>180000</v>
      </c>
      <c r="M952" s="39" t="n">
        <v>22500</v>
      </c>
      <c r="N952" s="38" t="s">
        <v>147</v>
      </c>
      <c r="O952" s="38" t="n">
        <f aca="false">YEAR(B952)</f>
        <v>2024</v>
      </c>
      <c r="P952" s="41" t="n">
        <f aca="false">DATE(YEAR(B952),MONTH(B952),1)</f>
        <v>45536</v>
      </c>
      <c r="Q952" s="0" t="str">
        <f aca="false">INDEX(Products!$C$2:$C$16,MATCH(E952,Products!$A$2:$A$16,0))</f>
        <v>Technology</v>
      </c>
      <c r="R952" s="0" t="str">
        <f aca="false">INDEX(Customers!$F$2:$F$101,MATCH(D952,Customers!$A$2:$A$101,0))</f>
        <v>West</v>
      </c>
      <c r="S952" s="0" t="str">
        <f aca="false">INDEX(Customers!$C$2:$C$101,MATCH(D952,Customers!$A$2:$A$101,0))</f>
        <v>Small Business</v>
      </c>
      <c r="T952" s="0" t="str">
        <f aca="false">INDEX(Customers!$D$2:$D$101,MATCH(D952,Customers!$A$2:$A$101,0))</f>
        <v>Pune</v>
      </c>
    </row>
    <row r="953" customFormat="false" ht="15" hidden="false" customHeight="false" outlineLevel="0" collapsed="false">
      <c r="A953" s="0" t="s">
        <v>1224</v>
      </c>
      <c r="B953" s="37" t="n">
        <v>46219</v>
      </c>
      <c r="C953" s="37" t="n">
        <v>46220</v>
      </c>
      <c r="D953" s="38" t="s">
        <v>367</v>
      </c>
      <c r="E953" s="38" t="s">
        <v>123</v>
      </c>
      <c r="F953" s="38" t="s">
        <v>100</v>
      </c>
      <c r="G953" s="38" t="s">
        <v>178</v>
      </c>
      <c r="H953" s="0" t="n">
        <v>1</v>
      </c>
      <c r="I953" s="39" t="n">
        <v>2200</v>
      </c>
      <c r="J953" s="40" t="n">
        <v>0.05</v>
      </c>
      <c r="K953" s="39" t="n">
        <v>2090</v>
      </c>
      <c r="L953" s="39" t="n">
        <v>1300</v>
      </c>
      <c r="M953" s="39" t="n">
        <v>790</v>
      </c>
      <c r="N953" s="38" t="s">
        <v>66</v>
      </c>
      <c r="O953" s="38" t="n">
        <f aca="false">YEAR(B953)</f>
        <v>2026</v>
      </c>
      <c r="P953" s="41" t="n">
        <f aca="false">DATE(YEAR(B953),MONTH(B953),1)</f>
        <v>46204</v>
      </c>
      <c r="Q953" s="0" t="str">
        <f aca="false">INDEX(Products!$C$2:$C$16,MATCH(E953,Products!$A$2:$A$16,0))</f>
        <v>Technology</v>
      </c>
      <c r="R953" s="0" t="str">
        <f aca="false">INDEX(Customers!$F$2:$F$101,MATCH(D953,Customers!$A$2:$A$101,0))</f>
        <v>West</v>
      </c>
      <c r="S953" s="0" t="str">
        <f aca="false">INDEX(Customers!$C$2:$C$101,MATCH(D953,Customers!$A$2:$A$101,0))</f>
        <v>Corporate</v>
      </c>
      <c r="T953" s="0" t="str">
        <f aca="false">INDEX(Customers!$D$2:$D$101,MATCH(D953,Customers!$A$2:$A$101,0))</f>
        <v>Ahmedabad</v>
      </c>
    </row>
    <row r="954" customFormat="false" ht="15" hidden="false" customHeight="false" outlineLevel="0" collapsed="false">
      <c r="A954" s="0" t="s">
        <v>1225</v>
      </c>
      <c r="B954" s="37" t="n">
        <v>45855</v>
      </c>
      <c r="C954" s="37" t="n">
        <v>45857</v>
      </c>
      <c r="D954" s="38" t="s">
        <v>194</v>
      </c>
      <c r="E954" s="38" t="s">
        <v>123</v>
      </c>
      <c r="F954" s="38" t="s">
        <v>102</v>
      </c>
      <c r="G954" s="38" t="s">
        <v>185</v>
      </c>
      <c r="H954" s="0" t="n">
        <v>3</v>
      </c>
      <c r="I954" s="39" t="n">
        <v>2200</v>
      </c>
      <c r="J954" s="40" t="n">
        <v>0</v>
      </c>
      <c r="K954" s="39" t="n">
        <v>6600</v>
      </c>
      <c r="L954" s="39" t="n">
        <v>3900</v>
      </c>
      <c r="M954" s="39" t="n">
        <v>2700</v>
      </c>
      <c r="N954" s="38" t="s">
        <v>66</v>
      </c>
      <c r="O954" s="38" t="n">
        <f aca="false">YEAR(B954)</f>
        <v>2025</v>
      </c>
      <c r="P954" s="41" t="n">
        <f aca="false">DATE(YEAR(B954),MONTH(B954),1)</f>
        <v>45839</v>
      </c>
      <c r="Q954" s="0" t="str">
        <f aca="false">INDEX(Products!$C$2:$C$16,MATCH(E954,Products!$A$2:$A$16,0))</f>
        <v>Technology</v>
      </c>
      <c r="R954" s="0" t="str">
        <f aca="false">INDEX(Customers!$F$2:$F$101,MATCH(D954,Customers!$A$2:$A$101,0))</f>
        <v>North</v>
      </c>
      <c r="S954" s="0" t="str">
        <f aca="false">INDEX(Customers!$C$2:$C$101,MATCH(D954,Customers!$A$2:$A$101,0))</f>
        <v>Small Business</v>
      </c>
      <c r="T954" s="0" t="str">
        <f aca="false">INDEX(Customers!$D$2:$D$101,MATCH(D954,Customers!$A$2:$A$101,0))</f>
        <v>Gurugram</v>
      </c>
    </row>
    <row r="955" customFormat="false" ht="15" hidden="false" customHeight="false" outlineLevel="0" collapsed="false">
      <c r="A955" s="0" t="s">
        <v>1226</v>
      </c>
      <c r="B955" s="37" t="n">
        <v>46210</v>
      </c>
      <c r="C955" s="37" t="n">
        <v>46211</v>
      </c>
      <c r="D955" s="38" t="s">
        <v>454</v>
      </c>
      <c r="E955" s="38" t="s">
        <v>126</v>
      </c>
      <c r="F955" s="38" t="s">
        <v>100</v>
      </c>
      <c r="G955" s="38" t="s">
        <v>185</v>
      </c>
      <c r="H955" s="0" t="n">
        <v>2</v>
      </c>
      <c r="I955" s="39" t="n">
        <v>1200</v>
      </c>
      <c r="J955" s="40" t="n">
        <v>0.05</v>
      </c>
      <c r="K955" s="39" t="n">
        <v>2280</v>
      </c>
      <c r="L955" s="39" t="n">
        <v>1400</v>
      </c>
      <c r="M955" s="39" t="n">
        <v>880</v>
      </c>
      <c r="N955" s="38" t="s">
        <v>66</v>
      </c>
      <c r="O955" s="38" t="n">
        <f aca="false">YEAR(B955)</f>
        <v>2026</v>
      </c>
      <c r="P955" s="41" t="n">
        <f aca="false">DATE(YEAR(B955),MONTH(B955),1)</f>
        <v>46204</v>
      </c>
      <c r="Q955" s="0" t="str">
        <f aca="false">INDEX(Products!$C$2:$C$16,MATCH(E955,Products!$A$2:$A$16,0))</f>
        <v>Furniture</v>
      </c>
      <c r="R955" s="0" t="str">
        <f aca="false">INDEX(Customers!$F$2:$F$101,MATCH(D955,Customers!$A$2:$A$101,0))</f>
        <v>West</v>
      </c>
      <c r="S955" s="0" t="str">
        <f aca="false">INDEX(Customers!$C$2:$C$101,MATCH(D955,Customers!$A$2:$A$101,0))</f>
        <v>Consumer</v>
      </c>
      <c r="T955" s="0" t="str">
        <f aca="false">INDEX(Customers!$D$2:$D$101,MATCH(D955,Customers!$A$2:$A$101,0))</f>
        <v>Pune</v>
      </c>
    </row>
    <row r="956" customFormat="false" ht="15" hidden="false" customHeight="false" outlineLevel="0" collapsed="false">
      <c r="A956" s="0" t="s">
        <v>1227</v>
      </c>
      <c r="B956" s="37" t="n">
        <v>46198</v>
      </c>
      <c r="C956" s="37" t="n">
        <v>46199</v>
      </c>
      <c r="D956" s="38" t="s">
        <v>232</v>
      </c>
      <c r="E956" s="38" t="s">
        <v>123</v>
      </c>
      <c r="F956" s="38" t="s">
        <v>102</v>
      </c>
      <c r="G956" s="38" t="s">
        <v>173</v>
      </c>
      <c r="H956" s="0" t="n">
        <v>2</v>
      </c>
      <c r="I956" s="39" t="n">
        <v>2200</v>
      </c>
      <c r="J956" s="40" t="n">
        <v>0.25</v>
      </c>
      <c r="K956" s="39" t="n">
        <v>3300</v>
      </c>
      <c r="L956" s="39" t="n">
        <v>2600</v>
      </c>
      <c r="M956" s="39" t="n">
        <v>700</v>
      </c>
      <c r="N956" s="38" t="s">
        <v>66</v>
      </c>
      <c r="O956" s="38" t="n">
        <f aca="false">YEAR(B956)</f>
        <v>2026</v>
      </c>
      <c r="P956" s="41" t="n">
        <f aca="false">DATE(YEAR(B956),MONTH(B956),1)</f>
        <v>46174</v>
      </c>
      <c r="Q956" s="0" t="str">
        <f aca="false">INDEX(Products!$C$2:$C$16,MATCH(E956,Products!$A$2:$A$16,0))</f>
        <v>Technology</v>
      </c>
      <c r="R956" s="0" t="str">
        <f aca="false">INDEX(Customers!$F$2:$F$101,MATCH(D956,Customers!$A$2:$A$101,0))</f>
        <v>West</v>
      </c>
      <c r="S956" s="0" t="str">
        <f aca="false">INDEX(Customers!$C$2:$C$101,MATCH(D956,Customers!$A$2:$A$101,0))</f>
        <v>Consumer</v>
      </c>
      <c r="T956" s="0" t="str">
        <f aca="false">INDEX(Customers!$D$2:$D$101,MATCH(D956,Customers!$A$2:$A$101,0))</f>
        <v>Ahmedabad</v>
      </c>
    </row>
    <row r="957" customFormat="false" ht="15" hidden="false" customHeight="false" outlineLevel="0" collapsed="false">
      <c r="A957" s="0" t="s">
        <v>1228</v>
      </c>
      <c r="B957" s="37" t="n">
        <v>45804</v>
      </c>
      <c r="C957" s="37" t="n">
        <v>45805</v>
      </c>
      <c r="D957" s="38" t="s">
        <v>409</v>
      </c>
      <c r="E957" s="38" t="s">
        <v>124</v>
      </c>
      <c r="F957" s="38" t="s">
        <v>102</v>
      </c>
      <c r="G957" s="38" t="s">
        <v>188</v>
      </c>
      <c r="H957" s="0" t="n">
        <v>2</v>
      </c>
      <c r="I957" s="39" t="n">
        <v>3000</v>
      </c>
      <c r="J957" s="40" t="n">
        <v>0.25</v>
      </c>
      <c r="K957" s="39" t="n">
        <v>4500</v>
      </c>
      <c r="L957" s="39" t="n">
        <v>3800</v>
      </c>
      <c r="M957" s="39" t="n">
        <v>700</v>
      </c>
      <c r="N957" s="38" t="s">
        <v>66</v>
      </c>
      <c r="O957" s="38" t="n">
        <f aca="false">YEAR(B957)</f>
        <v>2025</v>
      </c>
      <c r="P957" s="41" t="n">
        <f aca="false">DATE(YEAR(B957),MONTH(B957),1)</f>
        <v>45778</v>
      </c>
      <c r="Q957" s="0" t="str">
        <f aca="false">INDEX(Products!$C$2:$C$16,MATCH(E957,Products!$A$2:$A$16,0))</f>
        <v>Technology</v>
      </c>
      <c r="R957" s="0" t="str">
        <f aca="false">INDEX(Customers!$F$2:$F$101,MATCH(D957,Customers!$A$2:$A$101,0))</f>
        <v>East</v>
      </c>
      <c r="S957" s="0" t="str">
        <f aca="false">INDEX(Customers!$C$2:$C$101,MATCH(D957,Customers!$A$2:$A$101,0))</f>
        <v>Small Business</v>
      </c>
      <c r="T957" s="0" t="str">
        <f aca="false">INDEX(Customers!$D$2:$D$101,MATCH(D957,Customers!$A$2:$A$101,0))</f>
        <v>Bhubaneswar</v>
      </c>
    </row>
    <row r="958" customFormat="false" ht="15" hidden="false" customHeight="false" outlineLevel="0" collapsed="false">
      <c r="A958" s="0" t="s">
        <v>1229</v>
      </c>
      <c r="B958" s="37" t="n">
        <v>45906</v>
      </c>
      <c r="C958" s="37" t="n">
        <v>45907</v>
      </c>
      <c r="D958" s="38" t="s">
        <v>283</v>
      </c>
      <c r="E958" s="38" t="s">
        <v>116</v>
      </c>
      <c r="F958" s="38" t="s">
        <v>101</v>
      </c>
      <c r="G958" s="38" t="s">
        <v>188</v>
      </c>
      <c r="H958" s="0" t="n">
        <v>4</v>
      </c>
      <c r="I958" s="39" t="n">
        <v>12000</v>
      </c>
      <c r="J958" s="40" t="n">
        <v>0.05</v>
      </c>
      <c r="K958" s="39" t="n">
        <v>45600</v>
      </c>
      <c r="L958" s="39" t="n">
        <v>36000</v>
      </c>
      <c r="M958" s="39" t="n">
        <v>9600</v>
      </c>
      <c r="N958" s="38" t="s">
        <v>66</v>
      </c>
      <c r="O958" s="38" t="n">
        <f aca="false">YEAR(B958)</f>
        <v>2025</v>
      </c>
      <c r="P958" s="41" t="n">
        <f aca="false">DATE(YEAR(B958),MONTH(B958),1)</f>
        <v>45901</v>
      </c>
      <c r="Q958" s="0" t="str">
        <f aca="false">INDEX(Products!$C$2:$C$16,MATCH(E958,Products!$A$2:$A$16,0))</f>
        <v>Technology</v>
      </c>
      <c r="R958" s="0" t="str">
        <f aca="false">INDEX(Customers!$F$2:$F$101,MATCH(D958,Customers!$A$2:$A$101,0))</f>
        <v>West</v>
      </c>
      <c r="S958" s="0" t="str">
        <f aca="false">INDEX(Customers!$C$2:$C$101,MATCH(D958,Customers!$A$2:$A$101,0))</f>
        <v>Small Business</v>
      </c>
      <c r="T958" s="0" t="str">
        <f aca="false">INDEX(Customers!$D$2:$D$101,MATCH(D958,Customers!$A$2:$A$101,0))</f>
        <v>Mumbai</v>
      </c>
    </row>
    <row r="959" customFormat="false" ht="15" hidden="false" customHeight="false" outlineLevel="0" collapsed="false">
      <c r="A959" s="0" t="s">
        <v>1230</v>
      </c>
      <c r="B959" s="37" t="n">
        <v>45533</v>
      </c>
      <c r="C959" s="37" t="n">
        <v>45537</v>
      </c>
      <c r="D959" s="38" t="s">
        <v>242</v>
      </c>
      <c r="E959" s="38" t="s">
        <v>124</v>
      </c>
      <c r="F959" s="38" t="s">
        <v>100</v>
      </c>
      <c r="G959" s="38" t="s">
        <v>173</v>
      </c>
      <c r="H959" s="0" t="n">
        <v>1</v>
      </c>
      <c r="I959" s="39" t="n">
        <v>3000</v>
      </c>
      <c r="J959" s="40" t="n">
        <v>0</v>
      </c>
      <c r="K959" s="39" t="n">
        <v>3000</v>
      </c>
      <c r="L959" s="39" t="n">
        <v>1900</v>
      </c>
      <c r="M959" s="39" t="n">
        <v>1100</v>
      </c>
      <c r="N959" s="38" t="s">
        <v>146</v>
      </c>
      <c r="O959" s="38" t="n">
        <f aca="false">YEAR(B959)</f>
        <v>2024</v>
      </c>
      <c r="P959" s="41" t="n">
        <f aca="false">DATE(YEAR(B959),MONTH(B959),1)</f>
        <v>45505</v>
      </c>
      <c r="Q959" s="0" t="str">
        <f aca="false">INDEX(Products!$C$2:$C$16,MATCH(E959,Products!$A$2:$A$16,0))</f>
        <v>Technology</v>
      </c>
      <c r="R959" s="0" t="str">
        <f aca="false">INDEX(Customers!$F$2:$F$101,MATCH(D959,Customers!$A$2:$A$101,0))</f>
        <v>North</v>
      </c>
      <c r="S959" s="0" t="str">
        <f aca="false">INDEX(Customers!$C$2:$C$101,MATCH(D959,Customers!$A$2:$A$101,0))</f>
        <v>Small Business</v>
      </c>
      <c r="T959" s="0" t="str">
        <f aca="false">INDEX(Customers!$D$2:$D$101,MATCH(D959,Customers!$A$2:$A$101,0))</f>
        <v>Gurugram</v>
      </c>
    </row>
    <row r="960" customFormat="false" ht="15" hidden="false" customHeight="false" outlineLevel="0" collapsed="false">
      <c r="A960" s="0" t="s">
        <v>1231</v>
      </c>
      <c r="B960" s="37" t="n">
        <v>45552</v>
      </c>
      <c r="C960" s="37" t="n">
        <v>45559</v>
      </c>
      <c r="D960" s="38" t="s">
        <v>172</v>
      </c>
      <c r="E960" s="38" t="s">
        <v>119</v>
      </c>
      <c r="F960" s="38" t="s">
        <v>102</v>
      </c>
      <c r="G960" s="38" t="s">
        <v>170</v>
      </c>
      <c r="H960" s="0" t="n">
        <v>3</v>
      </c>
      <c r="I960" s="39" t="n">
        <v>250</v>
      </c>
      <c r="J960" s="40" t="n">
        <v>0.1</v>
      </c>
      <c r="K960" s="39" t="n">
        <v>675</v>
      </c>
      <c r="L960" s="39" t="n">
        <v>360</v>
      </c>
      <c r="M960" s="39" t="n">
        <v>315</v>
      </c>
      <c r="N960" s="38" t="s">
        <v>66</v>
      </c>
      <c r="O960" s="38" t="n">
        <f aca="false">YEAR(B960)</f>
        <v>2024</v>
      </c>
      <c r="P960" s="41" t="n">
        <f aca="false">DATE(YEAR(B960),MONTH(B960),1)</f>
        <v>45536</v>
      </c>
      <c r="Q960" s="0" t="str">
        <f aca="false">INDEX(Products!$C$2:$C$16,MATCH(E960,Products!$A$2:$A$16,0))</f>
        <v>Office Supplies</v>
      </c>
      <c r="R960" s="0" t="str">
        <f aca="false">INDEX(Customers!$F$2:$F$101,MATCH(D960,Customers!$A$2:$A$101,0))</f>
        <v>East</v>
      </c>
      <c r="S960" s="0" t="str">
        <f aca="false">INDEX(Customers!$C$2:$C$101,MATCH(D960,Customers!$A$2:$A$101,0))</f>
        <v>Consumer</v>
      </c>
      <c r="T960" s="0" t="str">
        <f aca="false">INDEX(Customers!$D$2:$D$101,MATCH(D960,Customers!$A$2:$A$101,0))</f>
        <v>Bhubaneswar</v>
      </c>
    </row>
    <row r="961" customFormat="false" ht="15" hidden="false" customHeight="false" outlineLevel="0" collapsed="false">
      <c r="A961" s="0" t="s">
        <v>1232</v>
      </c>
      <c r="B961" s="37" t="n">
        <v>45850</v>
      </c>
      <c r="C961" s="37" t="n">
        <v>45854</v>
      </c>
      <c r="D961" s="38" t="s">
        <v>369</v>
      </c>
      <c r="E961" s="38" t="s">
        <v>118</v>
      </c>
      <c r="F961" s="38" t="s">
        <v>101</v>
      </c>
      <c r="G961" s="38" t="s">
        <v>173</v>
      </c>
      <c r="H961" s="0" t="n">
        <v>2</v>
      </c>
      <c r="I961" s="39" t="n">
        <v>9000</v>
      </c>
      <c r="J961" s="40" t="n">
        <v>0</v>
      </c>
      <c r="K961" s="39" t="n">
        <v>18000</v>
      </c>
      <c r="L961" s="39" t="n">
        <v>13000</v>
      </c>
      <c r="M961" s="39" t="n">
        <v>5000</v>
      </c>
      <c r="N961" s="38" t="s">
        <v>66</v>
      </c>
      <c r="O961" s="38" t="n">
        <f aca="false">YEAR(B961)</f>
        <v>2025</v>
      </c>
      <c r="P961" s="41" t="n">
        <f aca="false">DATE(YEAR(B961),MONTH(B961),1)</f>
        <v>45839</v>
      </c>
      <c r="Q961" s="0" t="str">
        <f aca="false">INDEX(Products!$C$2:$C$16,MATCH(E961,Products!$A$2:$A$16,0))</f>
        <v>Furniture</v>
      </c>
      <c r="R961" s="0" t="str">
        <f aca="false">INDEX(Customers!$F$2:$F$101,MATCH(D961,Customers!$A$2:$A$101,0))</f>
        <v>West</v>
      </c>
      <c r="S961" s="0" t="str">
        <f aca="false">INDEX(Customers!$C$2:$C$101,MATCH(D961,Customers!$A$2:$A$101,0))</f>
        <v>Consumer</v>
      </c>
      <c r="T961" s="0" t="str">
        <f aca="false">INDEX(Customers!$D$2:$D$101,MATCH(D961,Customers!$A$2:$A$101,0))</f>
        <v>Mumbai</v>
      </c>
    </row>
    <row r="962" customFormat="false" ht="15" hidden="false" customHeight="false" outlineLevel="0" collapsed="false">
      <c r="A962" s="0" t="s">
        <v>1233</v>
      </c>
      <c r="B962" s="37" t="n">
        <v>46133</v>
      </c>
      <c r="C962" s="37" t="n">
        <v>46136</v>
      </c>
      <c r="D962" s="38" t="s">
        <v>285</v>
      </c>
      <c r="E962" s="38" t="s">
        <v>118</v>
      </c>
      <c r="F962" s="38" t="s">
        <v>100</v>
      </c>
      <c r="G962" s="38" t="s">
        <v>178</v>
      </c>
      <c r="H962" s="0" t="n">
        <v>1</v>
      </c>
      <c r="I962" s="39" t="n">
        <v>9000</v>
      </c>
      <c r="J962" s="40" t="n">
        <v>0.15</v>
      </c>
      <c r="K962" s="39" t="n">
        <v>7650</v>
      </c>
      <c r="L962" s="39" t="n">
        <v>6500</v>
      </c>
      <c r="M962" s="39" t="n">
        <v>1150</v>
      </c>
      <c r="N962" s="38" t="s">
        <v>66</v>
      </c>
      <c r="O962" s="38" t="n">
        <f aca="false">YEAR(B962)</f>
        <v>2026</v>
      </c>
      <c r="P962" s="41" t="n">
        <f aca="false">DATE(YEAR(B962),MONTH(B962),1)</f>
        <v>46113</v>
      </c>
      <c r="Q962" s="0" t="str">
        <f aca="false">INDEX(Products!$C$2:$C$16,MATCH(E962,Products!$A$2:$A$16,0))</f>
        <v>Furniture</v>
      </c>
      <c r="R962" s="0" t="str">
        <f aca="false">INDEX(Customers!$F$2:$F$101,MATCH(D962,Customers!$A$2:$A$101,0))</f>
        <v>South</v>
      </c>
      <c r="S962" s="0" t="str">
        <f aca="false">INDEX(Customers!$C$2:$C$101,MATCH(D962,Customers!$A$2:$A$101,0))</f>
        <v>Small Business</v>
      </c>
      <c r="T962" s="0" t="str">
        <f aca="false">INDEX(Customers!$D$2:$D$101,MATCH(D962,Customers!$A$2:$A$101,0))</f>
        <v>Hyderabad</v>
      </c>
    </row>
    <row r="963" customFormat="false" ht="15" hidden="false" customHeight="false" outlineLevel="0" collapsed="false">
      <c r="A963" s="0" t="s">
        <v>1234</v>
      </c>
      <c r="B963" s="37" t="n">
        <v>45551</v>
      </c>
      <c r="C963" s="37" t="n">
        <v>45556</v>
      </c>
      <c r="D963" s="38" t="s">
        <v>232</v>
      </c>
      <c r="E963" s="38" t="s">
        <v>116</v>
      </c>
      <c r="F963" s="38" t="s">
        <v>102</v>
      </c>
      <c r="G963" s="38" t="s">
        <v>170</v>
      </c>
      <c r="H963" s="0" t="n">
        <v>2</v>
      </c>
      <c r="I963" s="39" t="n">
        <v>12000</v>
      </c>
      <c r="J963" s="40" t="n">
        <v>0.2</v>
      </c>
      <c r="K963" s="39" t="n">
        <v>19200</v>
      </c>
      <c r="L963" s="39" t="n">
        <v>18000</v>
      </c>
      <c r="M963" s="39" t="n">
        <v>1200</v>
      </c>
      <c r="N963" s="38" t="s">
        <v>66</v>
      </c>
      <c r="O963" s="38" t="n">
        <f aca="false">YEAR(B963)</f>
        <v>2024</v>
      </c>
      <c r="P963" s="41" t="n">
        <f aca="false">DATE(YEAR(B963),MONTH(B963),1)</f>
        <v>45536</v>
      </c>
      <c r="Q963" s="0" t="str">
        <f aca="false">INDEX(Products!$C$2:$C$16,MATCH(E963,Products!$A$2:$A$16,0))</f>
        <v>Technology</v>
      </c>
      <c r="R963" s="0" t="str">
        <f aca="false">INDEX(Customers!$F$2:$F$101,MATCH(D963,Customers!$A$2:$A$101,0))</f>
        <v>West</v>
      </c>
      <c r="S963" s="0" t="str">
        <f aca="false">INDEX(Customers!$C$2:$C$101,MATCH(D963,Customers!$A$2:$A$101,0))</f>
        <v>Consumer</v>
      </c>
      <c r="T963" s="0" t="str">
        <f aca="false">INDEX(Customers!$D$2:$D$101,MATCH(D963,Customers!$A$2:$A$101,0))</f>
        <v>Ahmedabad</v>
      </c>
    </row>
    <row r="964" customFormat="false" ht="15" hidden="false" customHeight="false" outlineLevel="0" collapsed="false">
      <c r="A964" s="0" t="s">
        <v>1235</v>
      </c>
      <c r="B964" s="37" t="n">
        <v>45839</v>
      </c>
      <c r="C964" s="37" t="n">
        <v>45846</v>
      </c>
      <c r="D964" s="38" t="s">
        <v>312</v>
      </c>
      <c r="E964" s="38" t="s">
        <v>114</v>
      </c>
      <c r="F964" s="38" t="s">
        <v>101</v>
      </c>
      <c r="G964" s="38" t="s">
        <v>178</v>
      </c>
      <c r="H964" s="0" t="n">
        <v>1</v>
      </c>
      <c r="I964" s="39" t="n">
        <v>800</v>
      </c>
      <c r="J964" s="40" t="n">
        <v>0.1</v>
      </c>
      <c r="K964" s="39" t="n">
        <v>720</v>
      </c>
      <c r="L964" s="39" t="n">
        <v>420</v>
      </c>
      <c r="M964" s="39" t="n">
        <v>300</v>
      </c>
      <c r="N964" s="38" t="s">
        <v>66</v>
      </c>
      <c r="O964" s="38" t="n">
        <f aca="false">YEAR(B964)</f>
        <v>2025</v>
      </c>
      <c r="P964" s="41" t="n">
        <f aca="false">DATE(YEAR(B964),MONTH(B964),1)</f>
        <v>45839</v>
      </c>
      <c r="Q964" s="0" t="str">
        <f aca="false">INDEX(Products!$C$2:$C$16,MATCH(E964,Products!$A$2:$A$16,0))</f>
        <v>Technology</v>
      </c>
      <c r="R964" s="0" t="str">
        <f aca="false">INDEX(Customers!$F$2:$F$101,MATCH(D964,Customers!$A$2:$A$101,0))</f>
        <v>North</v>
      </c>
      <c r="S964" s="0" t="str">
        <f aca="false">INDEX(Customers!$C$2:$C$101,MATCH(D964,Customers!$A$2:$A$101,0))</f>
        <v>Corporate</v>
      </c>
      <c r="T964" s="0" t="str">
        <f aca="false">INDEX(Customers!$D$2:$D$101,MATCH(D964,Customers!$A$2:$A$101,0))</f>
        <v>Delhi</v>
      </c>
    </row>
    <row r="965" customFormat="false" ht="15" hidden="false" customHeight="false" outlineLevel="0" collapsed="false">
      <c r="A965" s="0" t="s">
        <v>1236</v>
      </c>
      <c r="B965" s="37" t="n">
        <v>46231</v>
      </c>
      <c r="C965" s="37" t="n">
        <v>46234</v>
      </c>
      <c r="D965" s="38" t="s">
        <v>371</v>
      </c>
      <c r="E965" s="38" t="s">
        <v>127</v>
      </c>
      <c r="F965" s="38" t="s">
        <v>100</v>
      </c>
      <c r="G965" s="38" t="s">
        <v>170</v>
      </c>
      <c r="H965" s="0" t="n">
        <v>2</v>
      </c>
      <c r="I965" s="39" t="n">
        <v>18000</v>
      </c>
      <c r="J965" s="40" t="n">
        <v>0.25</v>
      </c>
      <c r="K965" s="39" t="n">
        <v>27000</v>
      </c>
      <c r="L965" s="39" t="n">
        <v>28000</v>
      </c>
      <c r="M965" s="39" t="n">
        <v>-1000</v>
      </c>
      <c r="N965" s="38" t="s">
        <v>66</v>
      </c>
      <c r="O965" s="38" t="n">
        <f aca="false">YEAR(B965)</f>
        <v>2026</v>
      </c>
      <c r="P965" s="41" t="n">
        <f aca="false">DATE(YEAR(B965),MONTH(B965),1)</f>
        <v>46204</v>
      </c>
      <c r="Q965" s="0" t="str">
        <f aca="false">INDEX(Products!$C$2:$C$16,MATCH(E965,Products!$A$2:$A$16,0))</f>
        <v>Technology</v>
      </c>
      <c r="R965" s="0" t="str">
        <f aca="false">INDEX(Customers!$F$2:$F$101,MATCH(D965,Customers!$A$2:$A$101,0))</f>
        <v>South</v>
      </c>
      <c r="S965" s="0" t="str">
        <f aca="false">INDEX(Customers!$C$2:$C$101,MATCH(D965,Customers!$A$2:$A$101,0))</f>
        <v>Consumer</v>
      </c>
      <c r="T965" s="0" t="str">
        <f aca="false">INDEX(Customers!$D$2:$D$101,MATCH(D965,Customers!$A$2:$A$101,0))</f>
        <v>Bengaluru</v>
      </c>
    </row>
    <row r="966" customFormat="false" ht="15" hidden="false" customHeight="false" outlineLevel="0" collapsed="false">
      <c r="A966" s="0" t="s">
        <v>1237</v>
      </c>
      <c r="B966" s="37" t="n">
        <v>45741</v>
      </c>
      <c r="C966" s="37" t="n">
        <v>45747</v>
      </c>
      <c r="D966" s="38" t="s">
        <v>404</v>
      </c>
      <c r="E966" s="38" t="s">
        <v>127</v>
      </c>
      <c r="F966" s="38" t="s">
        <v>102</v>
      </c>
      <c r="G966" s="38" t="s">
        <v>185</v>
      </c>
      <c r="H966" s="0" t="n">
        <v>2</v>
      </c>
      <c r="I966" s="39" t="n">
        <v>18000</v>
      </c>
      <c r="J966" s="40" t="n">
        <v>0.25</v>
      </c>
      <c r="K966" s="39" t="n">
        <v>27000</v>
      </c>
      <c r="L966" s="39" t="n">
        <v>28000</v>
      </c>
      <c r="M966" s="39" t="n">
        <v>-1000</v>
      </c>
      <c r="N966" s="38" t="s">
        <v>66</v>
      </c>
      <c r="O966" s="38" t="n">
        <f aca="false">YEAR(B966)</f>
        <v>2025</v>
      </c>
      <c r="P966" s="41" t="n">
        <f aca="false">DATE(YEAR(B966),MONTH(B966),1)</f>
        <v>45717</v>
      </c>
      <c r="Q966" s="0" t="str">
        <f aca="false">INDEX(Products!$C$2:$C$16,MATCH(E966,Products!$A$2:$A$16,0))</f>
        <v>Technology</v>
      </c>
      <c r="R966" s="0" t="str">
        <f aca="false">INDEX(Customers!$F$2:$F$101,MATCH(D966,Customers!$A$2:$A$101,0))</f>
        <v>West</v>
      </c>
      <c r="S966" s="0" t="str">
        <f aca="false">INDEX(Customers!$C$2:$C$101,MATCH(D966,Customers!$A$2:$A$101,0))</f>
        <v>Small Business</v>
      </c>
      <c r="T966" s="0" t="str">
        <f aca="false">INDEX(Customers!$D$2:$D$101,MATCH(D966,Customers!$A$2:$A$101,0))</f>
        <v>Mumbai</v>
      </c>
    </row>
    <row r="967" customFormat="false" ht="15" hidden="false" customHeight="false" outlineLevel="0" collapsed="false">
      <c r="A967" s="0" t="s">
        <v>1238</v>
      </c>
      <c r="B967" s="37" t="n">
        <v>45374</v>
      </c>
      <c r="C967" s="37" t="n">
        <v>45381</v>
      </c>
      <c r="D967" s="38" t="s">
        <v>194</v>
      </c>
      <c r="E967" s="38" t="s">
        <v>126</v>
      </c>
      <c r="F967" s="38" t="s">
        <v>101</v>
      </c>
      <c r="G967" s="38" t="s">
        <v>185</v>
      </c>
      <c r="H967" s="0" t="n">
        <v>4</v>
      </c>
      <c r="I967" s="39" t="n">
        <v>1200</v>
      </c>
      <c r="J967" s="40" t="n">
        <v>0.1</v>
      </c>
      <c r="K967" s="39" t="n">
        <v>4320</v>
      </c>
      <c r="L967" s="39" t="n">
        <v>2800</v>
      </c>
      <c r="M967" s="39" t="n">
        <v>1520</v>
      </c>
      <c r="N967" s="38" t="s">
        <v>146</v>
      </c>
      <c r="O967" s="38" t="n">
        <f aca="false">YEAR(B967)</f>
        <v>2024</v>
      </c>
      <c r="P967" s="41" t="n">
        <f aca="false">DATE(YEAR(B967),MONTH(B967),1)</f>
        <v>45352</v>
      </c>
      <c r="Q967" s="0" t="str">
        <f aca="false">INDEX(Products!$C$2:$C$16,MATCH(E967,Products!$A$2:$A$16,0))</f>
        <v>Furniture</v>
      </c>
      <c r="R967" s="0" t="str">
        <f aca="false">INDEX(Customers!$F$2:$F$101,MATCH(D967,Customers!$A$2:$A$101,0))</f>
        <v>North</v>
      </c>
      <c r="S967" s="0" t="str">
        <f aca="false">INDEX(Customers!$C$2:$C$101,MATCH(D967,Customers!$A$2:$A$101,0))</f>
        <v>Small Business</v>
      </c>
      <c r="T967" s="0" t="str">
        <f aca="false">INDEX(Customers!$D$2:$D$101,MATCH(D967,Customers!$A$2:$A$101,0))</f>
        <v>Gurugram</v>
      </c>
    </row>
    <row r="968" customFormat="false" ht="15" hidden="false" customHeight="false" outlineLevel="0" collapsed="false">
      <c r="A968" s="0" t="s">
        <v>1239</v>
      </c>
      <c r="B968" s="37" t="n">
        <v>45724</v>
      </c>
      <c r="C968" s="37" t="n">
        <v>45731</v>
      </c>
      <c r="D968" s="38" t="s">
        <v>498</v>
      </c>
      <c r="E968" s="38" t="s">
        <v>124</v>
      </c>
      <c r="F968" s="38" t="s">
        <v>102</v>
      </c>
      <c r="G968" s="38" t="s">
        <v>170</v>
      </c>
      <c r="H968" s="0" t="n">
        <v>1</v>
      </c>
      <c r="I968" s="39" t="n">
        <v>3000</v>
      </c>
      <c r="J968" s="40" t="n">
        <v>0</v>
      </c>
      <c r="K968" s="39" t="n">
        <v>3000</v>
      </c>
      <c r="L968" s="39" t="n">
        <v>1900</v>
      </c>
      <c r="M968" s="39" t="n">
        <v>1100</v>
      </c>
      <c r="N968" s="38" t="s">
        <v>66</v>
      </c>
      <c r="O968" s="38" t="n">
        <f aca="false">YEAR(B968)</f>
        <v>2025</v>
      </c>
      <c r="P968" s="41" t="n">
        <f aca="false">DATE(YEAR(B968),MONTH(B968),1)</f>
        <v>45717</v>
      </c>
      <c r="Q968" s="0" t="str">
        <f aca="false">INDEX(Products!$C$2:$C$16,MATCH(E968,Products!$A$2:$A$16,0))</f>
        <v>Technology</v>
      </c>
      <c r="R968" s="0" t="str">
        <f aca="false">INDEX(Customers!$F$2:$F$101,MATCH(D968,Customers!$A$2:$A$101,0))</f>
        <v>East</v>
      </c>
      <c r="S968" s="0" t="str">
        <f aca="false">INDEX(Customers!$C$2:$C$101,MATCH(D968,Customers!$A$2:$A$101,0))</f>
        <v>Consumer</v>
      </c>
      <c r="T968" s="0" t="str">
        <f aca="false">INDEX(Customers!$D$2:$D$101,MATCH(D968,Customers!$A$2:$A$101,0))</f>
        <v>Bhubaneswar</v>
      </c>
    </row>
    <row r="969" customFormat="false" ht="15" hidden="false" customHeight="false" outlineLevel="0" collapsed="false">
      <c r="A969" s="0" t="s">
        <v>1240</v>
      </c>
      <c r="B969" s="37" t="n">
        <v>45908</v>
      </c>
      <c r="C969" s="37" t="n">
        <v>45914</v>
      </c>
      <c r="D969" s="38" t="s">
        <v>202</v>
      </c>
      <c r="E969" s="38" t="s">
        <v>119</v>
      </c>
      <c r="F969" s="38" t="s">
        <v>101</v>
      </c>
      <c r="G969" s="38" t="s">
        <v>185</v>
      </c>
      <c r="H969" s="0" t="n">
        <v>5</v>
      </c>
      <c r="I969" s="39" t="n">
        <v>250</v>
      </c>
      <c r="J969" s="40" t="n">
        <v>0.2</v>
      </c>
      <c r="K969" s="39" t="n">
        <v>1000</v>
      </c>
      <c r="L969" s="39" t="n">
        <v>600</v>
      </c>
      <c r="M969" s="39" t="n">
        <v>400</v>
      </c>
      <c r="N969" s="38" t="s">
        <v>66</v>
      </c>
      <c r="O969" s="38" t="n">
        <f aca="false">YEAR(B969)</f>
        <v>2025</v>
      </c>
      <c r="P969" s="41" t="n">
        <f aca="false">DATE(YEAR(B969),MONTH(B969),1)</f>
        <v>45901</v>
      </c>
      <c r="Q969" s="0" t="str">
        <f aca="false">INDEX(Products!$C$2:$C$16,MATCH(E969,Products!$A$2:$A$16,0))</f>
        <v>Office Supplies</v>
      </c>
      <c r="R969" s="0" t="str">
        <f aca="false">INDEX(Customers!$F$2:$F$101,MATCH(D969,Customers!$A$2:$A$101,0))</f>
        <v>South</v>
      </c>
      <c r="S969" s="0" t="str">
        <f aca="false">INDEX(Customers!$C$2:$C$101,MATCH(D969,Customers!$A$2:$A$101,0))</f>
        <v>Corporate</v>
      </c>
      <c r="T969" s="0" t="str">
        <f aca="false">INDEX(Customers!$D$2:$D$101,MATCH(D969,Customers!$A$2:$A$101,0))</f>
        <v>Hyderabad</v>
      </c>
    </row>
    <row r="970" customFormat="false" ht="15" hidden="false" customHeight="false" outlineLevel="0" collapsed="false">
      <c r="A970" s="0" t="s">
        <v>1241</v>
      </c>
      <c r="B970" s="37" t="n">
        <v>45948</v>
      </c>
      <c r="C970" s="37" t="n">
        <v>45954</v>
      </c>
      <c r="D970" s="38" t="s">
        <v>270</v>
      </c>
      <c r="E970" s="38" t="s">
        <v>113</v>
      </c>
      <c r="F970" s="38" t="s">
        <v>102</v>
      </c>
      <c r="G970" s="38" t="s">
        <v>173</v>
      </c>
      <c r="H970" s="0" t="n">
        <v>1</v>
      </c>
      <c r="I970" s="39" t="n">
        <v>45000</v>
      </c>
      <c r="J970" s="40" t="n">
        <v>0.1</v>
      </c>
      <c r="K970" s="39" t="n">
        <v>40500</v>
      </c>
      <c r="L970" s="39" t="n">
        <v>36000</v>
      </c>
      <c r="M970" s="39" t="n">
        <v>4500</v>
      </c>
      <c r="N970" s="38" t="s">
        <v>66</v>
      </c>
      <c r="O970" s="38" t="n">
        <f aca="false">YEAR(B970)</f>
        <v>2025</v>
      </c>
      <c r="P970" s="41" t="n">
        <f aca="false">DATE(YEAR(B970),MONTH(B970),1)</f>
        <v>45931</v>
      </c>
      <c r="Q970" s="0" t="str">
        <f aca="false">INDEX(Products!$C$2:$C$16,MATCH(E970,Products!$A$2:$A$16,0))</f>
        <v>Technology</v>
      </c>
      <c r="R970" s="0" t="str">
        <f aca="false">INDEX(Customers!$F$2:$F$101,MATCH(D970,Customers!$A$2:$A$101,0))</f>
        <v>West</v>
      </c>
      <c r="S970" s="0" t="str">
        <f aca="false">INDEX(Customers!$C$2:$C$101,MATCH(D970,Customers!$A$2:$A$101,0))</f>
        <v>Small Business</v>
      </c>
      <c r="T970" s="0" t="str">
        <f aca="false">INDEX(Customers!$D$2:$D$101,MATCH(D970,Customers!$A$2:$A$101,0))</f>
        <v>Pune</v>
      </c>
    </row>
    <row r="971" customFormat="false" ht="15" hidden="false" customHeight="false" outlineLevel="0" collapsed="false">
      <c r="A971" s="0" t="s">
        <v>1242</v>
      </c>
      <c r="B971" s="37" t="n">
        <v>45604</v>
      </c>
      <c r="C971" s="37" t="n">
        <v>45607</v>
      </c>
      <c r="D971" s="38" t="s">
        <v>177</v>
      </c>
      <c r="E971" s="38" t="s">
        <v>123</v>
      </c>
      <c r="F971" s="38" t="s">
        <v>100</v>
      </c>
      <c r="G971" s="38" t="s">
        <v>173</v>
      </c>
      <c r="H971" s="0" t="n">
        <v>3</v>
      </c>
      <c r="I971" s="39" t="n">
        <v>2200</v>
      </c>
      <c r="J971" s="40" t="n">
        <v>0</v>
      </c>
      <c r="K971" s="39" t="n">
        <v>6600</v>
      </c>
      <c r="L971" s="39" t="n">
        <v>3900</v>
      </c>
      <c r="M971" s="39" t="n">
        <v>2700</v>
      </c>
      <c r="N971" s="38" t="s">
        <v>66</v>
      </c>
      <c r="O971" s="38" t="n">
        <f aca="false">YEAR(B971)</f>
        <v>2024</v>
      </c>
      <c r="P971" s="41" t="n">
        <f aca="false">DATE(YEAR(B971),MONTH(B971),1)</f>
        <v>45597</v>
      </c>
      <c r="Q971" s="0" t="str">
        <f aca="false">INDEX(Products!$C$2:$C$16,MATCH(E971,Products!$A$2:$A$16,0))</f>
        <v>Technology</v>
      </c>
      <c r="R971" s="0" t="str">
        <f aca="false">INDEX(Customers!$F$2:$F$101,MATCH(D971,Customers!$A$2:$A$101,0))</f>
        <v>North</v>
      </c>
      <c r="S971" s="0" t="str">
        <f aca="false">INDEX(Customers!$C$2:$C$101,MATCH(D971,Customers!$A$2:$A$101,0))</f>
        <v>Consumer</v>
      </c>
      <c r="T971" s="0" t="str">
        <f aca="false">INDEX(Customers!$D$2:$D$101,MATCH(D971,Customers!$A$2:$A$101,0))</f>
        <v>Gurugram</v>
      </c>
    </row>
    <row r="972" customFormat="false" ht="15" hidden="false" customHeight="false" outlineLevel="0" collapsed="false">
      <c r="A972" s="0" t="s">
        <v>1243</v>
      </c>
      <c r="B972" s="37" t="n">
        <v>45956</v>
      </c>
      <c r="C972" s="37" t="n">
        <v>45963</v>
      </c>
      <c r="D972" s="38" t="s">
        <v>276</v>
      </c>
      <c r="E972" s="38" t="s">
        <v>126</v>
      </c>
      <c r="F972" s="38" t="s">
        <v>102</v>
      </c>
      <c r="G972" s="38" t="s">
        <v>185</v>
      </c>
      <c r="H972" s="0" t="n">
        <v>1</v>
      </c>
      <c r="I972" s="39" t="n">
        <v>1200</v>
      </c>
      <c r="J972" s="40" t="n">
        <v>0.15</v>
      </c>
      <c r="K972" s="39" t="n">
        <v>1020</v>
      </c>
      <c r="L972" s="39" t="n">
        <v>700</v>
      </c>
      <c r="M972" s="39" t="n">
        <v>320</v>
      </c>
      <c r="N972" s="38" t="s">
        <v>66</v>
      </c>
      <c r="O972" s="38" t="n">
        <f aca="false">YEAR(B972)</f>
        <v>2025</v>
      </c>
      <c r="P972" s="41" t="n">
        <f aca="false">DATE(YEAR(B972),MONTH(B972),1)</f>
        <v>45931</v>
      </c>
      <c r="Q972" s="0" t="str">
        <f aca="false">INDEX(Products!$C$2:$C$16,MATCH(E972,Products!$A$2:$A$16,0))</f>
        <v>Furniture</v>
      </c>
      <c r="R972" s="0" t="str">
        <f aca="false">INDEX(Customers!$F$2:$F$101,MATCH(D972,Customers!$A$2:$A$101,0))</f>
        <v>North</v>
      </c>
      <c r="S972" s="0" t="str">
        <f aca="false">INDEX(Customers!$C$2:$C$101,MATCH(D972,Customers!$A$2:$A$101,0))</f>
        <v>Small Business</v>
      </c>
      <c r="T972" s="0" t="str">
        <f aca="false">INDEX(Customers!$D$2:$D$101,MATCH(D972,Customers!$A$2:$A$101,0))</f>
        <v>Lucknow</v>
      </c>
    </row>
    <row r="973" customFormat="false" ht="15" hidden="false" customHeight="false" outlineLevel="0" collapsed="false">
      <c r="A973" s="0" t="s">
        <v>1244</v>
      </c>
      <c r="B973" s="37" t="n">
        <v>45781</v>
      </c>
      <c r="C973" s="37" t="n">
        <v>45788</v>
      </c>
      <c r="D973" s="38" t="s">
        <v>298</v>
      </c>
      <c r="E973" s="38" t="s">
        <v>120</v>
      </c>
      <c r="F973" s="38" t="s">
        <v>100</v>
      </c>
      <c r="G973" s="38" t="s">
        <v>188</v>
      </c>
      <c r="H973" s="0" t="n">
        <v>4</v>
      </c>
      <c r="I973" s="39" t="n">
        <v>400</v>
      </c>
      <c r="J973" s="40" t="n">
        <v>0.05</v>
      </c>
      <c r="K973" s="39" t="n">
        <v>1520</v>
      </c>
      <c r="L973" s="39" t="n">
        <v>1040</v>
      </c>
      <c r="M973" s="39" t="n">
        <v>480</v>
      </c>
      <c r="N973" s="38" t="s">
        <v>66</v>
      </c>
      <c r="O973" s="38" t="n">
        <f aca="false">YEAR(B973)</f>
        <v>2025</v>
      </c>
      <c r="P973" s="41" t="n">
        <f aca="false">DATE(YEAR(B973),MONTH(B973),1)</f>
        <v>45778</v>
      </c>
      <c r="Q973" s="0" t="str">
        <f aca="false">INDEX(Products!$C$2:$C$16,MATCH(E973,Products!$A$2:$A$16,0))</f>
        <v>Office Supplies</v>
      </c>
      <c r="R973" s="0" t="str">
        <f aca="false">INDEX(Customers!$F$2:$F$101,MATCH(D973,Customers!$A$2:$A$101,0))</f>
        <v>North</v>
      </c>
      <c r="S973" s="0" t="str">
        <f aca="false">INDEX(Customers!$C$2:$C$101,MATCH(D973,Customers!$A$2:$A$101,0))</f>
        <v>Consumer</v>
      </c>
      <c r="T973" s="0" t="str">
        <f aca="false">INDEX(Customers!$D$2:$D$101,MATCH(D973,Customers!$A$2:$A$101,0))</f>
        <v>Lucknow</v>
      </c>
    </row>
    <row r="974" customFormat="false" ht="15" hidden="false" customHeight="false" outlineLevel="0" collapsed="false">
      <c r="A974" s="0" t="s">
        <v>1245</v>
      </c>
      <c r="B974" s="37" t="n">
        <v>45378</v>
      </c>
      <c r="C974" s="37" t="n">
        <v>45382</v>
      </c>
      <c r="D974" s="38" t="s">
        <v>175</v>
      </c>
      <c r="E974" s="38" t="s">
        <v>116</v>
      </c>
      <c r="F974" s="38" t="s">
        <v>101</v>
      </c>
      <c r="G974" s="38" t="s">
        <v>188</v>
      </c>
      <c r="H974" s="0" t="n">
        <v>2</v>
      </c>
      <c r="I974" s="39" t="n">
        <v>12000</v>
      </c>
      <c r="J974" s="40" t="n">
        <v>0.1</v>
      </c>
      <c r="K974" s="39" t="n">
        <v>21600</v>
      </c>
      <c r="L974" s="39" t="n">
        <v>18000</v>
      </c>
      <c r="M974" s="39" t="n">
        <v>3600</v>
      </c>
      <c r="N974" s="38" t="s">
        <v>66</v>
      </c>
      <c r="O974" s="38" t="n">
        <f aca="false">YEAR(B974)</f>
        <v>2024</v>
      </c>
      <c r="P974" s="41" t="n">
        <f aca="false">DATE(YEAR(B974),MONTH(B974),1)</f>
        <v>45352</v>
      </c>
      <c r="Q974" s="0" t="str">
        <f aca="false">INDEX(Products!$C$2:$C$16,MATCH(E974,Products!$A$2:$A$16,0))</f>
        <v>Technology</v>
      </c>
      <c r="R974" s="0" t="str">
        <f aca="false">INDEX(Customers!$F$2:$F$101,MATCH(D974,Customers!$A$2:$A$101,0))</f>
        <v>North</v>
      </c>
      <c r="S974" s="0" t="str">
        <f aca="false">INDEX(Customers!$C$2:$C$101,MATCH(D974,Customers!$A$2:$A$101,0))</f>
        <v>Corporate</v>
      </c>
      <c r="T974" s="0" t="str">
        <f aca="false">INDEX(Customers!$D$2:$D$101,MATCH(D974,Customers!$A$2:$A$101,0))</f>
        <v>Jaipur</v>
      </c>
    </row>
    <row r="975" customFormat="false" ht="15" hidden="false" customHeight="false" outlineLevel="0" collapsed="false">
      <c r="A975" s="0" t="s">
        <v>1246</v>
      </c>
      <c r="B975" s="37" t="n">
        <v>45863</v>
      </c>
      <c r="C975" s="37" t="n">
        <v>45869</v>
      </c>
      <c r="D975" s="38" t="s">
        <v>675</v>
      </c>
      <c r="E975" s="38" t="s">
        <v>127</v>
      </c>
      <c r="F975" s="38" t="s">
        <v>100</v>
      </c>
      <c r="G975" s="38" t="s">
        <v>185</v>
      </c>
      <c r="H975" s="0" t="n">
        <v>3</v>
      </c>
      <c r="I975" s="39" t="n">
        <v>18000</v>
      </c>
      <c r="J975" s="40" t="n">
        <v>0</v>
      </c>
      <c r="K975" s="39" t="n">
        <v>54000</v>
      </c>
      <c r="L975" s="39" t="n">
        <v>42000</v>
      </c>
      <c r="M975" s="39" t="n">
        <v>12000</v>
      </c>
      <c r="N975" s="38" t="s">
        <v>66</v>
      </c>
      <c r="O975" s="38" t="n">
        <f aca="false">YEAR(B975)</f>
        <v>2025</v>
      </c>
      <c r="P975" s="41" t="n">
        <f aca="false">DATE(YEAR(B975),MONTH(B975),1)</f>
        <v>45839</v>
      </c>
      <c r="Q975" s="0" t="str">
        <f aca="false">INDEX(Products!$C$2:$C$16,MATCH(E975,Products!$A$2:$A$16,0))</f>
        <v>Technology</v>
      </c>
      <c r="R975" s="0" t="str">
        <f aca="false">INDEX(Customers!$F$2:$F$101,MATCH(D975,Customers!$A$2:$A$101,0))</f>
        <v>East</v>
      </c>
      <c r="S975" s="0" t="str">
        <f aca="false">INDEX(Customers!$C$2:$C$101,MATCH(D975,Customers!$A$2:$A$101,0))</f>
        <v>Small Business</v>
      </c>
      <c r="T975" s="0" t="str">
        <f aca="false">INDEX(Customers!$D$2:$D$101,MATCH(D975,Customers!$A$2:$A$101,0))</f>
        <v>Kolkata</v>
      </c>
    </row>
    <row r="976" customFormat="false" ht="15" hidden="false" customHeight="false" outlineLevel="0" collapsed="false">
      <c r="A976" s="0" t="s">
        <v>1247</v>
      </c>
      <c r="B976" s="37" t="n">
        <v>45464</v>
      </c>
      <c r="C976" s="37" t="n">
        <v>45465</v>
      </c>
      <c r="D976" s="38" t="s">
        <v>184</v>
      </c>
      <c r="E976" s="38" t="s">
        <v>126</v>
      </c>
      <c r="F976" s="38" t="s">
        <v>102</v>
      </c>
      <c r="G976" s="38" t="s">
        <v>170</v>
      </c>
      <c r="H976" s="0" t="n">
        <v>2</v>
      </c>
      <c r="I976" s="39" t="n">
        <v>1200</v>
      </c>
      <c r="J976" s="40" t="n">
        <v>0.1</v>
      </c>
      <c r="K976" s="39" t="n">
        <v>2160</v>
      </c>
      <c r="L976" s="39" t="n">
        <v>1400</v>
      </c>
      <c r="M976" s="39" t="n">
        <v>760</v>
      </c>
      <c r="N976" s="38" t="s">
        <v>66</v>
      </c>
      <c r="O976" s="38" t="n">
        <f aca="false">YEAR(B976)</f>
        <v>2024</v>
      </c>
      <c r="P976" s="41" t="n">
        <f aca="false">DATE(YEAR(B976),MONTH(B976),1)</f>
        <v>45444</v>
      </c>
      <c r="Q976" s="0" t="str">
        <f aca="false">INDEX(Products!$C$2:$C$16,MATCH(E976,Products!$A$2:$A$16,0))</f>
        <v>Furniture</v>
      </c>
      <c r="R976" s="0" t="str">
        <f aca="false">INDEX(Customers!$F$2:$F$101,MATCH(D976,Customers!$A$2:$A$101,0))</f>
        <v>West</v>
      </c>
      <c r="S976" s="0" t="str">
        <f aca="false">INDEX(Customers!$C$2:$C$101,MATCH(D976,Customers!$A$2:$A$101,0))</f>
        <v>Consumer</v>
      </c>
      <c r="T976" s="0" t="str">
        <f aca="false">INDEX(Customers!$D$2:$D$101,MATCH(D976,Customers!$A$2:$A$101,0))</f>
        <v>Ahmedabad</v>
      </c>
    </row>
    <row r="977" customFormat="false" ht="15" hidden="false" customHeight="false" outlineLevel="0" collapsed="false">
      <c r="A977" s="0" t="s">
        <v>1248</v>
      </c>
      <c r="B977" s="37" t="n">
        <v>46261</v>
      </c>
      <c r="C977" s="37" t="n">
        <v>46266</v>
      </c>
      <c r="D977" s="38" t="s">
        <v>329</v>
      </c>
      <c r="E977" s="38" t="s">
        <v>115</v>
      </c>
      <c r="F977" s="38" t="s">
        <v>102</v>
      </c>
      <c r="G977" s="38" t="s">
        <v>185</v>
      </c>
      <c r="H977" s="0" t="n">
        <v>1</v>
      </c>
      <c r="I977" s="39" t="n">
        <v>1500</v>
      </c>
      <c r="J977" s="40" t="n">
        <v>0.2</v>
      </c>
      <c r="K977" s="39" t="n">
        <v>1200</v>
      </c>
      <c r="L977" s="39" t="n">
        <v>850</v>
      </c>
      <c r="M977" s="39" t="n">
        <v>350</v>
      </c>
      <c r="N977" s="38" t="s">
        <v>66</v>
      </c>
      <c r="O977" s="38" t="n">
        <f aca="false">YEAR(B977)</f>
        <v>2026</v>
      </c>
      <c r="P977" s="41" t="n">
        <f aca="false">DATE(YEAR(B977),MONTH(B977),1)</f>
        <v>46235</v>
      </c>
      <c r="Q977" s="0" t="str">
        <f aca="false">INDEX(Products!$C$2:$C$16,MATCH(E977,Products!$A$2:$A$16,0))</f>
        <v>Technology</v>
      </c>
      <c r="R977" s="0" t="str">
        <f aca="false">INDEX(Customers!$F$2:$F$101,MATCH(D977,Customers!$A$2:$A$101,0))</f>
        <v>West</v>
      </c>
      <c r="S977" s="0" t="str">
        <f aca="false">INDEX(Customers!$C$2:$C$101,MATCH(D977,Customers!$A$2:$A$101,0))</f>
        <v>Corporate</v>
      </c>
      <c r="T977" s="0" t="str">
        <f aca="false">INDEX(Customers!$D$2:$D$101,MATCH(D977,Customers!$A$2:$A$101,0))</f>
        <v>Pune</v>
      </c>
    </row>
    <row r="978" customFormat="false" ht="15" hidden="false" customHeight="false" outlineLevel="0" collapsed="false">
      <c r="A978" s="0" t="s">
        <v>1249</v>
      </c>
      <c r="B978" s="37" t="n">
        <v>45981</v>
      </c>
      <c r="C978" s="37" t="n">
        <v>45985</v>
      </c>
      <c r="D978" s="38" t="s">
        <v>227</v>
      </c>
      <c r="E978" s="38" t="s">
        <v>126</v>
      </c>
      <c r="F978" s="38" t="s">
        <v>100</v>
      </c>
      <c r="G978" s="38" t="s">
        <v>173</v>
      </c>
      <c r="H978" s="0" t="n">
        <v>1</v>
      </c>
      <c r="I978" s="39" t="n">
        <v>1200</v>
      </c>
      <c r="J978" s="40" t="n">
        <v>0.2</v>
      </c>
      <c r="K978" s="39" t="n">
        <v>960</v>
      </c>
      <c r="L978" s="39" t="n">
        <v>700</v>
      </c>
      <c r="M978" s="39" t="n">
        <v>260</v>
      </c>
      <c r="N978" s="38" t="s">
        <v>146</v>
      </c>
      <c r="O978" s="38" t="n">
        <f aca="false">YEAR(B978)</f>
        <v>2025</v>
      </c>
      <c r="P978" s="41" t="n">
        <f aca="false">DATE(YEAR(B978),MONTH(B978),1)</f>
        <v>45962</v>
      </c>
      <c r="Q978" s="0" t="str">
        <f aca="false">INDEX(Products!$C$2:$C$16,MATCH(E978,Products!$A$2:$A$16,0))</f>
        <v>Furniture</v>
      </c>
      <c r="R978" s="0" t="str">
        <f aca="false">INDEX(Customers!$F$2:$F$101,MATCH(D978,Customers!$A$2:$A$101,0))</f>
        <v>North</v>
      </c>
      <c r="S978" s="0" t="str">
        <f aca="false">INDEX(Customers!$C$2:$C$101,MATCH(D978,Customers!$A$2:$A$101,0))</f>
        <v>Consumer</v>
      </c>
      <c r="T978" s="0" t="str">
        <f aca="false">INDEX(Customers!$D$2:$D$101,MATCH(D978,Customers!$A$2:$A$101,0))</f>
        <v>Delhi</v>
      </c>
    </row>
    <row r="979" customFormat="false" ht="15" hidden="false" customHeight="false" outlineLevel="0" collapsed="false">
      <c r="A979" s="0" t="s">
        <v>1250</v>
      </c>
      <c r="B979" s="37" t="n">
        <v>46056</v>
      </c>
      <c r="C979" s="37" t="n">
        <v>46060</v>
      </c>
      <c r="D979" s="38" t="s">
        <v>638</v>
      </c>
      <c r="E979" s="38" t="s">
        <v>117</v>
      </c>
      <c r="F979" s="38" t="s">
        <v>100</v>
      </c>
      <c r="G979" s="38" t="s">
        <v>188</v>
      </c>
      <c r="H979" s="0" t="n">
        <v>2</v>
      </c>
      <c r="I979" s="39" t="n">
        <v>6500</v>
      </c>
      <c r="J979" s="40" t="n">
        <v>0.1</v>
      </c>
      <c r="K979" s="39" t="n">
        <v>11700</v>
      </c>
      <c r="L979" s="39" t="n">
        <v>8400</v>
      </c>
      <c r="M979" s="39" t="n">
        <v>3300</v>
      </c>
      <c r="N979" s="38" t="s">
        <v>66</v>
      </c>
      <c r="O979" s="38" t="n">
        <f aca="false">YEAR(B979)</f>
        <v>2026</v>
      </c>
      <c r="P979" s="41" t="n">
        <f aca="false">DATE(YEAR(B979),MONTH(B979),1)</f>
        <v>46054</v>
      </c>
      <c r="Q979" s="0" t="str">
        <f aca="false">INDEX(Products!$C$2:$C$16,MATCH(E979,Products!$A$2:$A$16,0))</f>
        <v>Furniture</v>
      </c>
      <c r="R979" s="0" t="str">
        <f aca="false">INDEX(Customers!$F$2:$F$101,MATCH(D979,Customers!$A$2:$A$101,0))</f>
        <v>North</v>
      </c>
      <c r="S979" s="0" t="str">
        <f aca="false">INDEX(Customers!$C$2:$C$101,MATCH(D979,Customers!$A$2:$A$101,0))</f>
        <v>Small Business</v>
      </c>
      <c r="T979" s="0" t="str">
        <f aca="false">INDEX(Customers!$D$2:$D$101,MATCH(D979,Customers!$A$2:$A$101,0))</f>
        <v>Lucknow</v>
      </c>
    </row>
    <row r="980" customFormat="false" ht="15" hidden="false" customHeight="false" outlineLevel="0" collapsed="false">
      <c r="A980" s="0" t="s">
        <v>1251</v>
      </c>
      <c r="B980" s="37" t="n">
        <v>45985</v>
      </c>
      <c r="C980" s="37" t="n">
        <v>45987</v>
      </c>
      <c r="D980" s="38" t="s">
        <v>175</v>
      </c>
      <c r="E980" s="38" t="s">
        <v>124</v>
      </c>
      <c r="F980" s="38" t="s">
        <v>100</v>
      </c>
      <c r="G980" s="38" t="s">
        <v>178</v>
      </c>
      <c r="H980" s="0" t="n">
        <v>2</v>
      </c>
      <c r="I980" s="39" t="n">
        <v>3000</v>
      </c>
      <c r="J980" s="40" t="n">
        <v>0.1</v>
      </c>
      <c r="K980" s="39" t="n">
        <v>5400</v>
      </c>
      <c r="L980" s="39" t="n">
        <v>3800</v>
      </c>
      <c r="M980" s="39" t="n">
        <v>1600</v>
      </c>
      <c r="N980" s="38" t="s">
        <v>66</v>
      </c>
      <c r="O980" s="38" t="n">
        <f aca="false">YEAR(B980)</f>
        <v>2025</v>
      </c>
      <c r="P980" s="41" t="n">
        <f aca="false">DATE(YEAR(B980),MONTH(B980),1)</f>
        <v>45962</v>
      </c>
      <c r="Q980" s="0" t="str">
        <f aca="false">INDEX(Products!$C$2:$C$16,MATCH(E980,Products!$A$2:$A$16,0))</f>
        <v>Technology</v>
      </c>
      <c r="R980" s="0" t="str">
        <f aca="false">INDEX(Customers!$F$2:$F$101,MATCH(D980,Customers!$A$2:$A$101,0))</f>
        <v>North</v>
      </c>
      <c r="S980" s="0" t="str">
        <f aca="false">INDEX(Customers!$C$2:$C$101,MATCH(D980,Customers!$A$2:$A$101,0))</f>
        <v>Corporate</v>
      </c>
      <c r="T980" s="0" t="str">
        <f aca="false">INDEX(Customers!$D$2:$D$101,MATCH(D980,Customers!$A$2:$A$101,0))</f>
        <v>Jaipur</v>
      </c>
    </row>
    <row r="981" customFormat="false" ht="15" hidden="false" customHeight="false" outlineLevel="0" collapsed="false">
      <c r="A981" s="0" t="s">
        <v>1252</v>
      </c>
      <c r="B981" s="37" t="n">
        <v>45924</v>
      </c>
      <c r="C981" s="37" t="n">
        <v>45928</v>
      </c>
      <c r="D981" s="38" t="s">
        <v>234</v>
      </c>
      <c r="E981" s="38" t="s">
        <v>116</v>
      </c>
      <c r="F981" s="38" t="s">
        <v>102</v>
      </c>
      <c r="G981" s="38" t="s">
        <v>185</v>
      </c>
      <c r="H981" s="0" t="n">
        <v>6</v>
      </c>
      <c r="I981" s="39" t="n">
        <v>12000</v>
      </c>
      <c r="J981" s="40" t="n">
        <v>0.05</v>
      </c>
      <c r="K981" s="39" t="n">
        <v>68400</v>
      </c>
      <c r="L981" s="39" t="n">
        <v>54000</v>
      </c>
      <c r="M981" s="39" t="n">
        <v>14400</v>
      </c>
      <c r="N981" s="38" t="s">
        <v>66</v>
      </c>
      <c r="O981" s="38" t="n">
        <f aca="false">YEAR(B981)</f>
        <v>2025</v>
      </c>
      <c r="P981" s="41" t="n">
        <f aca="false">DATE(YEAR(B981),MONTH(B981),1)</f>
        <v>45901</v>
      </c>
      <c r="Q981" s="0" t="str">
        <f aca="false">INDEX(Products!$C$2:$C$16,MATCH(E981,Products!$A$2:$A$16,0))</f>
        <v>Technology</v>
      </c>
      <c r="R981" s="0" t="str">
        <f aca="false">INDEX(Customers!$F$2:$F$101,MATCH(D981,Customers!$A$2:$A$101,0))</f>
        <v>South</v>
      </c>
      <c r="S981" s="0" t="str">
        <f aca="false">INDEX(Customers!$C$2:$C$101,MATCH(D981,Customers!$A$2:$A$101,0))</f>
        <v>Corporate</v>
      </c>
      <c r="T981" s="0" t="str">
        <f aca="false">INDEX(Customers!$D$2:$D$101,MATCH(D981,Customers!$A$2:$A$101,0))</f>
        <v>Bengaluru</v>
      </c>
    </row>
    <row r="982" customFormat="false" ht="15" hidden="false" customHeight="false" outlineLevel="0" collapsed="false">
      <c r="A982" s="0" t="s">
        <v>1253</v>
      </c>
      <c r="B982" s="37" t="n">
        <v>46184</v>
      </c>
      <c r="C982" s="37" t="n">
        <v>46187</v>
      </c>
      <c r="D982" s="38" t="s">
        <v>213</v>
      </c>
      <c r="E982" s="38" t="s">
        <v>115</v>
      </c>
      <c r="F982" s="38" t="s">
        <v>102</v>
      </c>
      <c r="G982" s="38" t="s">
        <v>173</v>
      </c>
      <c r="H982" s="0" t="n">
        <v>8</v>
      </c>
      <c r="I982" s="39" t="n">
        <v>1500</v>
      </c>
      <c r="J982" s="40" t="n">
        <v>0.1</v>
      </c>
      <c r="K982" s="39" t="n">
        <v>10800</v>
      </c>
      <c r="L982" s="39" t="n">
        <v>6800</v>
      </c>
      <c r="M982" s="39" t="n">
        <v>4000</v>
      </c>
      <c r="N982" s="38" t="s">
        <v>66</v>
      </c>
      <c r="O982" s="38" t="n">
        <f aca="false">YEAR(B982)</f>
        <v>2026</v>
      </c>
      <c r="P982" s="41" t="n">
        <f aca="false">DATE(YEAR(B982),MONTH(B982),1)</f>
        <v>46174</v>
      </c>
      <c r="Q982" s="0" t="str">
        <f aca="false">INDEX(Products!$C$2:$C$16,MATCH(E982,Products!$A$2:$A$16,0))</f>
        <v>Technology</v>
      </c>
      <c r="R982" s="0" t="str">
        <f aca="false">INDEX(Customers!$F$2:$F$101,MATCH(D982,Customers!$A$2:$A$101,0))</f>
        <v>North</v>
      </c>
      <c r="S982" s="0" t="str">
        <f aca="false">INDEX(Customers!$C$2:$C$101,MATCH(D982,Customers!$A$2:$A$101,0))</f>
        <v>Small Business</v>
      </c>
      <c r="T982" s="0" t="str">
        <f aca="false">INDEX(Customers!$D$2:$D$101,MATCH(D982,Customers!$A$2:$A$101,0))</f>
        <v>Gurugram</v>
      </c>
    </row>
    <row r="983" customFormat="false" ht="15" hidden="false" customHeight="false" outlineLevel="0" collapsed="false">
      <c r="A983" s="0" t="s">
        <v>1254</v>
      </c>
      <c r="B983" s="37" t="n">
        <v>46045</v>
      </c>
      <c r="C983" s="37" t="n">
        <v>46050</v>
      </c>
      <c r="D983" s="38" t="s">
        <v>397</v>
      </c>
      <c r="E983" s="38" t="s">
        <v>119</v>
      </c>
      <c r="F983" s="38" t="s">
        <v>102</v>
      </c>
      <c r="G983" s="38" t="s">
        <v>178</v>
      </c>
      <c r="H983" s="0" t="n">
        <v>1</v>
      </c>
      <c r="I983" s="39" t="n">
        <v>250</v>
      </c>
      <c r="J983" s="40" t="n">
        <v>0</v>
      </c>
      <c r="K983" s="39" t="n">
        <v>250</v>
      </c>
      <c r="L983" s="39" t="n">
        <v>120</v>
      </c>
      <c r="M983" s="39" t="n">
        <v>130</v>
      </c>
      <c r="N983" s="38" t="s">
        <v>66</v>
      </c>
      <c r="O983" s="38" t="n">
        <f aca="false">YEAR(B983)</f>
        <v>2026</v>
      </c>
      <c r="P983" s="41" t="n">
        <f aca="false">DATE(YEAR(B983),MONTH(B983),1)</f>
        <v>46023</v>
      </c>
      <c r="Q983" s="0" t="str">
        <f aca="false">INDEX(Products!$C$2:$C$16,MATCH(E983,Products!$A$2:$A$16,0))</f>
        <v>Office Supplies</v>
      </c>
      <c r="R983" s="0" t="str">
        <f aca="false">INDEX(Customers!$F$2:$F$101,MATCH(D983,Customers!$A$2:$A$101,0))</f>
        <v>West</v>
      </c>
      <c r="S983" s="0" t="str">
        <f aca="false">INDEX(Customers!$C$2:$C$101,MATCH(D983,Customers!$A$2:$A$101,0))</f>
        <v>Consumer</v>
      </c>
      <c r="T983" s="0" t="str">
        <f aca="false">INDEX(Customers!$D$2:$D$101,MATCH(D983,Customers!$A$2:$A$101,0))</f>
        <v>Mumbai</v>
      </c>
    </row>
    <row r="984" customFormat="false" ht="15" hidden="false" customHeight="false" outlineLevel="0" collapsed="false">
      <c r="A984" s="0" t="s">
        <v>1255</v>
      </c>
      <c r="B984" s="37" t="n">
        <v>46222</v>
      </c>
      <c r="C984" s="37" t="n">
        <v>46225</v>
      </c>
      <c r="D984" s="38" t="s">
        <v>407</v>
      </c>
      <c r="E984" s="38" t="s">
        <v>120</v>
      </c>
      <c r="F984" s="38" t="s">
        <v>102</v>
      </c>
      <c r="G984" s="38" t="s">
        <v>178</v>
      </c>
      <c r="H984" s="0" t="n">
        <v>10</v>
      </c>
      <c r="I984" s="39" t="n">
        <v>400</v>
      </c>
      <c r="J984" s="40" t="n">
        <v>0.2</v>
      </c>
      <c r="K984" s="39" t="n">
        <v>3200</v>
      </c>
      <c r="L984" s="39" t="n">
        <v>2600</v>
      </c>
      <c r="M984" s="39" t="n">
        <v>600</v>
      </c>
      <c r="N984" s="38" t="s">
        <v>66</v>
      </c>
      <c r="O984" s="38" t="n">
        <f aca="false">YEAR(B984)</f>
        <v>2026</v>
      </c>
      <c r="P984" s="41" t="n">
        <f aca="false">DATE(YEAR(B984),MONTH(B984),1)</f>
        <v>46204</v>
      </c>
      <c r="Q984" s="0" t="str">
        <f aca="false">INDEX(Products!$C$2:$C$16,MATCH(E984,Products!$A$2:$A$16,0))</f>
        <v>Office Supplies</v>
      </c>
      <c r="R984" s="0" t="str">
        <f aca="false">INDEX(Customers!$F$2:$F$101,MATCH(D984,Customers!$A$2:$A$101,0))</f>
        <v>North</v>
      </c>
      <c r="S984" s="0" t="str">
        <f aca="false">INDEX(Customers!$C$2:$C$101,MATCH(D984,Customers!$A$2:$A$101,0))</f>
        <v>Small Business</v>
      </c>
      <c r="T984" s="0" t="str">
        <f aca="false">INDEX(Customers!$D$2:$D$101,MATCH(D984,Customers!$A$2:$A$101,0))</f>
        <v>Delhi</v>
      </c>
    </row>
    <row r="985" customFormat="false" ht="15" hidden="false" customHeight="false" outlineLevel="0" collapsed="false">
      <c r="A985" s="0" t="s">
        <v>1256</v>
      </c>
      <c r="B985" s="37" t="n">
        <v>45682</v>
      </c>
      <c r="C985" s="37" t="n">
        <v>45685</v>
      </c>
      <c r="D985" s="38" t="s">
        <v>190</v>
      </c>
      <c r="E985" s="38" t="s">
        <v>122</v>
      </c>
      <c r="F985" s="38" t="s">
        <v>101</v>
      </c>
      <c r="G985" s="38" t="s">
        <v>173</v>
      </c>
      <c r="H985" s="0" t="n">
        <v>8</v>
      </c>
      <c r="I985" s="39" t="n">
        <v>5500</v>
      </c>
      <c r="J985" s="40" t="n">
        <v>0.2</v>
      </c>
      <c r="K985" s="39" t="n">
        <v>35200</v>
      </c>
      <c r="L985" s="39" t="n">
        <v>29600</v>
      </c>
      <c r="M985" s="39" t="n">
        <v>5600</v>
      </c>
      <c r="N985" s="38" t="s">
        <v>146</v>
      </c>
      <c r="O985" s="38" t="n">
        <f aca="false">YEAR(B985)</f>
        <v>2025</v>
      </c>
      <c r="P985" s="41" t="n">
        <f aca="false">DATE(YEAR(B985),MONTH(B985),1)</f>
        <v>45658</v>
      </c>
      <c r="Q985" s="0" t="str">
        <f aca="false">INDEX(Products!$C$2:$C$16,MATCH(E985,Products!$A$2:$A$16,0))</f>
        <v>Furniture</v>
      </c>
      <c r="R985" s="0" t="str">
        <f aca="false">INDEX(Customers!$F$2:$F$101,MATCH(D985,Customers!$A$2:$A$101,0))</f>
        <v>East</v>
      </c>
      <c r="S985" s="0" t="str">
        <f aca="false">INDEX(Customers!$C$2:$C$101,MATCH(D985,Customers!$A$2:$A$101,0))</f>
        <v>Corporate</v>
      </c>
      <c r="T985" s="0" t="str">
        <f aca="false">INDEX(Customers!$D$2:$D$101,MATCH(D985,Customers!$A$2:$A$101,0))</f>
        <v>Kolkata</v>
      </c>
    </row>
    <row r="986" customFormat="false" ht="15" hidden="false" customHeight="false" outlineLevel="0" collapsed="false">
      <c r="A986" s="0" t="s">
        <v>1257</v>
      </c>
      <c r="B986" s="37" t="n">
        <v>45886</v>
      </c>
      <c r="C986" s="37" t="n">
        <v>45888</v>
      </c>
      <c r="D986" s="38" t="s">
        <v>322</v>
      </c>
      <c r="E986" s="38" t="s">
        <v>113</v>
      </c>
      <c r="F986" s="38" t="s">
        <v>101</v>
      </c>
      <c r="G986" s="38" t="s">
        <v>170</v>
      </c>
      <c r="H986" s="0" t="n">
        <v>1</v>
      </c>
      <c r="I986" s="39" t="n">
        <v>45000</v>
      </c>
      <c r="J986" s="40" t="n">
        <v>0.15</v>
      </c>
      <c r="K986" s="39" t="n">
        <v>38250</v>
      </c>
      <c r="L986" s="39" t="n">
        <v>36000</v>
      </c>
      <c r="M986" s="39" t="n">
        <v>2250</v>
      </c>
      <c r="N986" s="38" t="s">
        <v>66</v>
      </c>
      <c r="O986" s="38" t="n">
        <f aca="false">YEAR(B986)</f>
        <v>2025</v>
      </c>
      <c r="P986" s="41" t="n">
        <f aca="false">DATE(YEAR(B986),MONTH(B986),1)</f>
        <v>45870</v>
      </c>
      <c r="Q986" s="0" t="str">
        <f aca="false">INDEX(Products!$C$2:$C$16,MATCH(E986,Products!$A$2:$A$16,0))</f>
        <v>Technology</v>
      </c>
      <c r="R986" s="0" t="str">
        <f aca="false">INDEX(Customers!$F$2:$F$101,MATCH(D986,Customers!$A$2:$A$101,0))</f>
        <v>North</v>
      </c>
      <c r="S986" s="0" t="str">
        <f aca="false">INDEX(Customers!$C$2:$C$101,MATCH(D986,Customers!$A$2:$A$101,0))</f>
        <v>Consumer</v>
      </c>
      <c r="T986" s="0" t="str">
        <f aca="false">INDEX(Customers!$D$2:$D$101,MATCH(D986,Customers!$A$2:$A$101,0))</f>
        <v>Jaipur</v>
      </c>
    </row>
    <row r="987" customFormat="false" ht="15" hidden="false" customHeight="false" outlineLevel="0" collapsed="false">
      <c r="A987" s="0" t="s">
        <v>1258</v>
      </c>
      <c r="B987" s="37" t="n">
        <v>45616</v>
      </c>
      <c r="C987" s="37" t="n">
        <v>45622</v>
      </c>
      <c r="D987" s="38" t="s">
        <v>217</v>
      </c>
      <c r="E987" s="38" t="s">
        <v>114</v>
      </c>
      <c r="F987" s="38" t="s">
        <v>101</v>
      </c>
      <c r="G987" s="38" t="s">
        <v>178</v>
      </c>
      <c r="H987" s="0" t="n">
        <v>2</v>
      </c>
      <c r="I987" s="39" t="n">
        <v>800</v>
      </c>
      <c r="J987" s="40" t="n">
        <v>0</v>
      </c>
      <c r="K987" s="39" t="n">
        <v>1600</v>
      </c>
      <c r="L987" s="39" t="n">
        <v>840</v>
      </c>
      <c r="M987" s="39" t="n">
        <v>760</v>
      </c>
      <c r="N987" s="38" t="s">
        <v>66</v>
      </c>
      <c r="O987" s="38" t="n">
        <f aca="false">YEAR(B987)</f>
        <v>2024</v>
      </c>
      <c r="P987" s="41" t="n">
        <f aca="false">DATE(YEAR(B987),MONTH(B987),1)</f>
        <v>45597</v>
      </c>
      <c r="Q987" s="0" t="str">
        <f aca="false">INDEX(Products!$C$2:$C$16,MATCH(E987,Products!$A$2:$A$16,0))</f>
        <v>Technology</v>
      </c>
      <c r="R987" s="0" t="str">
        <f aca="false">INDEX(Customers!$F$2:$F$101,MATCH(D987,Customers!$A$2:$A$101,0))</f>
        <v>East</v>
      </c>
      <c r="S987" s="0" t="str">
        <f aca="false">INDEX(Customers!$C$2:$C$101,MATCH(D987,Customers!$A$2:$A$101,0))</f>
        <v>Small Business</v>
      </c>
      <c r="T987" s="0" t="str">
        <f aca="false">INDEX(Customers!$D$2:$D$101,MATCH(D987,Customers!$A$2:$A$101,0))</f>
        <v>Kolkata</v>
      </c>
    </row>
    <row r="988" customFormat="false" ht="15" hidden="false" customHeight="false" outlineLevel="0" collapsed="false">
      <c r="A988" s="0" t="s">
        <v>1259</v>
      </c>
      <c r="B988" s="37" t="n">
        <v>46184</v>
      </c>
      <c r="C988" s="37" t="n">
        <v>46191</v>
      </c>
      <c r="D988" s="38" t="s">
        <v>217</v>
      </c>
      <c r="E988" s="38" t="s">
        <v>120</v>
      </c>
      <c r="F988" s="38" t="s">
        <v>101</v>
      </c>
      <c r="G988" s="38" t="s">
        <v>170</v>
      </c>
      <c r="H988" s="0" t="n">
        <v>1</v>
      </c>
      <c r="I988" s="39" t="n">
        <v>400</v>
      </c>
      <c r="J988" s="40" t="n">
        <v>0.05</v>
      </c>
      <c r="K988" s="39" t="n">
        <v>380</v>
      </c>
      <c r="L988" s="39" t="n">
        <v>260</v>
      </c>
      <c r="M988" s="39" t="n">
        <v>120</v>
      </c>
      <c r="N988" s="38" t="s">
        <v>66</v>
      </c>
      <c r="O988" s="38" t="n">
        <f aca="false">YEAR(B988)</f>
        <v>2026</v>
      </c>
      <c r="P988" s="41" t="n">
        <f aca="false">DATE(YEAR(B988),MONTH(B988),1)</f>
        <v>46174</v>
      </c>
      <c r="Q988" s="0" t="str">
        <f aca="false">INDEX(Products!$C$2:$C$16,MATCH(E988,Products!$A$2:$A$16,0))</f>
        <v>Office Supplies</v>
      </c>
      <c r="R988" s="0" t="str">
        <f aca="false">INDEX(Customers!$F$2:$F$101,MATCH(D988,Customers!$A$2:$A$101,0))</f>
        <v>East</v>
      </c>
      <c r="S988" s="0" t="str">
        <f aca="false">INDEX(Customers!$C$2:$C$101,MATCH(D988,Customers!$A$2:$A$101,0))</f>
        <v>Small Business</v>
      </c>
      <c r="T988" s="0" t="str">
        <f aca="false">INDEX(Customers!$D$2:$D$101,MATCH(D988,Customers!$A$2:$A$101,0))</f>
        <v>Kolkata</v>
      </c>
    </row>
    <row r="989" customFormat="false" ht="15" hidden="false" customHeight="false" outlineLevel="0" collapsed="false">
      <c r="A989" s="0" t="s">
        <v>1260</v>
      </c>
      <c r="B989" s="37" t="n">
        <v>46141</v>
      </c>
      <c r="C989" s="37" t="n">
        <v>46148</v>
      </c>
      <c r="D989" s="38" t="s">
        <v>234</v>
      </c>
      <c r="E989" s="38" t="s">
        <v>122</v>
      </c>
      <c r="F989" s="38" t="s">
        <v>101</v>
      </c>
      <c r="G989" s="38" t="s">
        <v>185</v>
      </c>
      <c r="H989" s="0" t="n">
        <v>6</v>
      </c>
      <c r="I989" s="39" t="n">
        <v>5500</v>
      </c>
      <c r="J989" s="40" t="n">
        <v>0.15</v>
      </c>
      <c r="K989" s="39" t="n">
        <v>28050</v>
      </c>
      <c r="L989" s="39" t="n">
        <v>22200</v>
      </c>
      <c r="M989" s="39" t="n">
        <v>5850</v>
      </c>
      <c r="N989" s="38" t="s">
        <v>66</v>
      </c>
      <c r="O989" s="38" t="n">
        <f aca="false">YEAR(B989)</f>
        <v>2026</v>
      </c>
      <c r="P989" s="41" t="n">
        <f aca="false">DATE(YEAR(B989),MONTH(B989),1)</f>
        <v>46113</v>
      </c>
      <c r="Q989" s="0" t="str">
        <f aca="false">INDEX(Products!$C$2:$C$16,MATCH(E989,Products!$A$2:$A$16,0))</f>
        <v>Furniture</v>
      </c>
      <c r="R989" s="0" t="str">
        <f aca="false">INDEX(Customers!$F$2:$F$101,MATCH(D989,Customers!$A$2:$A$101,0))</f>
        <v>South</v>
      </c>
      <c r="S989" s="0" t="str">
        <f aca="false">INDEX(Customers!$C$2:$C$101,MATCH(D989,Customers!$A$2:$A$101,0))</f>
        <v>Corporate</v>
      </c>
      <c r="T989" s="0" t="str">
        <f aca="false">INDEX(Customers!$D$2:$D$101,MATCH(D989,Customers!$A$2:$A$101,0))</f>
        <v>Bengaluru</v>
      </c>
    </row>
    <row r="990" customFormat="false" ht="15" hidden="false" customHeight="false" outlineLevel="0" collapsed="false">
      <c r="A990" s="0" t="s">
        <v>1261</v>
      </c>
      <c r="B990" s="37" t="n">
        <v>45795</v>
      </c>
      <c r="C990" s="37" t="n">
        <v>45802</v>
      </c>
      <c r="D990" s="38" t="s">
        <v>298</v>
      </c>
      <c r="E990" s="38" t="s">
        <v>124</v>
      </c>
      <c r="F990" s="38" t="s">
        <v>102</v>
      </c>
      <c r="G990" s="38" t="s">
        <v>185</v>
      </c>
      <c r="H990" s="0" t="n">
        <v>8</v>
      </c>
      <c r="I990" s="39" t="n">
        <v>3000</v>
      </c>
      <c r="J990" s="40" t="n">
        <v>0.15</v>
      </c>
      <c r="K990" s="39" t="n">
        <v>20400</v>
      </c>
      <c r="L990" s="39" t="n">
        <v>15200</v>
      </c>
      <c r="M990" s="39" t="n">
        <v>5200</v>
      </c>
      <c r="N990" s="38" t="s">
        <v>66</v>
      </c>
      <c r="O990" s="38" t="n">
        <f aca="false">YEAR(B990)</f>
        <v>2025</v>
      </c>
      <c r="P990" s="41" t="n">
        <f aca="false">DATE(YEAR(B990),MONTH(B990),1)</f>
        <v>45778</v>
      </c>
      <c r="Q990" s="0" t="str">
        <f aca="false">INDEX(Products!$C$2:$C$16,MATCH(E990,Products!$A$2:$A$16,0))</f>
        <v>Technology</v>
      </c>
      <c r="R990" s="0" t="str">
        <f aca="false">INDEX(Customers!$F$2:$F$101,MATCH(D990,Customers!$A$2:$A$101,0))</f>
        <v>North</v>
      </c>
      <c r="S990" s="0" t="str">
        <f aca="false">INDEX(Customers!$C$2:$C$101,MATCH(D990,Customers!$A$2:$A$101,0))</f>
        <v>Consumer</v>
      </c>
      <c r="T990" s="0" t="str">
        <f aca="false">INDEX(Customers!$D$2:$D$101,MATCH(D990,Customers!$A$2:$A$101,0))</f>
        <v>Lucknow</v>
      </c>
    </row>
    <row r="991" customFormat="false" ht="15" hidden="false" customHeight="false" outlineLevel="0" collapsed="false">
      <c r="A991" s="0" t="s">
        <v>1262</v>
      </c>
      <c r="B991" s="37" t="n">
        <v>45527</v>
      </c>
      <c r="C991" s="37" t="n">
        <v>45529</v>
      </c>
      <c r="D991" s="38" t="s">
        <v>331</v>
      </c>
      <c r="E991" s="38" t="s">
        <v>113</v>
      </c>
      <c r="F991" s="38" t="s">
        <v>100</v>
      </c>
      <c r="G991" s="38" t="s">
        <v>185</v>
      </c>
      <c r="H991" s="0" t="n">
        <v>1</v>
      </c>
      <c r="I991" s="39" t="n">
        <v>45000</v>
      </c>
      <c r="J991" s="40" t="n">
        <v>0.05</v>
      </c>
      <c r="K991" s="39" t="n">
        <v>42750</v>
      </c>
      <c r="L991" s="39" t="n">
        <v>36000</v>
      </c>
      <c r="M991" s="39" t="n">
        <v>6750</v>
      </c>
      <c r="N991" s="38" t="s">
        <v>66</v>
      </c>
      <c r="O991" s="38" t="n">
        <f aca="false">YEAR(B991)</f>
        <v>2024</v>
      </c>
      <c r="P991" s="41" t="n">
        <f aca="false">DATE(YEAR(B991),MONTH(B991),1)</f>
        <v>45505</v>
      </c>
      <c r="Q991" s="0" t="str">
        <f aca="false">INDEX(Products!$C$2:$C$16,MATCH(E991,Products!$A$2:$A$16,0))</f>
        <v>Technology</v>
      </c>
      <c r="R991" s="0" t="str">
        <f aca="false">INDEX(Customers!$F$2:$F$101,MATCH(D991,Customers!$A$2:$A$101,0))</f>
        <v>North</v>
      </c>
      <c r="S991" s="0" t="str">
        <f aca="false">INDEX(Customers!$C$2:$C$101,MATCH(D991,Customers!$A$2:$A$101,0))</f>
        <v>Corporate</v>
      </c>
      <c r="T991" s="0" t="str">
        <f aca="false">INDEX(Customers!$D$2:$D$101,MATCH(D991,Customers!$A$2:$A$101,0))</f>
        <v>Delhi</v>
      </c>
    </row>
    <row r="992" customFormat="false" ht="15" hidden="false" customHeight="false" outlineLevel="0" collapsed="false">
      <c r="A992" s="0" t="s">
        <v>1263</v>
      </c>
      <c r="B992" s="37" t="n">
        <v>45744</v>
      </c>
      <c r="C992" s="37" t="n">
        <v>45747</v>
      </c>
      <c r="D992" s="38" t="s">
        <v>467</v>
      </c>
      <c r="E992" s="38" t="s">
        <v>113</v>
      </c>
      <c r="F992" s="38" t="s">
        <v>101</v>
      </c>
      <c r="G992" s="38" t="s">
        <v>185</v>
      </c>
      <c r="H992" s="0" t="n">
        <v>10</v>
      </c>
      <c r="I992" s="39" t="n">
        <v>45000</v>
      </c>
      <c r="J992" s="40" t="n">
        <v>0.15</v>
      </c>
      <c r="K992" s="39" t="n">
        <v>382500</v>
      </c>
      <c r="L992" s="39" t="n">
        <v>360000</v>
      </c>
      <c r="M992" s="39" t="n">
        <v>22500</v>
      </c>
      <c r="N992" s="38" t="s">
        <v>66</v>
      </c>
      <c r="O992" s="38" t="n">
        <f aca="false">YEAR(B992)</f>
        <v>2025</v>
      </c>
      <c r="P992" s="41" t="n">
        <f aca="false">DATE(YEAR(B992),MONTH(B992),1)</f>
        <v>45717</v>
      </c>
      <c r="Q992" s="0" t="str">
        <f aca="false">INDEX(Products!$C$2:$C$16,MATCH(E992,Products!$A$2:$A$16,0))</f>
        <v>Technology</v>
      </c>
      <c r="R992" s="0" t="str">
        <f aca="false">INDEX(Customers!$F$2:$F$101,MATCH(D992,Customers!$A$2:$A$101,0))</f>
        <v>West</v>
      </c>
      <c r="S992" s="0" t="str">
        <f aca="false">INDEX(Customers!$C$2:$C$101,MATCH(D992,Customers!$A$2:$A$101,0))</f>
        <v>Corporate</v>
      </c>
      <c r="T992" s="0" t="str">
        <f aca="false">INDEX(Customers!$D$2:$D$101,MATCH(D992,Customers!$A$2:$A$101,0))</f>
        <v>Ahmedabad</v>
      </c>
    </row>
    <row r="993" customFormat="false" ht="15" hidden="false" customHeight="false" outlineLevel="0" collapsed="false">
      <c r="A993" s="0" t="s">
        <v>1264</v>
      </c>
      <c r="B993" s="37" t="n">
        <v>45443</v>
      </c>
      <c r="C993" s="37" t="n">
        <v>45444</v>
      </c>
      <c r="D993" s="38" t="s">
        <v>316</v>
      </c>
      <c r="E993" s="38" t="s">
        <v>126</v>
      </c>
      <c r="F993" s="38" t="s">
        <v>101</v>
      </c>
      <c r="G993" s="38" t="s">
        <v>173</v>
      </c>
      <c r="H993" s="0" t="n">
        <v>2</v>
      </c>
      <c r="I993" s="39" t="n">
        <v>1200</v>
      </c>
      <c r="J993" s="40" t="n">
        <v>0</v>
      </c>
      <c r="K993" s="39" t="n">
        <v>2400</v>
      </c>
      <c r="L993" s="39" t="n">
        <v>1400</v>
      </c>
      <c r="M993" s="39" t="n">
        <v>1000</v>
      </c>
      <c r="N993" s="38" t="s">
        <v>66</v>
      </c>
      <c r="O993" s="38" t="n">
        <f aca="false">YEAR(B993)</f>
        <v>2024</v>
      </c>
      <c r="P993" s="41" t="n">
        <f aca="false">DATE(YEAR(B993),MONTH(B993),1)</f>
        <v>45413</v>
      </c>
      <c r="Q993" s="0" t="str">
        <f aca="false">INDEX(Products!$C$2:$C$16,MATCH(E993,Products!$A$2:$A$16,0))</f>
        <v>Furniture</v>
      </c>
      <c r="R993" s="0" t="str">
        <f aca="false">INDEX(Customers!$F$2:$F$101,MATCH(D993,Customers!$A$2:$A$101,0))</f>
        <v>West</v>
      </c>
      <c r="S993" s="0" t="str">
        <f aca="false">INDEX(Customers!$C$2:$C$101,MATCH(D993,Customers!$A$2:$A$101,0))</f>
        <v>Corporate</v>
      </c>
      <c r="T993" s="0" t="str">
        <f aca="false">INDEX(Customers!$D$2:$D$101,MATCH(D993,Customers!$A$2:$A$101,0))</f>
        <v>Ahmedabad</v>
      </c>
    </row>
    <row r="994" customFormat="false" ht="15" hidden="false" customHeight="false" outlineLevel="0" collapsed="false">
      <c r="A994" s="0" t="s">
        <v>1265</v>
      </c>
      <c r="B994" s="37" t="n">
        <v>46134</v>
      </c>
      <c r="C994" s="37" t="n">
        <v>46137</v>
      </c>
      <c r="D994" s="38" t="s">
        <v>242</v>
      </c>
      <c r="E994" s="38" t="s">
        <v>121</v>
      </c>
      <c r="F994" s="38" t="s">
        <v>102</v>
      </c>
      <c r="G994" s="38" t="s">
        <v>173</v>
      </c>
      <c r="H994" s="0" t="n">
        <v>3</v>
      </c>
      <c r="I994" s="39" t="n">
        <v>180</v>
      </c>
      <c r="J994" s="40" t="n">
        <v>0.2</v>
      </c>
      <c r="K994" s="39" t="n">
        <v>432</v>
      </c>
      <c r="L994" s="39" t="n">
        <v>210</v>
      </c>
      <c r="M994" s="39" t="n">
        <v>222</v>
      </c>
      <c r="N994" s="38" t="s">
        <v>66</v>
      </c>
      <c r="O994" s="38" t="n">
        <f aca="false">YEAR(B994)</f>
        <v>2026</v>
      </c>
      <c r="P994" s="41" t="n">
        <f aca="false">DATE(YEAR(B994),MONTH(B994),1)</f>
        <v>46113</v>
      </c>
      <c r="Q994" s="0" t="str">
        <f aca="false">INDEX(Products!$C$2:$C$16,MATCH(E994,Products!$A$2:$A$16,0))</f>
        <v>Office Supplies</v>
      </c>
      <c r="R994" s="0" t="str">
        <f aca="false">INDEX(Customers!$F$2:$F$101,MATCH(D994,Customers!$A$2:$A$101,0))</f>
        <v>North</v>
      </c>
      <c r="S994" s="0" t="str">
        <f aca="false">INDEX(Customers!$C$2:$C$101,MATCH(D994,Customers!$A$2:$A$101,0))</f>
        <v>Small Business</v>
      </c>
      <c r="T994" s="0" t="str">
        <f aca="false">INDEX(Customers!$D$2:$D$101,MATCH(D994,Customers!$A$2:$A$101,0))</f>
        <v>Gurugram</v>
      </c>
    </row>
    <row r="995" customFormat="false" ht="15" hidden="false" customHeight="false" outlineLevel="0" collapsed="false">
      <c r="A995" s="0" t="s">
        <v>1266</v>
      </c>
      <c r="B995" s="37" t="n">
        <v>46077</v>
      </c>
      <c r="C995" s="37" t="n">
        <v>46082</v>
      </c>
      <c r="D995" s="38" t="s">
        <v>169</v>
      </c>
      <c r="E995" s="38" t="s">
        <v>121</v>
      </c>
      <c r="F995" s="38" t="s">
        <v>100</v>
      </c>
      <c r="G995" s="38" t="s">
        <v>185</v>
      </c>
      <c r="H995" s="0" t="n">
        <v>1</v>
      </c>
      <c r="I995" s="39" t="n">
        <v>180</v>
      </c>
      <c r="J995" s="40" t="n">
        <v>0</v>
      </c>
      <c r="K995" s="39" t="n">
        <v>180</v>
      </c>
      <c r="L995" s="39" t="n">
        <v>70</v>
      </c>
      <c r="M995" s="39" t="n">
        <v>110</v>
      </c>
      <c r="N995" s="38" t="s">
        <v>66</v>
      </c>
      <c r="O995" s="38" t="n">
        <f aca="false">YEAR(B995)</f>
        <v>2026</v>
      </c>
      <c r="P995" s="41" t="n">
        <f aca="false">DATE(YEAR(B995),MONTH(B995),1)</f>
        <v>46054</v>
      </c>
      <c r="Q995" s="0" t="str">
        <f aca="false">INDEX(Products!$C$2:$C$16,MATCH(E995,Products!$A$2:$A$16,0))</f>
        <v>Office Supplies</v>
      </c>
      <c r="R995" s="0" t="str">
        <f aca="false">INDEX(Customers!$F$2:$F$101,MATCH(D995,Customers!$A$2:$A$101,0))</f>
        <v>East</v>
      </c>
      <c r="S995" s="0" t="str">
        <f aca="false">INDEX(Customers!$C$2:$C$101,MATCH(D995,Customers!$A$2:$A$101,0))</f>
        <v>Small Business</v>
      </c>
      <c r="T995" s="0" t="str">
        <f aca="false">INDEX(Customers!$D$2:$D$101,MATCH(D995,Customers!$A$2:$A$101,0))</f>
        <v>Kolkata</v>
      </c>
    </row>
    <row r="996" customFormat="false" ht="15" hidden="false" customHeight="false" outlineLevel="0" collapsed="false">
      <c r="A996" s="0" t="s">
        <v>1267</v>
      </c>
      <c r="B996" s="37" t="n">
        <v>45583</v>
      </c>
      <c r="C996" s="37" t="n">
        <v>45589</v>
      </c>
      <c r="D996" s="38" t="s">
        <v>498</v>
      </c>
      <c r="E996" s="38" t="s">
        <v>113</v>
      </c>
      <c r="F996" s="38" t="s">
        <v>101</v>
      </c>
      <c r="G996" s="38" t="s">
        <v>170</v>
      </c>
      <c r="H996" s="0" t="n">
        <v>10</v>
      </c>
      <c r="I996" s="39" t="n">
        <v>45000</v>
      </c>
      <c r="J996" s="40" t="n">
        <v>0</v>
      </c>
      <c r="K996" s="39" t="n">
        <v>450000</v>
      </c>
      <c r="L996" s="39" t="n">
        <v>360000</v>
      </c>
      <c r="M996" s="39" t="n">
        <v>90000</v>
      </c>
      <c r="N996" s="38" t="s">
        <v>66</v>
      </c>
      <c r="O996" s="38" t="n">
        <f aca="false">YEAR(B996)</f>
        <v>2024</v>
      </c>
      <c r="P996" s="41" t="n">
        <f aca="false">DATE(YEAR(B996),MONTH(B996),1)</f>
        <v>45566</v>
      </c>
      <c r="Q996" s="0" t="str">
        <f aca="false">INDEX(Products!$C$2:$C$16,MATCH(E996,Products!$A$2:$A$16,0))</f>
        <v>Technology</v>
      </c>
      <c r="R996" s="0" t="str">
        <f aca="false">INDEX(Customers!$F$2:$F$101,MATCH(D996,Customers!$A$2:$A$101,0))</f>
        <v>East</v>
      </c>
      <c r="S996" s="0" t="str">
        <f aca="false">INDEX(Customers!$C$2:$C$101,MATCH(D996,Customers!$A$2:$A$101,0))</f>
        <v>Consumer</v>
      </c>
      <c r="T996" s="0" t="str">
        <f aca="false">INDEX(Customers!$D$2:$D$101,MATCH(D996,Customers!$A$2:$A$101,0))</f>
        <v>Bhubaneswar</v>
      </c>
    </row>
    <row r="997" customFormat="false" ht="15" hidden="false" customHeight="false" outlineLevel="0" collapsed="false">
      <c r="A997" s="0" t="s">
        <v>1268</v>
      </c>
      <c r="B997" s="37" t="n">
        <v>45623</v>
      </c>
      <c r="C997" s="37" t="n">
        <v>45625</v>
      </c>
      <c r="D997" s="38" t="s">
        <v>343</v>
      </c>
      <c r="E997" s="38" t="s">
        <v>126</v>
      </c>
      <c r="F997" s="38" t="s">
        <v>102</v>
      </c>
      <c r="G997" s="38" t="s">
        <v>185</v>
      </c>
      <c r="H997" s="0" t="n">
        <v>1</v>
      </c>
      <c r="I997" s="39" t="n">
        <v>1200</v>
      </c>
      <c r="J997" s="40" t="n">
        <v>0.1</v>
      </c>
      <c r="K997" s="39" t="n">
        <v>1080</v>
      </c>
      <c r="L997" s="39" t="n">
        <v>700</v>
      </c>
      <c r="M997" s="39" t="n">
        <v>380</v>
      </c>
      <c r="N997" s="38" t="s">
        <v>66</v>
      </c>
      <c r="O997" s="38" t="n">
        <f aca="false">YEAR(B997)</f>
        <v>2024</v>
      </c>
      <c r="P997" s="41" t="n">
        <f aca="false">DATE(YEAR(B997),MONTH(B997),1)</f>
        <v>45597</v>
      </c>
      <c r="Q997" s="0" t="str">
        <f aca="false">INDEX(Products!$C$2:$C$16,MATCH(E997,Products!$A$2:$A$16,0))</f>
        <v>Furniture</v>
      </c>
      <c r="R997" s="0" t="str">
        <f aca="false">INDEX(Customers!$F$2:$F$101,MATCH(D997,Customers!$A$2:$A$101,0))</f>
        <v>West</v>
      </c>
      <c r="S997" s="0" t="str">
        <f aca="false">INDEX(Customers!$C$2:$C$101,MATCH(D997,Customers!$A$2:$A$101,0))</f>
        <v>Consumer</v>
      </c>
      <c r="T997" s="0" t="str">
        <f aca="false">INDEX(Customers!$D$2:$D$101,MATCH(D997,Customers!$A$2:$A$101,0))</f>
        <v>Mumbai</v>
      </c>
    </row>
    <row r="998" customFormat="false" ht="15" hidden="false" customHeight="false" outlineLevel="0" collapsed="false">
      <c r="A998" s="0" t="s">
        <v>1269</v>
      </c>
      <c r="B998" s="37" t="n">
        <v>45965</v>
      </c>
      <c r="C998" s="37" t="n">
        <v>45966</v>
      </c>
      <c r="D998" s="38" t="s">
        <v>638</v>
      </c>
      <c r="E998" s="38" t="s">
        <v>122</v>
      </c>
      <c r="F998" s="38" t="s">
        <v>102</v>
      </c>
      <c r="G998" s="38" t="s">
        <v>188</v>
      </c>
      <c r="H998" s="0" t="n">
        <v>2</v>
      </c>
      <c r="I998" s="39" t="n">
        <v>5500</v>
      </c>
      <c r="J998" s="40" t="n">
        <v>0</v>
      </c>
      <c r="K998" s="39" t="n">
        <v>11000</v>
      </c>
      <c r="L998" s="39" t="n">
        <v>7400</v>
      </c>
      <c r="M998" s="39" t="n">
        <v>3600</v>
      </c>
      <c r="N998" s="38" t="s">
        <v>146</v>
      </c>
      <c r="O998" s="38" t="n">
        <f aca="false">YEAR(B998)</f>
        <v>2025</v>
      </c>
      <c r="P998" s="41" t="n">
        <f aca="false">DATE(YEAR(B998),MONTH(B998),1)</f>
        <v>45962</v>
      </c>
      <c r="Q998" s="0" t="str">
        <f aca="false">INDEX(Products!$C$2:$C$16,MATCH(E998,Products!$A$2:$A$16,0))</f>
        <v>Furniture</v>
      </c>
      <c r="R998" s="0" t="str">
        <f aca="false">INDEX(Customers!$F$2:$F$101,MATCH(D998,Customers!$A$2:$A$101,0))</f>
        <v>North</v>
      </c>
      <c r="S998" s="0" t="str">
        <f aca="false">INDEX(Customers!$C$2:$C$101,MATCH(D998,Customers!$A$2:$A$101,0))</f>
        <v>Small Business</v>
      </c>
      <c r="T998" s="0" t="str">
        <f aca="false">INDEX(Customers!$D$2:$D$101,MATCH(D998,Customers!$A$2:$A$101,0))</f>
        <v>Lucknow</v>
      </c>
    </row>
    <row r="999" customFormat="false" ht="15" hidden="false" customHeight="false" outlineLevel="0" collapsed="false">
      <c r="A999" s="0" t="s">
        <v>1270</v>
      </c>
      <c r="B999" s="37" t="n">
        <v>46043</v>
      </c>
      <c r="C999" s="37" t="n">
        <v>46050</v>
      </c>
      <c r="D999" s="38" t="s">
        <v>390</v>
      </c>
      <c r="E999" s="38" t="s">
        <v>124</v>
      </c>
      <c r="F999" s="38" t="s">
        <v>100</v>
      </c>
      <c r="G999" s="38" t="s">
        <v>170</v>
      </c>
      <c r="H999" s="0" t="n">
        <v>3</v>
      </c>
      <c r="I999" s="39" t="n">
        <v>3000</v>
      </c>
      <c r="J999" s="40" t="n">
        <v>0</v>
      </c>
      <c r="K999" s="39" t="n">
        <v>9000</v>
      </c>
      <c r="L999" s="39" t="n">
        <v>5700</v>
      </c>
      <c r="M999" s="39" t="n">
        <v>3300</v>
      </c>
      <c r="N999" s="38" t="s">
        <v>66</v>
      </c>
      <c r="O999" s="38" t="n">
        <f aca="false">YEAR(B999)</f>
        <v>2026</v>
      </c>
      <c r="P999" s="41" t="n">
        <f aca="false">DATE(YEAR(B999),MONTH(B999),1)</f>
        <v>46023</v>
      </c>
      <c r="Q999" s="0" t="str">
        <f aca="false">INDEX(Products!$C$2:$C$16,MATCH(E999,Products!$A$2:$A$16,0))</f>
        <v>Technology</v>
      </c>
      <c r="R999" s="0" t="str">
        <f aca="false">INDEX(Customers!$F$2:$F$101,MATCH(D999,Customers!$A$2:$A$101,0))</f>
        <v>South</v>
      </c>
      <c r="S999" s="0" t="str">
        <f aca="false">INDEX(Customers!$C$2:$C$101,MATCH(D999,Customers!$A$2:$A$101,0))</f>
        <v>Consumer</v>
      </c>
      <c r="T999" s="0" t="str">
        <f aca="false">INDEX(Customers!$D$2:$D$101,MATCH(D999,Customers!$A$2:$A$101,0))</f>
        <v>Chennai</v>
      </c>
    </row>
    <row r="1000" customFormat="false" ht="15" hidden="false" customHeight="false" outlineLevel="0" collapsed="false">
      <c r="A1000" s="0" t="s">
        <v>1271</v>
      </c>
      <c r="B1000" s="37" t="n">
        <v>45364</v>
      </c>
      <c r="C1000" s="37" t="n">
        <v>45369</v>
      </c>
      <c r="D1000" s="38" t="s">
        <v>454</v>
      </c>
      <c r="E1000" s="38" t="s">
        <v>124</v>
      </c>
      <c r="F1000" s="38" t="s">
        <v>100</v>
      </c>
      <c r="G1000" s="38" t="s">
        <v>185</v>
      </c>
      <c r="H1000" s="0" t="n">
        <v>8</v>
      </c>
      <c r="I1000" s="39" t="n">
        <v>3000</v>
      </c>
      <c r="J1000" s="40" t="n">
        <v>0.1</v>
      </c>
      <c r="K1000" s="39" t="n">
        <v>21600</v>
      </c>
      <c r="L1000" s="39" t="n">
        <v>15200</v>
      </c>
      <c r="M1000" s="39" t="n">
        <v>6400</v>
      </c>
      <c r="N1000" s="38" t="s">
        <v>66</v>
      </c>
      <c r="O1000" s="38" t="n">
        <f aca="false">YEAR(B1000)</f>
        <v>2024</v>
      </c>
      <c r="P1000" s="41" t="n">
        <f aca="false">DATE(YEAR(B1000),MONTH(B1000),1)</f>
        <v>45352</v>
      </c>
      <c r="Q1000" s="0" t="str">
        <f aca="false">INDEX(Products!$C$2:$C$16,MATCH(E1000,Products!$A$2:$A$16,0))</f>
        <v>Technology</v>
      </c>
      <c r="R1000" s="0" t="str">
        <f aca="false">INDEX(Customers!$F$2:$F$101,MATCH(D1000,Customers!$A$2:$A$101,0))</f>
        <v>West</v>
      </c>
      <c r="S1000" s="0" t="str">
        <f aca="false">INDEX(Customers!$C$2:$C$101,MATCH(D1000,Customers!$A$2:$A$101,0))</f>
        <v>Consumer</v>
      </c>
      <c r="T1000" s="0" t="str">
        <f aca="false">INDEX(Customers!$D$2:$D$101,MATCH(D1000,Customers!$A$2:$A$101,0))</f>
        <v>Pune</v>
      </c>
    </row>
    <row r="1001" customFormat="false" ht="15" hidden="false" customHeight="false" outlineLevel="0" collapsed="false">
      <c r="A1001" s="0" t="s">
        <v>1272</v>
      </c>
      <c r="B1001" s="37" t="n">
        <v>46178</v>
      </c>
      <c r="C1001" s="37" t="n">
        <v>46182</v>
      </c>
      <c r="D1001" s="38" t="s">
        <v>407</v>
      </c>
      <c r="E1001" s="38" t="s">
        <v>125</v>
      </c>
      <c r="F1001" s="38" t="s">
        <v>100</v>
      </c>
      <c r="G1001" s="38" t="s">
        <v>173</v>
      </c>
      <c r="H1001" s="0" t="n">
        <v>1</v>
      </c>
      <c r="I1001" s="39" t="n">
        <v>600</v>
      </c>
      <c r="J1001" s="40" t="n">
        <v>0.25</v>
      </c>
      <c r="K1001" s="39" t="n">
        <v>450</v>
      </c>
      <c r="L1001" s="39" t="n">
        <v>350</v>
      </c>
      <c r="M1001" s="39" t="n">
        <v>100</v>
      </c>
      <c r="N1001" s="38" t="s">
        <v>66</v>
      </c>
      <c r="O1001" s="38" t="n">
        <f aca="false">YEAR(B1001)</f>
        <v>2026</v>
      </c>
      <c r="P1001" s="41" t="n">
        <f aca="false">DATE(YEAR(B1001),MONTH(B1001),1)</f>
        <v>46174</v>
      </c>
      <c r="Q1001" s="0" t="str">
        <f aca="false">INDEX(Products!$C$2:$C$16,MATCH(E1001,Products!$A$2:$A$16,0))</f>
        <v>Office Supplies</v>
      </c>
      <c r="R1001" s="0" t="str">
        <f aca="false">INDEX(Customers!$F$2:$F$101,MATCH(D1001,Customers!$A$2:$A$101,0))</f>
        <v>North</v>
      </c>
      <c r="S1001" s="0" t="str">
        <f aca="false">INDEX(Customers!$C$2:$C$101,MATCH(D1001,Customers!$A$2:$A$101,0))</f>
        <v>Small Business</v>
      </c>
      <c r="T1001" s="0" t="str">
        <f aca="false">INDEX(Customers!$D$2:$D$101,MATCH(D1001,Customers!$A$2:$A$101,0))</f>
        <v>Delhi</v>
      </c>
    </row>
    <row r="1002" customFormat="false" ht="15" hidden="false" customHeight="false" outlineLevel="0" collapsed="false">
      <c r="A1002" s="0" t="s">
        <v>1273</v>
      </c>
      <c r="B1002" s="37" t="n">
        <v>45954</v>
      </c>
      <c r="C1002" s="37" t="n">
        <v>45961</v>
      </c>
      <c r="D1002" s="38" t="s">
        <v>251</v>
      </c>
      <c r="E1002" s="38" t="s">
        <v>117</v>
      </c>
      <c r="F1002" s="38" t="s">
        <v>100</v>
      </c>
      <c r="G1002" s="38" t="s">
        <v>170</v>
      </c>
      <c r="H1002" s="0" t="n">
        <v>8</v>
      </c>
      <c r="I1002" s="39" t="n">
        <v>6500</v>
      </c>
      <c r="J1002" s="40" t="n">
        <v>0</v>
      </c>
      <c r="K1002" s="39" t="n">
        <v>52000</v>
      </c>
      <c r="L1002" s="39" t="n">
        <v>33600</v>
      </c>
      <c r="M1002" s="39" t="n">
        <v>18400</v>
      </c>
      <c r="N1002" s="38" t="s">
        <v>66</v>
      </c>
      <c r="O1002" s="38" t="n">
        <f aca="false">YEAR(B1002)</f>
        <v>2025</v>
      </c>
      <c r="P1002" s="41" t="n">
        <f aca="false">DATE(YEAR(B1002),MONTH(B1002),1)</f>
        <v>45931</v>
      </c>
      <c r="Q1002" s="0" t="str">
        <f aca="false">INDEX(Products!$C$2:$C$16,MATCH(E1002,Products!$A$2:$A$16,0))</f>
        <v>Furniture</v>
      </c>
      <c r="R1002" s="0" t="str">
        <f aca="false">INDEX(Customers!$F$2:$F$101,MATCH(D1002,Customers!$A$2:$A$101,0))</f>
        <v>South</v>
      </c>
      <c r="S1002" s="0" t="str">
        <f aca="false">INDEX(Customers!$C$2:$C$101,MATCH(D1002,Customers!$A$2:$A$101,0))</f>
        <v>Corporate</v>
      </c>
      <c r="T1002" s="0" t="str">
        <f aca="false">INDEX(Customers!$D$2:$D$101,MATCH(D1002,Customers!$A$2:$A$101,0))</f>
        <v>Bengaluru</v>
      </c>
    </row>
    <row r="1003" customFormat="false" ht="15" hidden="false" customHeight="false" outlineLevel="0" collapsed="false">
      <c r="A1003" s="0" t="s">
        <v>1274</v>
      </c>
      <c r="B1003" s="37" t="n">
        <v>46117</v>
      </c>
      <c r="C1003" s="37" t="n">
        <v>46120</v>
      </c>
      <c r="D1003" s="38" t="s">
        <v>272</v>
      </c>
      <c r="E1003" s="38" t="s">
        <v>124</v>
      </c>
      <c r="F1003" s="38" t="s">
        <v>100</v>
      </c>
      <c r="G1003" s="38" t="s">
        <v>170</v>
      </c>
      <c r="H1003" s="0" t="n">
        <v>6</v>
      </c>
      <c r="I1003" s="39" t="n">
        <v>3000</v>
      </c>
      <c r="J1003" s="40" t="n">
        <v>0.15</v>
      </c>
      <c r="K1003" s="39" t="n">
        <v>15300</v>
      </c>
      <c r="L1003" s="39" t="n">
        <v>11400</v>
      </c>
      <c r="M1003" s="39" t="n">
        <v>3900</v>
      </c>
      <c r="N1003" s="38" t="s">
        <v>66</v>
      </c>
      <c r="O1003" s="38" t="n">
        <f aca="false">YEAR(B1003)</f>
        <v>2026</v>
      </c>
      <c r="P1003" s="41" t="n">
        <f aca="false">DATE(YEAR(B1003),MONTH(B1003),1)</f>
        <v>46113</v>
      </c>
      <c r="Q1003" s="0" t="str">
        <f aca="false">INDEX(Products!$C$2:$C$16,MATCH(E1003,Products!$A$2:$A$16,0))</f>
        <v>Technology</v>
      </c>
      <c r="R1003" s="0" t="str">
        <f aca="false">INDEX(Customers!$F$2:$F$101,MATCH(D1003,Customers!$A$2:$A$101,0))</f>
        <v>West</v>
      </c>
      <c r="S1003" s="0" t="str">
        <f aca="false">INDEX(Customers!$C$2:$C$101,MATCH(D1003,Customers!$A$2:$A$101,0))</f>
        <v>Corporate</v>
      </c>
      <c r="T1003" s="0" t="str">
        <f aca="false">INDEX(Customers!$D$2:$D$101,MATCH(D1003,Customers!$A$2:$A$101,0))</f>
        <v>Ahmedabad</v>
      </c>
    </row>
    <row r="1004" customFormat="false" ht="15" hidden="false" customHeight="false" outlineLevel="0" collapsed="false">
      <c r="A1004" s="0" t="s">
        <v>1275</v>
      </c>
      <c r="B1004" s="37" t="n">
        <v>45496</v>
      </c>
      <c r="C1004" s="37" t="n">
        <v>45500</v>
      </c>
      <c r="D1004" s="38" t="s">
        <v>329</v>
      </c>
      <c r="E1004" s="38" t="s">
        <v>121</v>
      </c>
      <c r="F1004" s="38" t="s">
        <v>101</v>
      </c>
      <c r="G1004" s="38" t="s">
        <v>170</v>
      </c>
      <c r="H1004" s="0" t="n">
        <v>2</v>
      </c>
      <c r="I1004" s="39" t="n">
        <v>180</v>
      </c>
      <c r="J1004" s="40" t="n">
        <v>0.1</v>
      </c>
      <c r="K1004" s="39" t="n">
        <v>324</v>
      </c>
      <c r="L1004" s="39" t="n">
        <v>140</v>
      </c>
      <c r="M1004" s="39" t="n">
        <v>184</v>
      </c>
      <c r="N1004" s="38" t="s">
        <v>66</v>
      </c>
      <c r="O1004" s="38" t="n">
        <f aca="false">YEAR(B1004)</f>
        <v>2024</v>
      </c>
      <c r="P1004" s="41" t="n">
        <f aca="false">DATE(YEAR(B1004),MONTH(B1004),1)</f>
        <v>45474</v>
      </c>
      <c r="Q1004" s="0" t="str">
        <f aca="false">INDEX(Products!$C$2:$C$16,MATCH(E1004,Products!$A$2:$A$16,0))</f>
        <v>Office Supplies</v>
      </c>
      <c r="R1004" s="0" t="str">
        <f aca="false">INDEX(Customers!$F$2:$F$101,MATCH(D1004,Customers!$A$2:$A$101,0))</f>
        <v>West</v>
      </c>
      <c r="S1004" s="0" t="str">
        <f aca="false">INDEX(Customers!$C$2:$C$101,MATCH(D1004,Customers!$A$2:$A$101,0))</f>
        <v>Corporate</v>
      </c>
      <c r="T1004" s="0" t="str">
        <f aca="false">INDEX(Customers!$D$2:$D$101,MATCH(D1004,Customers!$A$2:$A$101,0))</f>
        <v>Pune</v>
      </c>
    </row>
    <row r="1005" customFormat="false" ht="15" hidden="false" customHeight="false" outlineLevel="0" collapsed="false">
      <c r="A1005" s="0" t="s">
        <v>1276</v>
      </c>
      <c r="B1005" s="37" t="n">
        <v>46066</v>
      </c>
      <c r="C1005" s="37" t="n">
        <v>46070</v>
      </c>
      <c r="D1005" s="38" t="s">
        <v>367</v>
      </c>
      <c r="E1005" s="38" t="s">
        <v>114</v>
      </c>
      <c r="F1005" s="38" t="s">
        <v>100</v>
      </c>
      <c r="G1005" s="38" t="s">
        <v>185</v>
      </c>
      <c r="H1005" s="0" t="n">
        <v>5</v>
      </c>
      <c r="I1005" s="39" t="n">
        <v>800</v>
      </c>
      <c r="J1005" s="40" t="n">
        <v>0.15</v>
      </c>
      <c r="K1005" s="39" t="n">
        <v>3400</v>
      </c>
      <c r="L1005" s="39" t="n">
        <v>2100</v>
      </c>
      <c r="M1005" s="39" t="n">
        <v>1300</v>
      </c>
      <c r="N1005" s="38" t="s">
        <v>66</v>
      </c>
      <c r="O1005" s="38" t="n">
        <f aca="false">YEAR(B1005)</f>
        <v>2026</v>
      </c>
      <c r="P1005" s="41" t="n">
        <f aca="false">DATE(YEAR(B1005),MONTH(B1005),1)</f>
        <v>46054</v>
      </c>
      <c r="Q1005" s="0" t="str">
        <f aca="false">INDEX(Products!$C$2:$C$16,MATCH(E1005,Products!$A$2:$A$16,0))</f>
        <v>Technology</v>
      </c>
      <c r="R1005" s="0" t="str">
        <f aca="false">INDEX(Customers!$F$2:$F$101,MATCH(D1005,Customers!$A$2:$A$101,0))</f>
        <v>West</v>
      </c>
      <c r="S1005" s="0" t="str">
        <f aca="false">INDEX(Customers!$C$2:$C$101,MATCH(D1005,Customers!$A$2:$A$101,0))</f>
        <v>Corporate</v>
      </c>
      <c r="T1005" s="0" t="str">
        <f aca="false">INDEX(Customers!$D$2:$D$101,MATCH(D1005,Customers!$A$2:$A$101,0))</f>
        <v>Ahmedabad</v>
      </c>
    </row>
    <row r="1006" customFormat="false" ht="15" hidden="false" customHeight="false" outlineLevel="0" collapsed="false">
      <c r="A1006" s="0" t="s">
        <v>1277</v>
      </c>
      <c r="B1006" s="37" t="n">
        <v>45817</v>
      </c>
      <c r="C1006" s="37" t="n">
        <v>45820</v>
      </c>
      <c r="D1006" s="38" t="s">
        <v>283</v>
      </c>
      <c r="E1006" s="38" t="s">
        <v>113</v>
      </c>
      <c r="F1006" s="38" t="s">
        <v>100</v>
      </c>
      <c r="G1006" s="38" t="s">
        <v>173</v>
      </c>
      <c r="H1006" s="0" t="n">
        <v>8</v>
      </c>
      <c r="I1006" s="39" t="n">
        <v>45000</v>
      </c>
      <c r="J1006" s="40" t="n">
        <v>0.2</v>
      </c>
      <c r="K1006" s="39" t="n">
        <v>288000</v>
      </c>
      <c r="L1006" s="39" t="n">
        <v>288000</v>
      </c>
      <c r="M1006" s="39" t="n">
        <v>0</v>
      </c>
      <c r="N1006" s="38" t="s">
        <v>146</v>
      </c>
      <c r="O1006" s="38" t="n">
        <f aca="false">YEAR(B1006)</f>
        <v>2025</v>
      </c>
      <c r="P1006" s="41" t="n">
        <f aca="false">DATE(YEAR(B1006),MONTH(B1006),1)</f>
        <v>45809</v>
      </c>
      <c r="Q1006" s="0" t="str">
        <f aca="false">INDEX(Products!$C$2:$C$16,MATCH(E1006,Products!$A$2:$A$16,0))</f>
        <v>Technology</v>
      </c>
      <c r="R1006" s="0" t="str">
        <f aca="false">INDEX(Customers!$F$2:$F$101,MATCH(D1006,Customers!$A$2:$A$101,0))</f>
        <v>West</v>
      </c>
      <c r="S1006" s="0" t="str">
        <f aca="false">INDEX(Customers!$C$2:$C$101,MATCH(D1006,Customers!$A$2:$A$101,0))</f>
        <v>Small Business</v>
      </c>
      <c r="T1006" s="0" t="str">
        <f aca="false">INDEX(Customers!$D$2:$D$101,MATCH(D1006,Customers!$A$2:$A$101,0))</f>
        <v>Mumbai</v>
      </c>
    </row>
    <row r="1007" customFormat="false" ht="15" hidden="false" customHeight="false" outlineLevel="0" collapsed="false">
      <c r="A1007" s="0" t="s">
        <v>1278</v>
      </c>
      <c r="B1007" s="37" t="n">
        <v>45954</v>
      </c>
      <c r="C1007" s="37" t="n">
        <v>45959</v>
      </c>
      <c r="D1007" s="38" t="s">
        <v>379</v>
      </c>
      <c r="E1007" s="38" t="s">
        <v>123</v>
      </c>
      <c r="F1007" s="38" t="s">
        <v>101</v>
      </c>
      <c r="G1007" s="38" t="s">
        <v>178</v>
      </c>
      <c r="H1007" s="0" t="n">
        <v>1</v>
      </c>
      <c r="I1007" s="39" t="n">
        <v>2200</v>
      </c>
      <c r="J1007" s="40" t="n">
        <v>0.1</v>
      </c>
      <c r="K1007" s="39" t="n">
        <v>1980</v>
      </c>
      <c r="L1007" s="39" t="n">
        <v>1300</v>
      </c>
      <c r="M1007" s="39" t="n">
        <v>680</v>
      </c>
      <c r="N1007" s="38" t="s">
        <v>66</v>
      </c>
      <c r="O1007" s="38" t="n">
        <f aca="false">YEAR(B1007)</f>
        <v>2025</v>
      </c>
      <c r="P1007" s="41" t="n">
        <f aca="false">DATE(YEAR(B1007),MONTH(B1007),1)</f>
        <v>45931</v>
      </c>
      <c r="Q1007" s="0" t="str">
        <f aca="false">INDEX(Products!$C$2:$C$16,MATCH(E1007,Products!$A$2:$A$16,0))</f>
        <v>Technology</v>
      </c>
      <c r="R1007" s="0" t="str">
        <f aca="false">INDEX(Customers!$F$2:$F$101,MATCH(D1007,Customers!$A$2:$A$101,0))</f>
        <v>North</v>
      </c>
      <c r="S1007" s="0" t="str">
        <f aca="false">INDEX(Customers!$C$2:$C$101,MATCH(D1007,Customers!$A$2:$A$101,0))</f>
        <v>Consumer</v>
      </c>
      <c r="T1007" s="0" t="str">
        <f aca="false">INDEX(Customers!$D$2:$D$101,MATCH(D1007,Customers!$A$2:$A$101,0))</f>
        <v>Lucknow</v>
      </c>
    </row>
    <row r="1008" customFormat="false" ht="15" hidden="false" customHeight="false" outlineLevel="0" collapsed="false">
      <c r="A1008" s="0" t="s">
        <v>1279</v>
      </c>
      <c r="B1008" s="37" t="n">
        <v>45444</v>
      </c>
      <c r="C1008" s="37" t="n">
        <v>45446</v>
      </c>
      <c r="D1008" s="38" t="s">
        <v>249</v>
      </c>
      <c r="E1008" s="38" t="s">
        <v>117</v>
      </c>
      <c r="F1008" s="38" t="s">
        <v>100</v>
      </c>
      <c r="G1008" s="38" t="s">
        <v>188</v>
      </c>
      <c r="H1008" s="0" t="n">
        <v>3</v>
      </c>
      <c r="I1008" s="39" t="n">
        <v>6500</v>
      </c>
      <c r="J1008" s="40" t="n">
        <v>0.05</v>
      </c>
      <c r="K1008" s="39" t="n">
        <v>18525</v>
      </c>
      <c r="L1008" s="39" t="n">
        <v>12600</v>
      </c>
      <c r="M1008" s="39" t="n">
        <v>5925</v>
      </c>
      <c r="N1008" s="38" t="s">
        <v>66</v>
      </c>
      <c r="O1008" s="38" t="n">
        <f aca="false">YEAR(B1008)</f>
        <v>2024</v>
      </c>
      <c r="P1008" s="41" t="n">
        <f aca="false">DATE(YEAR(B1008),MONTH(B1008),1)</f>
        <v>45444</v>
      </c>
      <c r="Q1008" s="0" t="str">
        <f aca="false">INDEX(Products!$C$2:$C$16,MATCH(E1008,Products!$A$2:$A$16,0))</f>
        <v>Furniture</v>
      </c>
      <c r="R1008" s="0" t="str">
        <f aca="false">INDEX(Customers!$F$2:$F$101,MATCH(D1008,Customers!$A$2:$A$101,0))</f>
        <v>East</v>
      </c>
      <c r="S1008" s="0" t="str">
        <f aca="false">INDEX(Customers!$C$2:$C$101,MATCH(D1008,Customers!$A$2:$A$101,0))</f>
        <v>Consumer</v>
      </c>
      <c r="T1008" s="0" t="str">
        <f aca="false">INDEX(Customers!$D$2:$D$101,MATCH(D1008,Customers!$A$2:$A$101,0))</f>
        <v>Kolkata</v>
      </c>
    </row>
    <row r="1009" customFormat="false" ht="15" hidden="false" customHeight="false" outlineLevel="0" collapsed="false">
      <c r="A1009" s="0" t="s">
        <v>1280</v>
      </c>
      <c r="B1009" s="37" t="n">
        <v>45856</v>
      </c>
      <c r="C1009" s="37" t="n">
        <v>45857</v>
      </c>
      <c r="D1009" s="38" t="s">
        <v>224</v>
      </c>
      <c r="E1009" s="38" t="s">
        <v>113</v>
      </c>
      <c r="F1009" s="38" t="s">
        <v>100</v>
      </c>
      <c r="G1009" s="38" t="s">
        <v>188</v>
      </c>
      <c r="H1009" s="0" t="n">
        <v>6</v>
      </c>
      <c r="I1009" s="39" t="n">
        <v>45000</v>
      </c>
      <c r="J1009" s="40" t="n">
        <v>0.15</v>
      </c>
      <c r="K1009" s="39" t="n">
        <v>229500</v>
      </c>
      <c r="L1009" s="39" t="n">
        <v>216000</v>
      </c>
      <c r="M1009" s="39" t="n">
        <v>13500</v>
      </c>
      <c r="N1009" s="38" t="s">
        <v>66</v>
      </c>
      <c r="O1009" s="38" t="n">
        <f aca="false">YEAR(B1009)</f>
        <v>2025</v>
      </c>
      <c r="P1009" s="41" t="n">
        <f aca="false">DATE(YEAR(B1009),MONTH(B1009),1)</f>
        <v>45839</v>
      </c>
      <c r="Q1009" s="0" t="str">
        <f aca="false">INDEX(Products!$C$2:$C$16,MATCH(E1009,Products!$A$2:$A$16,0))</f>
        <v>Technology</v>
      </c>
      <c r="R1009" s="0" t="str">
        <f aca="false">INDEX(Customers!$F$2:$F$101,MATCH(D1009,Customers!$A$2:$A$101,0))</f>
        <v>North</v>
      </c>
      <c r="S1009" s="0" t="str">
        <f aca="false">INDEX(Customers!$C$2:$C$101,MATCH(D1009,Customers!$A$2:$A$101,0))</f>
        <v>Small Business</v>
      </c>
      <c r="T1009" s="0" t="str">
        <f aca="false">INDEX(Customers!$D$2:$D$101,MATCH(D1009,Customers!$A$2:$A$101,0))</f>
        <v>Jaipur</v>
      </c>
    </row>
    <row r="1010" customFormat="false" ht="15" hidden="false" customHeight="false" outlineLevel="0" collapsed="false">
      <c r="A1010" s="0" t="s">
        <v>1281</v>
      </c>
      <c r="B1010" s="37" t="n">
        <v>45968</v>
      </c>
      <c r="C1010" s="37" t="n">
        <v>45974</v>
      </c>
      <c r="D1010" s="38" t="s">
        <v>354</v>
      </c>
      <c r="E1010" s="38" t="s">
        <v>120</v>
      </c>
      <c r="F1010" s="38" t="s">
        <v>101</v>
      </c>
      <c r="G1010" s="38" t="s">
        <v>170</v>
      </c>
      <c r="H1010" s="0" t="n">
        <v>3</v>
      </c>
      <c r="I1010" s="39" t="n">
        <v>400</v>
      </c>
      <c r="J1010" s="40" t="n">
        <v>0.05</v>
      </c>
      <c r="K1010" s="39" t="n">
        <v>1140</v>
      </c>
      <c r="L1010" s="39" t="n">
        <v>780</v>
      </c>
      <c r="M1010" s="39" t="n">
        <v>360</v>
      </c>
      <c r="N1010" s="38" t="s">
        <v>66</v>
      </c>
      <c r="O1010" s="38" t="n">
        <f aca="false">YEAR(B1010)</f>
        <v>2025</v>
      </c>
      <c r="P1010" s="41" t="n">
        <f aca="false">DATE(YEAR(B1010),MONTH(B1010),1)</f>
        <v>45962</v>
      </c>
      <c r="Q1010" s="0" t="str">
        <f aca="false">INDEX(Products!$C$2:$C$16,MATCH(E1010,Products!$A$2:$A$16,0))</f>
        <v>Office Supplies</v>
      </c>
      <c r="R1010" s="0" t="str">
        <f aca="false">INDEX(Customers!$F$2:$F$101,MATCH(D1010,Customers!$A$2:$A$101,0))</f>
        <v>East</v>
      </c>
      <c r="S1010" s="0" t="str">
        <f aca="false">INDEX(Customers!$C$2:$C$101,MATCH(D1010,Customers!$A$2:$A$101,0))</f>
        <v>Small Business</v>
      </c>
      <c r="T1010" s="0" t="str">
        <f aca="false">INDEX(Customers!$D$2:$D$101,MATCH(D1010,Customers!$A$2:$A$101,0))</f>
        <v>Bhubaneswar</v>
      </c>
    </row>
    <row r="1011" customFormat="false" ht="15" hidden="false" customHeight="false" outlineLevel="0" collapsed="false">
      <c r="A1011" s="0" t="s">
        <v>1282</v>
      </c>
      <c r="B1011" s="37" t="n">
        <v>45308</v>
      </c>
      <c r="C1011" s="37" t="n">
        <v>45309</v>
      </c>
      <c r="D1011" s="38" t="s">
        <v>276</v>
      </c>
      <c r="E1011" s="38" t="s">
        <v>121</v>
      </c>
      <c r="F1011" s="38" t="s">
        <v>100</v>
      </c>
      <c r="G1011" s="38" t="s">
        <v>173</v>
      </c>
      <c r="H1011" s="0" t="n">
        <v>4</v>
      </c>
      <c r="I1011" s="39" t="n">
        <v>180</v>
      </c>
      <c r="J1011" s="40" t="n">
        <v>0.1</v>
      </c>
      <c r="K1011" s="39" t="n">
        <v>648</v>
      </c>
      <c r="L1011" s="39" t="n">
        <v>280</v>
      </c>
      <c r="M1011" s="39" t="n">
        <v>368</v>
      </c>
      <c r="N1011" s="38" t="s">
        <v>66</v>
      </c>
      <c r="O1011" s="38" t="n">
        <f aca="false">YEAR(B1011)</f>
        <v>2024</v>
      </c>
      <c r="P1011" s="41" t="n">
        <f aca="false">DATE(YEAR(B1011),MONTH(B1011),1)</f>
        <v>45292</v>
      </c>
      <c r="Q1011" s="0" t="str">
        <f aca="false">INDEX(Products!$C$2:$C$16,MATCH(E1011,Products!$A$2:$A$16,0))</f>
        <v>Office Supplies</v>
      </c>
      <c r="R1011" s="0" t="str">
        <f aca="false">INDEX(Customers!$F$2:$F$101,MATCH(D1011,Customers!$A$2:$A$101,0))</f>
        <v>North</v>
      </c>
      <c r="S1011" s="0" t="str">
        <f aca="false">INDEX(Customers!$C$2:$C$101,MATCH(D1011,Customers!$A$2:$A$101,0))</f>
        <v>Small Business</v>
      </c>
      <c r="T1011" s="0" t="str">
        <f aca="false">INDEX(Customers!$D$2:$D$101,MATCH(D1011,Customers!$A$2:$A$101,0))</f>
        <v>Lucknow</v>
      </c>
    </row>
    <row r="1012" customFormat="false" ht="15" hidden="false" customHeight="false" outlineLevel="0" collapsed="false">
      <c r="A1012" s="0" t="s">
        <v>1283</v>
      </c>
      <c r="B1012" s="37" t="n">
        <v>45718</v>
      </c>
      <c r="C1012" s="37" t="n">
        <v>45724</v>
      </c>
      <c r="D1012" s="38" t="s">
        <v>302</v>
      </c>
      <c r="E1012" s="38" t="s">
        <v>114</v>
      </c>
      <c r="F1012" s="38" t="s">
        <v>102</v>
      </c>
      <c r="G1012" s="38" t="s">
        <v>185</v>
      </c>
      <c r="H1012" s="0" t="n">
        <v>1</v>
      </c>
      <c r="I1012" s="39" t="n">
        <v>800</v>
      </c>
      <c r="J1012" s="40" t="n">
        <v>0.15</v>
      </c>
      <c r="K1012" s="39" t="n">
        <v>680</v>
      </c>
      <c r="L1012" s="39" t="n">
        <v>420</v>
      </c>
      <c r="M1012" s="39" t="n">
        <v>260</v>
      </c>
      <c r="N1012" s="38" t="s">
        <v>66</v>
      </c>
      <c r="O1012" s="38" t="n">
        <f aca="false">YEAR(B1012)</f>
        <v>2025</v>
      </c>
      <c r="P1012" s="41" t="n">
        <f aca="false">DATE(YEAR(B1012),MONTH(B1012),1)</f>
        <v>45717</v>
      </c>
      <c r="Q1012" s="0" t="str">
        <f aca="false">INDEX(Products!$C$2:$C$16,MATCH(E1012,Products!$A$2:$A$16,0))</f>
        <v>Technology</v>
      </c>
      <c r="R1012" s="0" t="str">
        <f aca="false">INDEX(Customers!$F$2:$F$101,MATCH(D1012,Customers!$A$2:$A$101,0))</f>
        <v>East</v>
      </c>
      <c r="S1012" s="0" t="str">
        <f aca="false">INDEX(Customers!$C$2:$C$101,MATCH(D1012,Customers!$A$2:$A$101,0))</f>
        <v>Consumer</v>
      </c>
      <c r="T1012" s="0" t="str">
        <f aca="false">INDEX(Customers!$D$2:$D$101,MATCH(D1012,Customers!$A$2:$A$101,0))</f>
        <v>Bhubaneswar</v>
      </c>
    </row>
    <row r="1013" customFormat="false" ht="15" hidden="false" customHeight="false" outlineLevel="0" collapsed="false">
      <c r="A1013" s="0" t="s">
        <v>1284</v>
      </c>
      <c r="B1013" s="37" t="n">
        <v>46119</v>
      </c>
      <c r="C1013" s="37" t="n">
        <v>46122</v>
      </c>
      <c r="D1013" s="38" t="s">
        <v>260</v>
      </c>
      <c r="E1013" s="38" t="s">
        <v>122</v>
      </c>
      <c r="F1013" s="38" t="s">
        <v>100</v>
      </c>
      <c r="G1013" s="38" t="s">
        <v>173</v>
      </c>
      <c r="H1013" s="0" t="n">
        <v>2</v>
      </c>
      <c r="I1013" s="39" t="n">
        <v>5500</v>
      </c>
      <c r="J1013" s="40" t="n">
        <v>0.25</v>
      </c>
      <c r="K1013" s="39" t="n">
        <v>8250</v>
      </c>
      <c r="L1013" s="39" t="n">
        <v>7400</v>
      </c>
      <c r="M1013" s="39" t="n">
        <v>850</v>
      </c>
      <c r="N1013" s="38" t="s">
        <v>66</v>
      </c>
      <c r="O1013" s="38" t="n">
        <f aca="false">YEAR(B1013)</f>
        <v>2026</v>
      </c>
      <c r="P1013" s="41" t="n">
        <f aca="false">DATE(YEAR(B1013),MONTH(B1013),1)</f>
        <v>46113</v>
      </c>
      <c r="Q1013" s="0" t="str">
        <f aca="false">INDEX(Products!$C$2:$C$16,MATCH(E1013,Products!$A$2:$A$16,0))</f>
        <v>Furniture</v>
      </c>
      <c r="R1013" s="0" t="str">
        <f aca="false">INDEX(Customers!$F$2:$F$101,MATCH(D1013,Customers!$A$2:$A$101,0))</f>
        <v>West</v>
      </c>
      <c r="S1013" s="0" t="str">
        <f aca="false">INDEX(Customers!$C$2:$C$101,MATCH(D1013,Customers!$A$2:$A$101,0))</f>
        <v>Small Business</v>
      </c>
      <c r="T1013" s="0" t="str">
        <f aca="false">INDEX(Customers!$D$2:$D$101,MATCH(D1013,Customers!$A$2:$A$101,0))</f>
        <v>Mumbai</v>
      </c>
    </row>
    <row r="1014" customFormat="false" ht="15" hidden="false" customHeight="false" outlineLevel="0" collapsed="false">
      <c r="A1014" s="0" t="s">
        <v>1285</v>
      </c>
      <c r="B1014" s="37" t="n">
        <v>45557</v>
      </c>
      <c r="C1014" s="37" t="n">
        <v>45564</v>
      </c>
      <c r="D1014" s="38" t="s">
        <v>242</v>
      </c>
      <c r="E1014" s="38" t="s">
        <v>122</v>
      </c>
      <c r="F1014" s="38" t="s">
        <v>102</v>
      </c>
      <c r="G1014" s="38" t="s">
        <v>178</v>
      </c>
      <c r="H1014" s="0" t="n">
        <v>3</v>
      </c>
      <c r="I1014" s="39" t="n">
        <v>5500</v>
      </c>
      <c r="J1014" s="40" t="n">
        <v>0.1</v>
      </c>
      <c r="K1014" s="39" t="n">
        <v>14850</v>
      </c>
      <c r="L1014" s="39" t="n">
        <v>11100</v>
      </c>
      <c r="M1014" s="39" t="n">
        <v>3750</v>
      </c>
      <c r="N1014" s="38" t="s">
        <v>66</v>
      </c>
      <c r="O1014" s="38" t="n">
        <f aca="false">YEAR(B1014)</f>
        <v>2024</v>
      </c>
      <c r="P1014" s="41" t="n">
        <f aca="false">DATE(YEAR(B1014),MONTH(B1014),1)</f>
        <v>45536</v>
      </c>
      <c r="Q1014" s="0" t="str">
        <f aca="false">INDEX(Products!$C$2:$C$16,MATCH(E1014,Products!$A$2:$A$16,0))</f>
        <v>Furniture</v>
      </c>
      <c r="R1014" s="0" t="str">
        <f aca="false">INDEX(Customers!$F$2:$F$101,MATCH(D1014,Customers!$A$2:$A$101,0))</f>
        <v>North</v>
      </c>
      <c r="S1014" s="0" t="str">
        <f aca="false">INDEX(Customers!$C$2:$C$101,MATCH(D1014,Customers!$A$2:$A$101,0))</f>
        <v>Small Business</v>
      </c>
      <c r="T1014" s="0" t="str">
        <f aca="false">INDEX(Customers!$D$2:$D$101,MATCH(D1014,Customers!$A$2:$A$101,0))</f>
        <v>Gurugram</v>
      </c>
    </row>
    <row r="1015" customFormat="false" ht="15" hidden="false" customHeight="false" outlineLevel="0" collapsed="false">
      <c r="A1015" s="0" t="s">
        <v>1286</v>
      </c>
      <c r="B1015" s="37" t="n">
        <v>45467</v>
      </c>
      <c r="C1015" s="37" t="n">
        <v>45473</v>
      </c>
      <c r="D1015" s="38" t="s">
        <v>369</v>
      </c>
      <c r="E1015" s="38" t="s">
        <v>113</v>
      </c>
      <c r="F1015" s="38" t="s">
        <v>101</v>
      </c>
      <c r="G1015" s="38" t="s">
        <v>188</v>
      </c>
      <c r="H1015" s="0" t="n">
        <v>2</v>
      </c>
      <c r="I1015" s="39" t="n">
        <v>45000</v>
      </c>
      <c r="J1015" s="40" t="n">
        <v>0.2</v>
      </c>
      <c r="K1015" s="39" t="n">
        <v>72000</v>
      </c>
      <c r="L1015" s="39" t="n">
        <v>72000</v>
      </c>
      <c r="M1015" s="39" t="n">
        <v>0</v>
      </c>
      <c r="N1015" s="38" t="s">
        <v>66</v>
      </c>
      <c r="O1015" s="38" t="n">
        <f aca="false">YEAR(B1015)</f>
        <v>2024</v>
      </c>
      <c r="P1015" s="41" t="n">
        <f aca="false">DATE(YEAR(B1015),MONTH(B1015),1)</f>
        <v>45444</v>
      </c>
      <c r="Q1015" s="0" t="str">
        <f aca="false">INDEX(Products!$C$2:$C$16,MATCH(E1015,Products!$A$2:$A$16,0))</f>
        <v>Technology</v>
      </c>
      <c r="R1015" s="0" t="str">
        <f aca="false">INDEX(Customers!$F$2:$F$101,MATCH(D1015,Customers!$A$2:$A$101,0))</f>
        <v>West</v>
      </c>
      <c r="S1015" s="0" t="str">
        <f aca="false">INDEX(Customers!$C$2:$C$101,MATCH(D1015,Customers!$A$2:$A$101,0))</f>
        <v>Consumer</v>
      </c>
      <c r="T1015" s="0" t="str">
        <f aca="false">INDEX(Customers!$D$2:$D$101,MATCH(D1015,Customers!$A$2:$A$101,0))</f>
        <v>Mumbai</v>
      </c>
    </row>
    <row r="1016" customFormat="false" ht="15" hidden="false" customHeight="false" outlineLevel="0" collapsed="false">
      <c r="A1016" s="0" t="s">
        <v>1287</v>
      </c>
      <c r="B1016" s="37" t="n">
        <v>46124</v>
      </c>
      <c r="C1016" s="37" t="n">
        <v>46129</v>
      </c>
      <c r="D1016" s="38" t="s">
        <v>253</v>
      </c>
      <c r="E1016" s="38" t="s">
        <v>122</v>
      </c>
      <c r="F1016" s="38" t="s">
        <v>102</v>
      </c>
      <c r="G1016" s="38" t="s">
        <v>185</v>
      </c>
      <c r="H1016" s="0" t="n">
        <v>2</v>
      </c>
      <c r="I1016" s="39" t="n">
        <v>5500</v>
      </c>
      <c r="J1016" s="40" t="n">
        <v>0.2</v>
      </c>
      <c r="K1016" s="39" t="n">
        <v>8800</v>
      </c>
      <c r="L1016" s="39" t="n">
        <v>7400</v>
      </c>
      <c r="M1016" s="39" t="n">
        <v>1400</v>
      </c>
      <c r="N1016" s="38" t="s">
        <v>66</v>
      </c>
      <c r="O1016" s="38" t="n">
        <f aca="false">YEAR(B1016)</f>
        <v>2026</v>
      </c>
      <c r="P1016" s="41" t="n">
        <f aca="false">DATE(YEAR(B1016),MONTH(B1016),1)</f>
        <v>46113</v>
      </c>
      <c r="Q1016" s="0" t="str">
        <f aca="false">INDEX(Products!$C$2:$C$16,MATCH(E1016,Products!$A$2:$A$16,0))</f>
        <v>Furniture</v>
      </c>
      <c r="R1016" s="0" t="str">
        <f aca="false">INDEX(Customers!$F$2:$F$101,MATCH(D1016,Customers!$A$2:$A$101,0))</f>
        <v>East</v>
      </c>
      <c r="S1016" s="0" t="str">
        <f aca="false">INDEX(Customers!$C$2:$C$101,MATCH(D1016,Customers!$A$2:$A$101,0))</f>
        <v>Small Business</v>
      </c>
      <c r="T1016" s="0" t="str">
        <f aca="false">INDEX(Customers!$D$2:$D$101,MATCH(D1016,Customers!$A$2:$A$101,0))</f>
        <v>Bhubaneswar</v>
      </c>
    </row>
    <row r="1017" customFormat="false" ht="15" hidden="false" customHeight="false" outlineLevel="0" collapsed="false">
      <c r="A1017" s="0" t="s">
        <v>1288</v>
      </c>
      <c r="B1017" s="37" t="n">
        <v>45430</v>
      </c>
      <c r="C1017" s="37" t="n">
        <v>45431</v>
      </c>
      <c r="D1017" s="38" t="s">
        <v>283</v>
      </c>
      <c r="E1017" s="38" t="s">
        <v>115</v>
      </c>
      <c r="F1017" s="38" t="s">
        <v>100</v>
      </c>
      <c r="G1017" s="38" t="s">
        <v>173</v>
      </c>
      <c r="H1017" s="0" t="n">
        <v>1</v>
      </c>
      <c r="I1017" s="39" t="n">
        <v>1500</v>
      </c>
      <c r="J1017" s="40" t="n">
        <v>0.25</v>
      </c>
      <c r="K1017" s="39" t="n">
        <v>1125</v>
      </c>
      <c r="L1017" s="39" t="n">
        <v>850</v>
      </c>
      <c r="M1017" s="39" t="n">
        <v>275</v>
      </c>
      <c r="N1017" s="38" t="s">
        <v>66</v>
      </c>
      <c r="O1017" s="38" t="n">
        <f aca="false">YEAR(B1017)</f>
        <v>2024</v>
      </c>
      <c r="P1017" s="41" t="n">
        <f aca="false">DATE(YEAR(B1017),MONTH(B1017),1)</f>
        <v>45413</v>
      </c>
      <c r="Q1017" s="0" t="str">
        <f aca="false">INDEX(Products!$C$2:$C$16,MATCH(E1017,Products!$A$2:$A$16,0))</f>
        <v>Technology</v>
      </c>
      <c r="R1017" s="0" t="str">
        <f aca="false">INDEX(Customers!$F$2:$F$101,MATCH(D1017,Customers!$A$2:$A$101,0))</f>
        <v>West</v>
      </c>
      <c r="S1017" s="0" t="str">
        <f aca="false">INDEX(Customers!$C$2:$C$101,MATCH(D1017,Customers!$A$2:$A$101,0))</f>
        <v>Small Business</v>
      </c>
      <c r="T1017" s="0" t="str">
        <f aca="false">INDEX(Customers!$D$2:$D$101,MATCH(D1017,Customers!$A$2:$A$101,0))</f>
        <v>Mumbai</v>
      </c>
    </row>
    <row r="1018" customFormat="false" ht="15" hidden="false" customHeight="false" outlineLevel="0" collapsed="false">
      <c r="A1018" s="0" t="s">
        <v>1289</v>
      </c>
      <c r="B1018" s="37" t="n">
        <v>45956</v>
      </c>
      <c r="C1018" s="37" t="n">
        <v>45958</v>
      </c>
      <c r="D1018" s="38" t="s">
        <v>280</v>
      </c>
      <c r="E1018" s="38" t="s">
        <v>120</v>
      </c>
      <c r="F1018" s="38" t="s">
        <v>102</v>
      </c>
      <c r="G1018" s="38" t="s">
        <v>188</v>
      </c>
      <c r="H1018" s="0" t="n">
        <v>3</v>
      </c>
      <c r="I1018" s="39" t="n">
        <v>400</v>
      </c>
      <c r="J1018" s="40" t="n">
        <v>0.1</v>
      </c>
      <c r="K1018" s="39" t="n">
        <v>1080</v>
      </c>
      <c r="L1018" s="39" t="n">
        <v>780</v>
      </c>
      <c r="M1018" s="39" t="n">
        <v>300</v>
      </c>
      <c r="N1018" s="38" t="s">
        <v>66</v>
      </c>
      <c r="O1018" s="38" t="n">
        <f aca="false">YEAR(B1018)</f>
        <v>2025</v>
      </c>
      <c r="P1018" s="41" t="n">
        <f aca="false">DATE(YEAR(B1018),MONTH(B1018),1)</f>
        <v>45931</v>
      </c>
      <c r="Q1018" s="0" t="str">
        <f aca="false">INDEX(Products!$C$2:$C$16,MATCH(E1018,Products!$A$2:$A$16,0))</f>
        <v>Office Supplies</v>
      </c>
      <c r="R1018" s="0" t="str">
        <f aca="false">INDEX(Customers!$F$2:$F$101,MATCH(D1018,Customers!$A$2:$A$101,0))</f>
        <v>North</v>
      </c>
      <c r="S1018" s="0" t="str">
        <f aca="false">INDEX(Customers!$C$2:$C$101,MATCH(D1018,Customers!$A$2:$A$101,0))</f>
        <v>Corporate</v>
      </c>
      <c r="T1018" s="0" t="str">
        <f aca="false">INDEX(Customers!$D$2:$D$101,MATCH(D1018,Customers!$A$2:$A$101,0))</f>
        <v>Jaipur</v>
      </c>
    </row>
    <row r="1019" customFormat="false" ht="15" hidden="false" customHeight="false" outlineLevel="0" collapsed="false">
      <c r="A1019" s="0" t="s">
        <v>1290</v>
      </c>
      <c r="B1019" s="37" t="n">
        <v>45766</v>
      </c>
      <c r="C1019" s="37" t="n">
        <v>45768</v>
      </c>
      <c r="D1019" s="38" t="s">
        <v>253</v>
      </c>
      <c r="E1019" s="38" t="s">
        <v>125</v>
      </c>
      <c r="F1019" s="38" t="s">
        <v>100</v>
      </c>
      <c r="G1019" s="38" t="s">
        <v>173</v>
      </c>
      <c r="H1019" s="0" t="n">
        <v>2</v>
      </c>
      <c r="I1019" s="39" t="n">
        <v>600</v>
      </c>
      <c r="J1019" s="40" t="n">
        <v>0</v>
      </c>
      <c r="K1019" s="39" t="n">
        <v>1200</v>
      </c>
      <c r="L1019" s="39" t="n">
        <v>700</v>
      </c>
      <c r="M1019" s="39" t="n">
        <v>500</v>
      </c>
      <c r="N1019" s="38" t="s">
        <v>66</v>
      </c>
      <c r="O1019" s="38" t="n">
        <f aca="false">YEAR(B1019)</f>
        <v>2025</v>
      </c>
      <c r="P1019" s="41" t="n">
        <f aca="false">DATE(YEAR(B1019),MONTH(B1019),1)</f>
        <v>45748</v>
      </c>
      <c r="Q1019" s="0" t="str">
        <f aca="false">INDEX(Products!$C$2:$C$16,MATCH(E1019,Products!$A$2:$A$16,0))</f>
        <v>Office Supplies</v>
      </c>
      <c r="R1019" s="0" t="str">
        <f aca="false">INDEX(Customers!$F$2:$F$101,MATCH(D1019,Customers!$A$2:$A$101,0))</f>
        <v>East</v>
      </c>
      <c r="S1019" s="0" t="str">
        <f aca="false">INDEX(Customers!$C$2:$C$101,MATCH(D1019,Customers!$A$2:$A$101,0))</f>
        <v>Small Business</v>
      </c>
      <c r="T1019" s="0" t="str">
        <f aca="false">INDEX(Customers!$D$2:$D$101,MATCH(D1019,Customers!$A$2:$A$101,0))</f>
        <v>Bhubaneswar</v>
      </c>
    </row>
    <row r="1020" customFormat="false" ht="15" hidden="false" customHeight="false" outlineLevel="0" collapsed="false">
      <c r="A1020" s="0" t="s">
        <v>1291</v>
      </c>
      <c r="B1020" s="37" t="n">
        <v>45747</v>
      </c>
      <c r="C1020" s="37" t="n">
        <v>45751</v>
      </c>
      <c r="D1020" s="38" t="s">
        <v>341</v>
      </c>
      <c r="E1020" s="38" t="s">
        <v>124</v>
      </c>
      <c r="F1020" s="38" t="s">
        <v>101</v>
      </c>
      <c r="G1020" s="38" t="s">
        <v>188</v>
      </c>
      <c r="H1020" s="0" t="n">
        <v>2</v>
      </c>
      <c r="I1020" s="39" t="n">
        <v>3000</v>
      </c>
      <c r="J1020" s="40" t="n">
        <v>0.25</v>
      </c>
      <c r="K1020" s="39" t="n">
        <v>4500</v>
      </c>
      <c r="L1020" s="39" t="n">
        <v>3800</v>
      </c>
      <c r="M1020" s="39" t="n">
        <v>700</v>
      </c>
      <c r="N1020" s="38" t="s">
        <v>66</v>
      </c>
      <c r="O1020" s="38" t="n">
        <f aca="false">YEAR(B1020)</f>
        <v>2025</v>
      </c>
      <c r="P1020" s="41" t="n">
        <f aca="false">DATE(YEAR(B1020),MONTH(B1020),1)</f>
        <v>45717</v>
      </c>
      <c r="Q1020" s="0" t="str">
        <f aca="false">INDEX(Products!$C$2:$C$16,MATCH(E1020,Products!$A$2:$A$16,0))</f>
        <v>Technology</v>
      </c>
      <c r="R1020" s="0" t="str">
        <f aca="false">INDEX(Customers!$F$2:$F$101,MATCH(D1020,Customers!$A$2:$A$101,0))</f>
        <v>North</v>
      </c>
      <c r="S1020" s="0" t="str">
        <f aca="false">INDEX(Customers!$C$2:$C$101,MATCH(D1020,Customers!$A$2:$A$101,0))</f>
        <v>Corporate</v>
      </c>
      <c r="T1020" s="0" t="str">
        <f aca="false">INDEX(Customers!$D$2:$D$101,MATCH(D1020,Customers!$A$2:$A$101,0))</f>
        <v>Delhi</v>
      </c>
    </row>
    <row r="1021" customFormat="false" ht="15" hidden="false" customHeight="false" outlineLevel="0" collapsed="false">
      <c r="A1021" s="0" t="s">
        <v>1292</v>
      </c>
      <c r="B1021" s="37" t="n">
        <v>46141</v>
      </c>
      <c r="C1021" s="37" t="n">
        <v>46148</v>
      </c>
      <c r="D1021" s="38" t="s">
        <v>310</v>
      </c>
      <c r="E1021" s="38" t="s">
        <v>122</v>
      </c>
      <c r="F1021" s="38" t="s">
        <v>100</v>
      </c>
      <c r="G1021" s="38" t="s">
        <v>178</v>
      </c>
      <c r="H1021" s="0" t="n">
        <v>2</v>
      </c>
      <c r="I1021" s="39" t="n">
        <v>5500</v>
      </c>
      <c r="J1021" s="40" t="n">
        <v>0.05</v>
      </c>
      <c r="K1021" s="39" t="n">
        <v>10450</v>
      </c>
      <c r="L1021" s="39" t="n">
        <v>7400</v>
      </c>
      <c r="M1021" s="39" t="n">
        <v>3050</v>
      </c>
      <c r="N1021" s="38" t="s">
        <v>66</v>
      </c>
      <c r="O1021" s="38" t="n">
        <f aca="false">YEAR(B1021)</f>
        <v>2026</v>
      </c>
      <c r="P1021" s="41" t="n">
        <f aca="false">DATE(YEAR(B1021),MONTH(B1021),1)</f>
        <v>46113</v>
      </c>
      <c r="Q1021" s="0" t="str">
        <f aca="false">INDEX(Products!$C$2:$C$16,MATCH(E1021,Products!$A$2:$A$16,0))</f>
        <v>Furniture</v>
      </c>
      <c r="R1021" s="0" t="str">
        <f aca="false">INDEX(Customers!$F$2:$F$101,MATCH(D1021,Customers!$A$2:$A$101,0))</f>
        <v>South</v>
      </c>
      <c r="S1021" s="0" t="str">
        <f aca="false">INDEX(Customers!$C$2:$C$101,MATCH(D1021,Customers!$A$2:$A$101,0))</f>
        <v>Small Business</v>
      </c>
      <c r="T1021" s="0" t="str">
        <f aca="false">INDEX(Customers!$D$2:$D$101,MATCH(D1021,Customers!$A$2:$A$101,0))</f>
        <v>Hyderabad</v>
      </c>
    </row>
    <row r="1022" customFormat="false" ht="15" hidden="false" customHeight="false" outlineLevel="0" collapsed="false">
      <c r="A1022" s="0" t="s">
        <v>1293</v>
      </c>
      <c r="B1022" s="37" t="n">
        <v>45717</v>
      </c>
      <c r="C1022" s="37" t="n">
        <v>45724</v>
      </c>
      <c r="D1022" s="38" t="s">
        <v>285</v>
      </c>
      <c r="E1022" s="38" t="s">
        <v>119</v>
      </c>
      <c r="F1022" s="38" t="s">
        <v>102</v>
      </c>
      <c r="G1022" s="38" t="s">
        <v>188</v>
      </c>
      <c r="H1022" s="0" t="n">
        <v>2</v>
      </c>
      <c r="I1022" s="39" t="n">
        <v>250</v>
      </c>
      <c r="J1022" s="40" t="n">
        <v>0.15</v>
      </c>
      <c r="K1022" s="39" t="n">
        <v>425</v>
      </c>
      <c r="L1022" s="39" t="n">
        <v>240</v>
      </c>
      <c r="M1022" s="39" t="n">
        <v>185</v>
      </c>
      <c r="N1022" s="38" t="s">
        <v>147</v>
      </c>
      <c r="O1022" s="38" t="n">
        <f aca="false">YEAR(B1022)</f>
        <v>2025</v>
      </c>
      <c r="P1022" s="41" t="n">
        <f aca="false">DATE(YEAR(B1022),MONTH(B1022),1)</f>
        <v>45717</v>
      </c>
      <c r="Q1022" s="0" t="str">
        <f aca="false">INDEX(Products!$C$2:$C$16,MATCH(E1022,Products!$A$2:$A$16,0))</f>
        <v>Office Supplies</v>
      </c>
      <c r="R1022" s="0" t="str">
        <f aca="false">INDEX(Customers!$F$2:$F$101,MATCH(D1022,Customers!$A$2:$A$101,0))</f>
        <v>South</v>
      </c>
      <c r="S1022" s="0" t="str">
        <f aca="false">INDEX(Customers!$C$2:$C$101,MATCH(D1022,Customers!$A$2:$A$101,0))</f>
        <v>Small Business</v>
      </c>
      <c r="T1022" s="0" t="str">
        <f aca="false">INDEX(Customers!$D$2:$D$101,MATCH(D1022,Customers!$A$2:$A$101,0))</f>
        <v>Hyderabad</v>
      </c>
    </row>
    <row r="1023" customFormat="false" ht="15" hidden="false" customHeight="false" outlineLevel="0" collapsed="false">
      <c r="A1023" s="0" t="s">
        <v>1294</v>
      </c>
      <c r="B1023" s="37" t="n">
        <v>45701</v>
      </c>
      <c r="C1023" s="37" t="n">
        <v>45705</v>
      </c>
      <c r="D1023" s="38" t="s">
        <v>294</v>
      </c>
      <c r="E1023" s="38" t="s">
        <v>120</v>
      </c>
      <c r="F1023" s="38" t="s">
        <v>102</v>
      </c>
      <c r="G1023" s="38" t="s">
        <v>185</v>
      </c>
      <c r="H1023" s="0" t="n">
        <v>2</v>
      </c>
      <c r="I1023" s="39" t="n">
        <v>400</v>
      </c>
      <c r="J1023" s="40" t="n">
        <v>0.2</v>
      </c>
      <c r="K1023" s="39" t="n">
        <v>640</v>
      </c>
      <c r="L1023" s="39" t="n">
        <v>520</v>
      </c>
      <c r="M1023" s="39" t="n">
        <v>120</v>
      </c>
      <c r="N1023" s="38" t="s">
        <v>66</v>
      </c>
      <c r="O1023" s="38" t="n">
        <f aca="false">YEAR(B1023)</f>
        <v>2025</v>
      </c>
      <c r="P1023" s="41" t="n">
        <f aca="false">DATE(YEAR(B1023),MONTH(B1023),1)</f>
        <v>45689</v>
      </c>
      <c r="Q1023" s="0" t="str">
        <f aca="false">INDEX(Products!$C$2:$C$16,MATCH(E1023,Products!$A$2:$A$16,0))</f>
        <v>Office Supplies</v>
      </c>
      <c r="R1023" s="0" t="str">
        <f aca="false">INDEX(Customers!$F$2:$F$101,MATCH(D1023,Customers!$A$2:$A$101,0))</f>
        <v>South</v>
      </c>
      <c r="S1023" s="0" t="str">
        <f aca="false">INDEX(Customers!$C$2:$C$101,MATCH(D1023,Customers!$A$2:$A$101,0))</f>
        <v>Small Business</v>
      </c>
      <c r="T1023" s="0" t="str">
        <f aca="false">INDEX(Customers!$D$2:$D$101,MATCH(D1023,Customers!$A$2:$A$101,0))</f>
        <v>Chennai</v>
      </c>
    </row>
    <row r="1024" customFormat="false" ht="15" hidden="false" customHeight="false" outlineLevel="0" collapsed="false">
      <c r="A1024" s="0" t="s">
        <v>1295</v>
      </c>
      <c r="B1024" s="37" t="n">
        <v>45311</v>
      </c>
      <c r="C1024" s="37" t="n">
        <v>45315</v>
      </c>
      <c r="D1024" s="38" t="s">
        <v>454</v>
      </c>
      <c r="E1024" s="38" t="s">
        <v>121</v>
      </c>
      <c r="F1024" s="38" t="s">
        <v>100</v>
      </c>
      <c r="G1024" s="38" t="s">
        <v>170</v>
      </c>
      <c r="H1024" s="0" t="n">
        <v>3</v>
      </c>
      <c r="I1024" s="39" t="n">
        <v>180</v>
      </c>
      <c r="J1024" s="40" t="n">
        <v>0.15</v>
      </c>
      <c r="K1024" s="39" t="n">
        <v>459</v>
      </c>
      <c r="L1024" s="39" t="n">
        <v>210</v>
      </c>
      <c r="M1024" s="39" t="n">
        <v>249</v>
      </c>
      <c r="N1024" s="38" t="s">
        <v>66</v>
      </c>
      <c r="O1024" s="38" t="n">
        <f aca="false">YEAR(B1024)</f>
        <v>2024</v>
      </c>
      <c r="P1024" s="41" t="n">
        <f aca="false">DATE(YEAR(B1024),MONTH(B1024),1)</f>
        <v>45292</v>
      </c>
      <c r="Q1024" s="0" t="str">
        <f aca="false">INDEX(Products!$C$2:$C$16,MATCH(E1024,Products!$A$2:$A$16,0))</f>
        <v>Office Supplies</v>
      </c>
      <c r="R1024" s="0" t="str">
        <f aca="false">INDEX(Customers!$F$2:$F$101,MATCH(D1024,Customers!$A$2:$A$101,0))</f>
        <v>West</v>
      </c>
      <c r="S1024" s="0" t="str">
        <f aca="false">INDEX(Customers!$C$2:$C$101,MATCH(D1024,Customers!$A$2:$A$101,0))</f>
        <v>Consumer</v>
      </c>
      <c r="T1024" s="0" t="str">
        <f aca="false">INDEX(Customers!$D$2:$D$101,MATCH(D1024,Customers!$A$2:$A$101,0))</f>
        <v>Pune</v>
      </c>
    </row>
    <row r="1025" customFormat="false" ht="15" hidden="false" customHeight="false" outlineLevel="0" collapsed="false">
      <c r="A1025" s="0" t="s">
        <v>1296</v>
      </c>
      <c r="B1025" s="37" t="n">
        <v>45776</v>
      </c>
      <c r="C1025" s="37" t="n">
        <v>45777</v>
      </c>
      <c r="D1025" s="38" t="s">
        <v>364</v>
      </c>
      <c r="E1025" s="38" t="s">
        <v>127</v>
      </c>
      <c r="F1025" s="38" t="s">
        <v>101</v>
      </c>
      <c r="G1025" s="38" t="s">
        <v>185</v>
      </c>
      <c r="H1025" s="0" t="n">
        <v>2</v>
      </c>
      <c r="I1025" s="39" t="n">
        <v>18000</v>
      </c>
      <c r="J1025" s="40" t="n">
        <v>0.2</v>
      </c>
      <c r="K1025" s="39" t="n">
        <v>28800</v>
      </c>
      <c r="L1025" s="39" t="n">
        <v>28000</v>
      </c>
      <c r="M1025" s="39" t="n">
        <v>800</v>
      </c>
      <c r="N1025" s="38" t="s">
        <v>66</v>
      </c>
      <c r="O1025" s="38" t="n">
        <f aca="false">YEAR(B1025)</f>
        <v>2025</v>
      </c>
      <c r="P1025" s="41" t="n">
        <f aca="false">DATE(YEAR(B1025),MONTH(B1025),1)</f>
        <v>45748</v>
      </c>
      <c r="Q1025" s="0" t="str">
        <f aca="false">INDEX(Products!$C$2:$C$16,MATCH(E1025,Products!$A$2:$A$16,0))</f>
        <v>Technology</v>
      </c>
      <c r="R1025" s="0" t="str">
        <f aca="false">INDEX(Customers!$F$2:$F$101,MATCH(D1025,Customers!$A$2:$A$101,0))</f>
        <v>North</v>
      </c>
      <c r="S1025" s="0" t="str">
        <f aca="false">INDEX(Customers!$C$2:$C$101,MATCH(D1025,Customers!$A$2:$A$101,0))</f>
        <v>Corporate</v>
      </c>
      <c r="T1025" s="0" t="str">
        <f aca="false">INDEX(Customers!$D$2:$D$101,MATCH(D1025,Customers!$A$2:$A$101,0))</f>
        <v>Jaipur</v>
      </c>
    </row>
    <row r="1026" customFormat="false" ht="15" hidden="false" customHeight="false" outlineLevel="0" collapsed="false">
      <c r="A1026" s="0" t="s">
        <v>1297</v>
      </c>
      <c r="B1026" s="37" t="n">
        <v>45586</v>
      </c>
      <c r="C1026" s="37" t="n">
        <v>45592</v>
      </c>
      <c r="D1026" s="38" t="s">
        <v>675</v>
      </c>
      <c r="E1026" s="38" t="s">
        <v>115</v>
      </c>
      <c r="F1026" s="38" t="s">
        <v>101</v>
      </c>
      <c r="G1026" s="38" t="s">
        <v>173</v>
      </c>
      <c r="H1026" s="0" t="n">
        <v>1</v>
      </c>
      <c r="I1026" s="39" t="n">
        <v>1500</v>
      </c>
      <c r="J1026" s="40" t="n">
        <v>0.05</v>
      </c>
      <c r="K1026" s="39" t="n">
        <v>1425</v>
      </c>
      <c r="L1026" s="39" t="n">
        <v>850</v>
      </c>
      <c r="M1026" s="39" t="n">
        <v>575</v>
      </c>
      <c r="N1026" s="38" t="s">
        <v>66</v>
      </c>
      <c r="O1026" s="38" t="n">
        <f aca="false">YEAR(B1026)</f>
        <v>2024</v>
      </c>
      <c r="P1026" s="41" t="n">
        <f aca="false">DATE(YEAR(B1026),MONTH(B1026),1)</f>
        <v>45566</v>
      </c>
      <c r="Q1026" s="0" t="str">
        <f aca="false">INDEX(Products!$C$2:$C$16,MATCH(E1026,Products!$A$2:$A$16,0))</f>
        <v>Technology</v>
      </c>
      <c r="R1026" s="0" t="str">
        <f aca="false">INDEX(Customers!$F$2:$F$101,MATCH(D1026,Customers!$A$2:$A$101,0))</f>
        <v>East</v>
      </c>
      <c r="S1026" s="0" t="str">
        <f aca="false">INDEX(Customers!$C$2:$C$101,MATCH(D1026,Customers!$A$2:$A$101,0))</f>
        <v>Small Business</v>
      </c>
      <c r="T1026" s="0" t="str">
        <f aca="false">INDEX(Customers!$D$2:$D$101,MATCH(D1026,Customers!$A$2:$A$101,0))</f>
        <v>Kolkata</v>
      </c>
    </row>
    <row r="1027" customFormat="false" ht="15" hidden="false" customHeight="false" outlineLevel="0" collapsed="false">
      <c r="A1027" s="0" t="s">
        <v>1298</v>
      </c>
      <c r="B1027" s="37" t="n">
        <v>45993</v>
      </c>
      <c r="C1027" s="37" t="n">
        <v>45996</v>
      </c>
      <c r="D1027" s="38" t="s">
        <v>244</v>
      </c>
      <c r="E1027" s="38" t="s">
        <v>127</v>
      </c>
      <c r="F1027" s="38" t="s">
        <v>102</v>
      </c>
      <c r="G1027" s="38" t="s">
        <v>185</v>
      </c>
      <c r="H1027" s="0" t="n">
        <v>6</v>
      </c>
      <c r="I1027" s="39" t="n">
        <v>18000</v>
      </c>
      <c r="J1027" s="40" t="n">
        <v>0.25</v>
      </c>
      <c r="K1027" s="39" t="n">
        <v>81000</v>
      </c>
      <c r="L1027" s="39" t="n">
        <v>84000</v>
      </c>
      <c r="M1027" s="39" t="n">
        <v>-3000</v>
      </c>
      <c r="N1027" s="38" t="s">
        <v>66</v>
      </c>
      <c r="O1027" s="38" t="n">
        <f aca="false">YEAR(B1027)</f>
        <v>2025</v>
      </c>
      <c r="P1027" s="41" t="n">
        <f aca="false">DATE(YEAR(B1027),MONTH(B1027),1)</f>
        <v>45992</v>
      </c>
      <c r="Q1027" s="0" t="str">
        <f aca="false">INDEX(Products!$C$2:$C$16,MATCH(E1027,Products!$A$2:$A$16,0))</f>
        <v>Technology</v>
      </c>
      <c r="R1027" s="0" t="str">
        <f aca="false">INDEX(Customers!$F$2:$F$101,MATCH(D1027,Customers!$A$2:$A$101,0))</f>
        <v>North</v>
      </c>
      <c r="S1027" s="0" t="str">
        <f aca="false">INDEX(Customers!$C$2:$C$101,MATCH(D1027,Customers!$A$2:$A$101,0))</f>
        <v>Consumer</v>
      </c>
      <c r="T1027" s="0" t="str">
        <f aca="false">INDEX(Customers!$D$2:$D$101,MATCH(D1027,Customers!$A$2:$A$101,0))</f>
        <v>Gurugram</v>
      </c>
    </row>
    <row r="1028" customFormat="false" ht="15" hidden="false" customHeight="false" outlineLevel="0" collapsed="false">
      <c r="A1028" s="0" t="s">
        <v>1299</v>
      </c>
      <c r="B1028" s="37" t="n">
        <v>46020</v>
      </c>
      <c r="C1028" s="37" t="n">
        <v>46024</v>
      </c>
      <c r="D1028" s="38" t="s">
        <v>310</v>
      </c>
      <c r="E1028" s="38" t="s">
        <v>124</v>
      </c>
      <c r="F1028" s="38" t="s">
        <v>102</v>
      </c>
      <c r="G1028" s="38" t="s">
        <v>170</v>
      </c>
      <c r="H1028" s="0" t="n">
        <v>8</v>
      </c>
      <c r="I1028" s="39" t="n">
        <v>3000</v>
      </c>
      <c r="J1028" s="40" t="n">
        <v>0.25</v>
      </c>
      <c r="K1028" s="39" t="n">
        <v>18000</v>
      </c>
      <c r="L1028" s="39" t="n">
        <v>15200</v>
      </c>
      <c r="M1028" s="39" t="n">
        <v>2800</v>
      </c>
      <c r="N1028" s="38" t="s">
        <v>66</v>
      </c>
      <c r="O1028" s="38" t="n">
        <f aca="false">YEAR(B1028)</f>
        <v>2025</v>
      </c>
      <c r="P1028" s="41" t="n">
        <f aca="false">DATE(YEAR(B1028),MONTH(B1028),1)</f>
        <v>45992</v>
      </c>
      <c r="Q1028" s="0" t="str">
        <f aca="false">INDEX(Products!$C$2:$C$16,MATCH(E1028,Products!$A$2:$A$16,0))</f>
        <v>Technology</v>
      </c>
      <c r="R1028" s="0" t="str">
        <f aca="false">INDEX(Customers!$F$2:$F$101,MATCH(D1028,Customers!$A$2:$A$101,0))</f>
        <v>South</v>
      </c>
      <c r="S1028" s="0" t="str">
        <f aca="false">INDEX(Customers!$C$2:$C$101,MATCH(D1028,Customers!$A$2:$A$101,0))</f>
        <v>Small Business</v>
      </c>
      <c r="T1028" s="0" t="str">
        <f aca="false">INDEX(Customers!$D$2:$D$101,MATCH(D1028,Customers!$A$2:$A$101,0))</f>
        <v>Hyderabad</v>
      </c>
    </row>
    <row r="1029" customFormat="false" ht="15" hidden="false" customHeight="false" outlineLevel="0" collapsed="false">
      <c r="A1029" s="0" t="s">
        <v>1300</v>
      </c>
      <c r="B1029" s="37" t="n">
        <v>45504</v>
      </c>
      <c r="C1029" s="37" t="n">
        <v>45507</v>
      </c>
      <c r="D1029" s="38" t="s">
        <v>404</v>
      </c>
      <c r="E1029" s="38" t="s">
        <v>122</v>
      </c>
      <c r="F1029" s="38" t="s">
        <v>102</v>
      </c>
      <c r="G1029" s="38" t="s">
        <v>185</v>
      </c>
      <c r="H1029" s="0" t="n">
        <v>3</v>
      </c>
      <c r="I1029" s="39" t="n">
        <v>5500</v>
      </c>
      <c r="J1029" s="40" t="n">
        <v>0</v>
      </c>
      <c r="K1029" s="39" t="n">
        <v>16500</v>
      </c>
      <c r="L1029" s="39" t="n">
        <v>11100</v>
      </c>
      <c r="M1029" s="39" t="n">
        <v>5400</v>
      </c>
      <c r="N1029" s="38" t="s">
        <v>66</v>
      </c>
      <c r="O1029" s="38" t="n">
        <f aca="false">YEAR(B1029)</f>
        <v>2024</v>
      </c>
      <c r="P1029" s="41" t="n">
        <f aca="false">DATE(YEAR(B1029),MONTH(B1029),1)</f>
        <v>45474</v>
      </c>
      <c r="Q1029" s="0" t="str">
        <f aca="false">INDEX(Products!$C$2:$C$16,MATCH(E1029,Products!$A$2:$A$16,0))</f>
        <v>Furniture</v>
      </c>
      <c r="R1029" s="0" t="str">
        <f aca="false">INDEX(Customers!$F$2:$F$101,MATCH(D1029,Customers!$A$2:$A$101,0))</f>
        <v>West</v>
      </c>
      <c r="S1029" s="0" t="str">
        <f aca="false">INDEX(Customers!$C$2:$C$101,MATCH(D1029,Customers!$A$2:$A$101,0))</f>
        <v>Small Business</v>
      </c>
      <c r="T1029" s="0" t="str">
        <f aca="false">INDEX(Customers!$D$2:$D$101,MATCH(D1029,Customers!$A$2:$A$101,0))</f>
        <v>Mumbai</v>
      </c>
    </row>
    <row r="1030" customFormat="false" ht="15" hidden="false" customHeight="false" outlineLevel="0" collapsed="false">
      <c r="A1030" s="0" t="s">
        <v>1301</v>
      </c>
      <c r="B1030" s="37" t="n">
        <v>45912</v>
      </c>
      <c r="C1030" s="37" t="n">
        <v>45916</v>
      </c>
      <c r="D1030" s="38" t="s">
        <v>177</v>
      </c>
      <c r="E1030" s="38" t="s">
        <v>115</v>
      </c>
      <c r="F1030" s="38" t="s">
        <v>101</v>
      </c>
      <c r="G1030" s="38" t="s">
        <v>170</v>
      </c>
      <c r="H1030" s="0" t="n">
        <v>1</v>
      </c>
      <c r="I1030" s="39" t="n">
        <v>1500</v>
      </c>
      <c r="J1030" s="40" t="n">
        <v>0.1</v>
      </c>
      <c r="K1030" s="39" t="n">
        <v>1350</v>
      </c>
      <c r="L1030" s="39" t="n">
        <v>850</v>
      </c>
      <c r="M1030" s="39" t="n">
        <v>500</v>
      </c>
      <c r="N1030" s="38" t="s">
        <v>66</v>
      </c>
      <c r="O1030" s="38" t="n">
        <f aca="false">YEAR(B1030)</f>
        <v>2025</v>
      </c>
      <c r="P1030" s="41" t="n">
        <f aca="false">DATE(YEAR(B1030),MONTH(B1030),1)</f>
        <v>45901</v>
      </c>
      <c r="Q1030" s="0" t="str">
        <f aca="false">INDEX(Products!$C$2:$C$16,MATCH(E1030,Products!$A$2:$A$16,0))</f>
        <v>Technology</v>
      </c>
      <c r="R1030" s="0" t="str">
        <f aca="false">INDEX(Customers!$F$2:$F$101,MATCH(D1030,Customers!$A$2:$A$101,0))</f>
        <v>North</v>
      </c>
      <c r="S1030" s="0" t="str">
        <f aca="false">INDEX(Customers!$C$2:$C$101,MATCH(D1030,Customers!$A$2:$A$101,0))</f>
        <v>Consumer</v>
      </c>
      <c r="T1030" s="0" t="str">
        <f aca="false">INDEX(Customers!$D$2:$D$101,MATCH(D1030,Customers!$A$2:$A$101,0))</f>
        <v>Gurugram</v>
      </c>
    </row>
    <row r="1031" customFormat="false" ht="15" hidden="false" customHeight="false" outlineLevel="0" collapsed="false">
      <c r="A1031" s="0" t="s">
        <v>1302</v>
      </c>
      <c r="B1031" s="37" t="n">
        <v>45310</v>
      </c>
      <c r="C1031" s="37" t="n">
        <v>45313</v>
      </c>
      <c r="D1031" s="38" t="s">
        <v>322</v>
      </c>
      <c r="E1031" s="38" t="s">
        <v>113</v>
      </c>
      <c r="F1031" s="38" t="s">
        <v>102</v>
      </c>
      <c r="G1031" s="38" t="s">
        <v>173</v>
      </c>
      <c r="H1031" s="0" t="n">
        <v>5</v>
      </c>
      <c r="I1031" s="39" t="n">
        <v>45000</v>
      </c>
      <c r="J1031" s="40" t="n">
        <v>0.05</v>
      </c>
      <c r="K1031" s="39" t="n">
        <v>213750</v>
      </c>
      <c r="L1031" s="39" t="n">
        <v>180000</v>
      </c>
      <c r="M1031" s="39" t="n">
        <v>33750</v>
      </c>
      <c r="N1031" s="38" t="s">
        <v>66</v>
      </c>
      <c r="O1031" s="38" t="n">
        <f aca="false">YEAR(B1031)</f>
        <v>2024</v>
      </c>
      <c r="P1031" s="41" t="n">
        <f aca="false">DATE(YEAR(B1031),MONTH(B1031),1)</f>
        <v>45292</v>
      </c>
      <c r="Q1031" s="0" t="str">
        <f aca="false">INDEX(Products!$C$2:$C$16,MATCH(E1031,Products!$A$2:$A$16,0))</f>
        <v>Technology</v>
      </c>
      <c r="R1031" s="0" t="str">
        <f aca="false">INDEX(Customers!$F$2:$F$101,MATCH(D1031,Customers!$A$2:$A$101,0))</f>
        <v>North</v>
      </c>
      <c r="S1031" s="0" t="str">
        <f aca="false">INDEX(Customers!$C$2:$C$101,MATCH(D1031,Customers!$A$2:$A$101,0))</f>
        <v>Consumer</v>
      </c>
      <c r="T1031" s="0" t="str">
        <f aca="false">INDEX(Customers!$D$2:$D$101,MATCH(D1031,Customers!$A$2:$A$101,0))</f>
        <v>Jaipur</v>
      </c>
    </row>
    <row r="1032" customFormat="false" ht="15" hidden="false" customHeight="false" outlineLevel="0" collapsed="false">
      <c r="A1032" s="0" t="s">
        <v>1303</v>
      </c>
      <c r="B1032" s="37" t="n">
        <v>46118</v>
      </c>
      <c r="C1032" s="37" t="n">
        <v>46119</v>
      </c>
      <c r="D1032" s="38" t="s">
        <v>190</v>
      </c>
      <c r="E1032" s="38" t="s">
        <v>113</v>
      </c>
      <c r="F1032" s="38" t="s">
        <v>102</v>
      </c>
      <c r="G1032" s="38" t="s">
        <v>173</v>
      </c>
      <c r="H1032" s="0" t="n">
        <v>2</v>
      </c>
      <c r="I1032" s="39" t="n">
        <v>45000</v>
      </c>
      <c r="J1032" s="40" t="n">
        <v>0</v>
      </c>
      <c r="K1032" s="39" t="n">
        <v>90000</v>
      </c>
      <c r="L1032" s="39" t="n">
        <v>72000</v>
      </c>
      <c r="M1032" s="39" t="n">
        <v>18000</v>
      </c>
      <c r="N1032" s="38" t="s">
        <v>66</v>
      </c>
      <c r="O1032" s="38" t="n">
        <f aca="false">YEAR(B1032)</f>
        <v>2026</v>
      </c>
      <c r="P1032" s="41" t="n">
        <f aca="false">DATE(YEAR(B1032),MONTH(B1032),1)</f>
        <v>46113</v>
      </c>
      <c r="Q1032" s="0" t="str">
        <f aca="false">INDEX(Products!$C$2:$C$16,MATCH(E1032,Products!$A$2:$A$16,0))</f>
        <v>Technology</v>
      </c>
      <c r="R1032" s="0" t="str">
        <f aca="false">INDEX(Customers!$F$2:$F$101,MATCH(D1032,Customers!$A$2:$A$101,0))</f>
        <v>East</v>
      </c>
      <c r="S1032" s="0" t="str">
        <f aca="false">INDEX(Customers!$C$2:$C$101,MATCH(D1032,Customers!$A$2:$A$101,0))</f>
        <v>Corporate</v>
      </c>
      <c r="T1032" s="0" t="str">
        <f aca="false">INDEX(Customers!$D$2:$D$101,MATCH(D1032,Customers!$A$2:$A$101,0))</f>
        <v>Kolkata</v>
      </c>
    </row>
    <row r="1033" customFormat="false" ht="15" hidden="false" customHeight="false" outlineLevel="0" collapsed="false">
      <c r="A1033" s="0" t="s">
        <v>1304</v>
      </c>
      <c r="B1033" s="37" t="n">
        <v>45556</v>
      </c>
      <c r="C1033" s="37" t="n">
        <v>45559</v>
      </c>
      <c r="D1033" s="38" t="s">
        <v>255</v>
      </c>
      <c r="E1033" s="38" t="s">
        <v>120</v>
      </c>
      <c r="F1033" s="38" t="s">
        <v>100</v>
      </c>
      <c r="G1033" s="38" t="s">
        <v>188</v>
      </c>
      <c r="H1033" s="0" t="n">
        <v>4</v>
      </c>
      <c r="I1033" s="39" t="n">
        <v>400</v>
      </c>
      <c r="J1033" s="40" t="n">
        <v>0.25</v>
      </c>
      <c r="K1033" s="39" t="n">
        <v>1200</v>
      </c>
      <c r="L1033" s="39" t="n">
        <v>1040</v>
      </c>
      <c r="M1033" s="39" t="n">
        <v>160</v>
      </c>
      <c r="N1033" s="38" t="s">
        <v>66</v>
      </c>
      <c r="O1033" s="38" t="n">
        <f aca="false">YEAR(B1033)</f>
        <v>2024</v>
      </c>
      <c r="P1033" s="41" t="n">
        <f aca="false">DATE(YEAR(B1033),MONTH(B1033),1)</f>
        <v>45536</v>
      </c>
      <c r="Q1033" s="0" t="str">
        <f aca="false">INDEX(Products!$C$2:$C$16,MATCH(E1033,Products!$A$2:$A$16,0))</f>
        <v>Office Supplies</v>
      </c>
      <c r="R1033" s="0" t="str">
        <f aca="false">INDEX(Customers!$F$2:$F$101,MATCH(D1033,Customers!$A$2:$A$101,0))</f>
        <v>East</v>
      </c>
      <c r="S1033" s="0" t="str">
        <f aca="false">INDEX(Customers!$C$2:$C$101,MATCH(D1033,Customers!$A$2:$A$101,0))</f>
        <v>Small Business</v>
      </c>
      <c r="T1033" s="0" t="str">
        <f aca="false">INDEX(Customers!$D$2:$D$101,MATCH(D1033,Customers!$A$2:$A$101,0))</f>
        <v>Kolkata</v>
      </c>
    </row>
    <row r="1034" customFormat="false" ht="15" hidden="false" customHeight="false" outlineLevel="0" collapsed="false">
      <c r="A1034" s="0" t="s">
        <v>1305</v>
      </c>
      <c r="B1034" s="37" t="n">
        <v>45998</v>
      </c>
      <c r="C1034" s="37" t="n">
        <v>46005</v>
      </c>
      <c r="D1034" s="38" t="s">
        <v>331</v>
      </c>
      <c r="E1034" s="38" t="s">
        <v>126</v>
      </c>
      <c r="F1034" s="38" t="s">
        <v>100</v>
      </c>
      <c r="G1034" s="38" t="s">
        <v>178</v>
      </c>
      <c r="H1034" s="0" t="n">
        <v>2</v>
      </c>
      <c r="I1034" s="39" t="n">
        <v>1200</v>
      </c>
      <c r="J1034" s="40" t="n">
        <v>0.2</v>
      </c>
      <c r="K1034" s="39" t="n">
        <v>1920</v>
      </c>
      <c r="L1034" s="39" t="n">
        <v>1400</v>
      </c>
      <c r="M1034" s="39" t="n">
        <v>520</v>
      </c>
      <c r="N1034" s="38" t="s">
        <v>146</v>
      </c>
      <c r="O1034" s="38" t="n">
        <f aca="false">YEAR(B1034)</f>
        <v>2025</v>
      </c>
      <c r="P1034" s="41" t="n">
        <f aca="false">DATE(YEAR(B1034),MONTH(B1034),1)</f>
        <v>45992</v>
      </c>
      <c r="Q1034" s="0" t="str">
        <f aca="false">INDEX(Products!$C$2:$C$16,MATCH(E1034,Products!$A$2:$A$16,0))</f>
        <v>Furniture</v>
      </c>
      <c r="R1034" s="0" t="str">
        <f aca="false">INDEX(Customers!$F$2:$F$101,MATCH(D1034,Customers!$A$2:$A$101,0))</f>
        <v>North</v>
      </c>
      <c r="S1034" s="0" t="str">
        <f aca="false">INDEX(Customers!$C$2:$C$101,MATCH(D1034,Customers!$A$2:$A$101,0))</f>
        <v>Corporate</v>
      </c>
      <c r="T1034" s="0" t="str">
        <f aca="false">INDEX(Customers!$D$2:$D$101,MATCH(D1034,Customers!$A$2:$A$101,0))</f>
        <v>Delhi</v>
      </c>
    </row>
    <row r="1035" customFormat="false" ht="15" hidden="false" customHeight="false" outlineLevel="0" collapsed="false">
      <c r="A1035" s="0" t="s">
        <v>1306</v>
      </c>
      <c r="B1035" s="37" t="n">
        <v>45760</v>
      </c>
      <c r="C1035" s="37" t="n">
        <v>45767</v>
      </c>
      <c r="D1035" s="38" t="s">
        <v>172</v>
      </c>
      <c r="E1035" s="38" t="s">
        <v>125</v>
      </c>
      <c r="F1035" s="38" t="s">
        <v>102</v>
      </c>
      <c r="G1035" s="38" t="s">
        <v>188</v>
      </c>
      <c r="H1035" s="0" t="n">
        <v>4</v>
      </c>
      <c r="I1035" s="39" t="n">
        <v>600</v>
      </c>
      <c r="J1035" s="40" t="n">
        <v>0</v>
      </c>
      <c r="K1035" s="39" t="n">
        <v>2400</v>
      </c>
      <c r="L1035" s="39" t="n">
        <v>1400</v>
      </c>
      <c r="M1035" s="39" t="n">
        <v>1000</v>
      </c>
      <c r="N1035" s="38" t="s">
        <v>66</v>
      </c>
      <c r="O1035" s="38" t="n">
        <f aca="false">YEAR(B1035)</f>
        <v>2025</v>
      </c>
      <c r="P1035" s="41" t="n">
        <f aca="false">DATE(YEAR(B1035),MONTH(B1035),1)</f>
        <v>45748</v>
      </c>
      <c r="Q1035" s="0" t="str">
        <f aca="false">INDEX(Products!$C$2:$C$16,MATCH(E1035,Products!$A$2:$A$16,0))</f>
        <v>Office Supplies</v>
      </c>
      <c r="R1035" s="0" t="str">
        <f aca="false">INDEX(Customers!$F$2:$F$101,MATCH(D1035,Customers!$A$2:$A$101,0))</f>
        <v>East</v>
      </c>
      <c r="S1035" s="0" t="str">
        <f aca="false">INDEX(Customers!$C$2:$C$101,MATCH(D1035,Customers!$A$2:$A$101,0))</f>
        <v>Consumer</v>
      </c>
      <c r="T1035" s="0" t="str">
        <f aca="false">INDEX(Customers!$D$2:$D$101,MATCH(D1035,Customers!$A$2:$A$101,0))</f>
        <v>Bhubaneswar</v>
      </c>
    </row>
    <row r="1036" customFormat="false" ht="15" hidden="false" customHeight="false" outlineLevel="0" collapsed="false">
      <c r="A1036" s="0" t="s">
        <v>1307</v>
      </c>
      <c r="B1036" s="37" t="n">
        <v>45867</v>
      </c>
      <c r="C1036" s="37" t="n">
        <v>45868</v>
      </c>
      <c r="D1036" s="38" t="s">
        <v>343</v>
      </c>
      <c r="E1036" s="38" t="s">
        <v>126</v>
      </c>
      <c r="F1036" s="38" t="s">
        <v>102</v>
      </c>
      <c r="G1036" s="38" t="s">
        <v>178</v>
      </c>
      <c r="H1036" s="0" t="n">
        <v>2</v>
      </c>
      <c r="I1036" s="39" t="n">
        <v>1200</v>
      </c>
      <c r="J1036" s="40" t="n">
        <v>0</v>
      </c>
      <c r="K1036" s="39" t="n">
        <v>2400</v>
      </c>
      <c r="L1036" s="39" t="n">
        <v>1400</v>
      </c>
      <c r="M1036" s="39" t="n">
        <v>1000</v>
      </c>
      <c r="N1036" s="38" t="s">
        <v>66</v>
      </c>
      <c r="O1036" s="38" t="n">
        <f aca="false">YEAR(B1036)</f>
        <v>2025</v>
      </c>
      <c r="P1036" s="41" t="n">
        <f aca="false">DATE(YEAR(B1036),MONTH(B1036),1)</f>
        <v>45839</v>
      </c>
      <c r="Q1036" s="0" t="str">
        <f aca="false">INDEX(Products!$C$2:$C$16,MATCH(E1036,Products!$A$2:$A$16,0))</f>
        <v>Furniture</v>
      </c>
      <c r="R1036" s="0" t="str">
        <f aca="false">INDEX(Customers!$F$2:$F$101,MATCH(D1036,Customers!$A$2:$A$101,0))</f>
        <v>West</v>
      </c>
      <c r="S1036" s="0" t="str">
        <f aca="false">INDEX(Customers!$C$2:$C$101,MATCH(D1036,Customers!$A$2:$A$101,0))</f>
        <v>Consumer</v>
      </c>
      <c r="T1036" s="0" t="str">
        <f aca="false">INDEX(Customers!$D$2:$D$101,MATCH(D1036,Customers!$A$2:$A$101,0))</f>
        <v>Mumbai</v>
      </c>
    </row>
    <row r="1037" customFormat="false" ht="15" hidden="false" customHeight="false" outlineLevel="0" collapsed="false">
      <c r="A1037" s="0" t="s">
        <v>1308</v>
      </c>
      <c r="B1037" s="37" t="n">
        <v>46037</v>
      </c>
      <c r="C1037" s="37" t="n">
        <v>46040</v>
      </c>
      <c r="D1037" s="38" t="s">
        <v>400</v>
      </c>
      <c r="E1037" s="38" t="s">
        <v>115</v>
      </c>
      <c r="F1037" s="38" t="s">
        <v>102</v>
      </c>
      <c r="G1037" s="38" t="s">
        <v>185</v>
      </c>
      <c r="H1037" s="0" t="n">
        <v>3</v>
      </c>
      <c r="I1037" s="39" t="n">
        <v>1500</v>
      </c>
      <c r="J1037" s="40" t="n">
        <v>0.25</v>
      </c>
      <c r="K1037" s="39" t="n">
        <v>3375</v>
      </c>
      <c r="L1037" s="39" t="n">
        <v>2550</v>
      </c>
      <c r="M1037" s="39" t="n">
        <v>825</v>
      </c>
      <c r="N1037" s="38" t="s">
        <v>66</v>
      </c>
      <c r="O1037" s="38" t="n">
        <f aca="false">YEAR(B1037)</f>
        <v>2026</v>
      </c>
      <c r="P1037" s="41" t="n">
        <f aca="false">DATE(YEAR(B1037),MONTH(B1037),1)</f>
        <v>46023</v>
      </c>
      <c r="Q1037" s="0" t="str">
        <f aca="false">INDEX(Products!$C$2:$C$16,MATCH(E1037,Products!$A$2:$A$16,0))</f>
        <v>Technology</v>
      </c>
      <c r="R1037" s="0" t="str">
        <f aca="false">INDEX(Customers!$F$2:$F$101,MATCH(D1037,Customers!$A$2:$A$101,0))</f>
        <v>North</v>
      </c>
      <c r="S1037" s="0" t="str">
        <f aca="false">INDEX(Customers!$C$2:$C$101,MATCH(D1037,Customers!$A$2:$A$101,0))</f>
        <v>Small Business</v>
      </c>
      <c r="T1037" s="0" t="str">
        <f aca="false">INDEX(Customers!$D$2:$D$101,MATCH(D1037,Customers!$A$2:$A$101,0))</f>
        <v>Lucknow</v>
      </c>
    </row>
    <row r="1038" customFormat="false" ht="15" hidden="false" customHeight="false" outlineLevel="0" collapsed="false">
      <c r="A1038" s="0" t="s">
        <v>1309</v>
      </c>
      <c r="B1038" s="37" t="n">
        <v>45954</v>
      </c>
      <c r="C1038" s="37" t="n">
        <v>45957</v>
      </c>
      <c r="D1038" s="38" t="s">
        <v>354</v>
      </c>
      <c r="E1038" s="38" t="s">
        <v>115</v>
      </c>
      <c r="F1038" s="38" t="s">
        <v>100</v>
      </c>
      <c r="G1038" s="38" t="s">
        <v>173</v>
      </c>
      <c r="H1038" s="0" t="n">
        <v>2</v>
      </c>
      <c r="I1038" s="39" t="n">
        <v>1500</v>
      </c>
      <c r="J1038" s="40" t="n">
        <v>0</v>
      </c>
      <c r="K1038" s="39" t="n">
        <v>3000</v>
      </c>
      <c r="L1038" s="39" t="n">
        <v>1700</v>
      </c>
      <c r="M1038" s="39" t="n">
        <v>1300</v>
      </c>
      <c r="N1038" s="38" t="s">
        <v>66</v>
      </c>
      <c r="O1038" s="38" t="n">
        <f aca="false">YEAR(B1038)</f>
        <v>2025</v>
      </c>
      <c r="P1038" s="41" t="n">
        <f aca="false">DATE(YEAR(B1038),MONTH(B1038),1)</f>
        <v>45931</v>
      </c>
      <c r="Q1038" s="0" t="str">
        <f aca="false">INDEX(Products!$C$2:$C$16,MATCH(E1038,Products!$A$2:$A$16,0))</f>
        <v>Technology</v>
      </c>
      <c r="R1038" s="0" t="str">
        <f aca="false">INDEX(Customers!$F$2:$F$101,MATCH(D1038,Customers!$A$2:$A$101,0))</f>
        <v>East</v>
      </c>
      <c r="S1038" s="0" t="str">
        <f aca="false">INDEX(Customers!$C$2:$C$101,MATCH(D1038,Customers!$A$2:$A$101,0))</f>
        <v>Small Business</v>
      </c>
      <c r="T1038" s="0" t="str">
        <f aca="false">INDEX(Customers!$D$2:$D$101,MATCH(D1038,Customers!$A$2:$A$101,0))</f>
        <v>Bhubaneswar</v>
      </c>
    </row>
    <row r="1039" customFormat="false" ht="15" hidden="false" customHeight="false" outlineLevel="0" collapsed="false">
      <c r="A1039" s="0" t="s">
        <v>1310</v>
      </c>
      <c r="B1039" s="37" t="n">
        <v>46079</v>
      </c>
      <c r="C1039" s="37" t="n">
        <v>46080</v>
      </c>
      <c r="D1039" s="38" t="s">
        <v>364</v>
      </c>
      <c r="E1039" s="38" t="s">
        <v>125</v>
      </c>
      <c r="F1039" s="38" t="s">
        <v>101</v>
      </c>
      <c r="G1039" s="38" t="s">
        <v>170</v>
      </c>
      <c r="H1039" s="0" t="n">
        <v>1</v>
      </c>
      <c r="I1039" s="39" t="n">
        <v>600</v>
      </c>
      <c r="J1039" s="40" t="n">
        <v>0.25</v>
      </c>
      <c r="K1039" s="39" t="n">
        <v>450</v>
      </c>
      <c r="L1039" s="39" t="n">
        <v>350</v>
      </c>
      <c r="M1039" s="39" t="n">
        <v>100</v>
      </c>
      <c r="N1039" s="38" t="s">
        <v>66</v>
      </c>
      <c r="O1039" s="38" t="n">
        <f aca="false">YEAR(B1039)</f>
        <v>2026</v>
      </c>
      <c r="P1039" s="41" t="n">
        <f aca="false">DATE(YEAR(B1039),MONTH(B1039),1)</f>
        <v>46054</v>
      </c>
      <c r="Q1039" s="0" t="str">
        <f aca="false">INDEX(Products!$C$2:$C$16,MATCH(E1039,Products!$A$2:$A$16,0))</f>
        <v>Office Supplies</v>
      </c>
      <c r="R1039" s="0" t="str">
        <f aca="false">INDEX(Customers!$F$2:$F$101,MATCH(D1039,Customers!$A$2:$A$101,0))</f>
        <v>North</v>
      </c>
      <c r="S1039" s="0" t="str">
        <f aca="false">INDEX(Customers!$C$2:$C$101,MATCH(D1039,Customers!$A$2:$A$101,0))</f>
        <v>Corporate</v>
      </c>
      <c r="T1039" s="0" t="str">
        <f aca="false">INDEX(Customers!$D$2:$D$101,MATCH(D1039,Customers!$A$2:$A$101,0))</f>
        <v>Jaipur</v>
      </c>
    </row>
    <row r="1040" customFormat="false" ht="15" hidden="false" customHeight="false" outlineLevel="0" collapsed="false">
      <c r="A1040" s="0" t="s">
        <v>1311</v>
      </c>
      <c r="B1040" s="37" t="n">
        <v>45564</v>
      </c>
      <c r="C1040" s="37" t="n">
        <v>45567</v>
      </c>
      <c r="D1040" s="38" t="s">
        <v>219</v>
      </c>
      <c r="E1040" s="38" t="s">
        <v>114</v>
      </c>
      <c r="F1040" s="38" t="s">
        <v>101</v>
      </c>
      <c r="G1040" s="38" t="s">
        <v>173</v>
      </c>
      <c r="H1040" s="0" t="n">
        <v>4</v>
      </c>
      <c r="I1040" s="39" t="n">
        <v>800</v>
      </c>
      <c r="J1040" s="40" t="n">
        <v>0.1</v>
      </c>
      <c r="K1040" s="39" t="n">
        <v>2880</v>
      </c>
      <c r="L1040" s="39" t="n">
        <v>1680</v>
      </c>
      <c r="M1040" s="39" t="n">
        <v>1200</v>
      </c>
      <c r="N1040" s="38" t="s">
        <v>66</v>
      </c>
      <c r="O1040" s="38" t="n">
        <f aca="false">YEAR(B1040)</f>
        <v>2024</v>
      </c>
      <c r="P1040" s="41" t="n">
        <f aca="false">DATE(YEAR(B1040),MONTH(B1040),1)</f>
        <v>45536</v>
      </c>
      <c r="Q1040" s="0" t="str">
        <f aca="false">INDEX(Products!$C$2:$C$16,MATCH(E1040,Products!$A$2:$A$16,0))</f>
        <v>Technology</v>
      </c>
      <c r="R1040" s="0" t="str">
        <f aca="false">INDEX(Customers!$F$2:$F$101,MATCH(D1040,Customers!$A$2:$A$101,0))</f>
        <v>North</v>
      </c>
      <c r="S1040" s="0" t="str">
        <f aca="false">INDEX(Customers!$C$2:$C$101,MATCH(D1040,Customers!$A$2:$A$101,0))</f>
        <v>Small Business</v>
      </c>
      <c r="T1040" s="0" t="str">
        <f aca="false">INDEX(Customers!$D$2:$D$101,MATCH(D1040,Customers!$A$2:$A$101,0))</f>
        <v>Lucknow</v>
      </c>
    </row>
    <row r="1041" customFormat="false" ht="15" hidden="false" customHeight="false" outlineLevel="0" collapsed="false">
      <c r="A1041" s="0" t="s">
        <v>1312</v>
      </c>
      <c r="B1041" s="37" t="n">
        <v>45723</v>
      </c>
      <c r="C1041" s="37" t="n">
        <v>45730</v>
      </c>
      <c r="D1041" s="38" t="s">
        <v>192</v>
      </c>
      <c r="E1041" s="38" t="s">
        <v>121</v>
      </c>
      <c r="F1041" s="38" t="s">
        <v>101</v>
      </c>
      <c r="G1041" s="38" t="s">
        <v>185</v>
      </c>
      <c r="H1041" s="0" t="n">
        <v>1</v>
      </c>
      <c r="I1041" s="39" t="n">
        <v>180</v>
      </c>
      <c r="J1041" s="40" t="n">
        <v>0.25</v>
      </c>
      <c r="K1041" s="39" t="n">
        <v>135</v>
      </c>
      <c r="L1041" s="39" t="n">
        <v>70</v>
      </c>
      <c r="M1041" s="39" t="n">
        <v>65</v>
      </c>
      <c r="N1041" s="38" t="s">
        <v>146</v>
      </c>
      <c r="O1041" s="38" t="n">
        <f aca="false">YEAR(B1041)</f>
        <v>2025</v>
      </c>
      <c r="P1041" s="41" t="n">
        <f aca="false">DATE(YEAR(B1041),MONTH(B1041),1)</f>
        <v>45717</v>
      </c>
      <c r="Q1041" s="0" t="str">
        <f aca="false">INDEX(Products!$C$2:$C$16,MATCH(E1041,Products!$A$2:$A$16,0))</f>
        <v>Office Supplies</v>
      </c>
      <c r="R1041" s="0" t="str">
        <f aca="false">INDEX(Customers!$F$2:$F$101,MATCH(D1041,Customers!$A$2:$A$101,0))</f>
        <v>East</v>
      </c>
      <c r="S1041" s="0" t="str">
        <f aca="false">INDEX(Customers!$C$2:$C$101,MATCH(D1041,Customers!$A$2:$A$101,0))</f>
        <v>Small Business</v>
      </c>
      <c r="T1041" s="0" t="str">
        <f aca="false">INDEX(Customers!$D$2:$D$101,MATCH(D1041,Customers!$A$2:$A$101,0))</f>
        <v>Bhubaneswar</v>
      </c>
    </row>
    <row r="1042" customFormat="false" ht="15" hidden="false" customHeight="false" outlineLevel="0" collapsed="false">
      <c r="A1042" s="0" t="s">
        <v>1313</v>
      </c>
      <c r="B1042" s="37" t="n">
        <v>45820</v>
      </c>
      <c r="C1042" s="37" t="n">
        <v>45827</v>
      </c>
      <c r="D1042" s="38" t="s">
        <v>227</v>
      </c>
      <c r="E1042" s="38" t="s">
        <v>126</v>
      </c>
      <c r="F1042" s="38" t="s">
        <v>101</v>
      </c>
      <c r="G1042" s="38" t="s">
        <v>173</v>
      </c>
      <c r="H1042" s="0" t="n">
        <v>3</v>
      </c>
      <c r="I1042" s="39" t="n">
        <v>1200</v>
      </c>
      <c r="J1042" s="40" t="n">
        <v>0</v>
      </c>
      <c r="K1042" s="39" t="n">
        <v>3600</v>
      </c>
      <c r="L1042" s="39" t="n">
        <v>2100</v>
      </c>
      <c r="M1042" s="39" t="n">
        <v>1500</v>
      </c>
      <c r="N1042" s="38" t="s">
        <v>66</v>
      </c>
      <c r="O1042" s="38" t="n">
        <f aca="false">YEAR(B1042)</f>
        <v>2025</v>
      </c>
      <c r="P1042" s="41" t="n">
        <f aca="false">DATE(YEAR(B1042),MONTH(B1042),1)</f>
        <v>45809</v>
      </c>
      <c r="Q1042" s="0" t="str">
        <f aca="false">INDEX(Products!$C$2:$C$16,MATCH(E1042,Products!$A$2:$A$16,0))</f>
        <v>Furniture</v>
      </c>
      <c r="R1042" s="0" t="str">
        <f aca="false">INDEX(Customers!$F$2:$F$101,MATCH(D1042,Customers!$A$2:$A$101,0))</f>
        <v>North</v>
      </c>
      <c r="S1042" s="0" t="str">
        <f aca="false">INDEX(Customers!$C$2:$C$101,MATCH(D1042,Customers!$A$2:$A$101,0))</f>
        <v>Consumer</v>
      </c>
      <c r="T1042" s="0" t="str">
        <f aca="false">INDEX(Customers!$D$2:$D$101,MATCH(D1042,Customers!$A$2:$A$101,0))</f>
        <v>Delhi</v>
      </c>
    </row>
    <row r="1043" customFormat="false" ht="15" hidden="false" customHeight="false" outlineLevel="0" collapsed="false">
      <c r="A1043" s="0" t="s">
        <v>1314</v>
      </c>
      <c r="B1043" s="37" t="n">
        <v>45821</v>
      </c>
      <c r="C1043" s="37" t="n">
        <v>45822</v>
      </c>
      <c r="D1043" s="38" t="s">
        <v>285</v>
      </c>
      <c r="E1043" s="38" t="s">
        <v>125</v>
      </c>
      <c r="F1043" s="38" t="s">
        <v>101</v>
      </c>
      <c r="G1043" s="38" t="s">
        <v>173</v>
      </c>
      <c r="H1043" s="0" t="n">
        <v>1</v>
      </c>
      <c r="I1043" s="39" t="n">
        <v>600</v>
      </c>
      <c r="J1043" s="40" t="n">
        <v>0.05</v>
      </c>
      <c r="K1043" s="39" t="n">
        <v>570</v>
      </c>
      <c r="L1043" s="39" t="n">
        <v>350</v>
      </c>
      <c r="M1043" s="39" t="n">
        <v>220</v>
      </c>
      <c r="N1043" s="38" t="s">
        <v>66</v>
      </c>
      <c r="O1043" s="38" t="n">
        <f aca="false">YEAR(B1043)</f>
        <v>2025</v>
      </c>
      <c r="P1043" s="41" t="n">
        <f aca="false">DATE(YEAR(B1043),MONTH(B1043),1)</f>
        <v>45809</v>
      </c>
      <c r="Q1043" s="0" t="str">
        <f aca="false">INDEX(Products!$C$2:$C$16,MATCH(E1043,Products!$A$2:$A$16,0))</f>
        <v>Office Supplies</v>
      </c>
      <c r="R1043" s="0" t="str">
        <f aca="false">INDEX(Customers!$F$2:$F$101,MATCH(D1043,Customers!$A$2:$A$101,0))</f>
        <v>South</v>
      </c>
      <c r="S1043" s="0" t="str">
        <f aca="false">INDEX(Customers!$C$2:$C$101,MATCH(D1043,Customers!$A$2:$A$101,0))</f>
        <v>Small Business</v>
      </c>
      <c r="T1043" s="0" t="str">
        <f aca="false">INDEX(Customers!$D$2:$D$101,MATCH(D1043,Customers!$A$2:$A$101,0))</f>
        <v>Hyderabad</v>
      </c>
    </row>
    <row r="1044" customFormat="false" ht="15" hidden="false" customHeight="false" outlineLevel="0" collapsed="false">
      <c r="A1044" s="0" t="s">
        <v>1315</v>
      </c>
      <c r="B1044" s="37" t="n">
        <v>45329</v>
      </c>
      <c r="C1044" s="37" t="n">
        <v>45335</v>
      </c>
      <c r="D1044" s="38" t="s">
        <v>371</v>
      </c>
      <c r="E1044" s="38" t="s">
        <v>125</v>
      </c>
      <c r="F1044" s="38" t="s">
        <v>102</v>
      </c>
      <c r="G1044" s="38" t="s">
        <v>178</v>
      </c>
      <c r="H1044" s="0" t="n">
        <v>6</v>
      </c>
      <c r="I1044" s="39" t="n">
        <v>600</v>
      </c>
      <c r="J1044" s="40" t="n">
        <v>0</v>
      </c>
      <c r="K1044" s="39" t="n">
        <v>3600</v>
      </c>
      <c r="L1044" s="39" t="n">
        <v>2100</v>
      </c>
      <c r="M1044" s="39" t="n">
        <v>1500</v>
      </c>
      <c r="N1044" s="38" t="s">
        <v>147</v>
      </c>
      <c r="O1044" s="38" t="n">
        <f aca="false">YEAR(B1044)</f>
        <v>2024</v>
      </c>
      <c r="P1044" s="41" t="n">
        <f aca="false">DATE(YEAR(B1044),MONTH(B1044),1)</f>
        <v>45323</v>
      </c>
      <c r="Q1044" s="0" t="str">
        <f aca="false">INDEX(Products!$C$2:$C$16,MATCH(E1044,Products!$A$2:$A$16,0))</f>
        <v>Office Supplies</v>
      </c>
      <c r="R1044" s="0" t="str">
        <f aca="false">INDEX(Customers!$F$2:$F$101,MATCH(D1044,Customers!$A$2:$A$101,0))</f>
        <v>South</v>
      </c>
      <c r="S1044" s="0" t="str">
        <f aca="false">INDEX(Customers!$C$2:$C$101,MATCH(D1044,Customers!$A$2:$A$101,0))</f>
        <v>Consumer</v>
      </c>
      <c r="T1044" s="0" t="str">
        <f aca="false">INDEX(Customers!$D$2:$D$101,MATCH(D1044,Customers!$A$2:$A$101,0))</f>
        <v>Bengaluru</v>
      </c>
    </row>
    <row r="1045" customFormat="false" ht="15" hidden="false" customHeight="false" outlineLevel="0" collapsed="false">
      <c r="A1045" s="0" t="s">
        <v>1316</v>
      </c>
      <c r="B1045" s="37" t="n">
        <v>45968</v>
      </c>
      <c r="C1045" s="37" t="n">
        <v>45973</v>
      </c>
      <c r="D1045" s="38" t="s">
        <v>285</v>
      </c>
      <c r="E1045" s="38" t="s">
        <v>125</v>
      </c>
      <c r="F1045" s="38" t="s">
        <v>101</v>
      </c>
      <c r="G1045" s="38" t="s">
        <v>188</v>
      </c>
      <c r="H1045" s="0" t="n">
        <v>8</v>
      </c>
      <c r="I1045" s="39" t="n">
        <v>600</v>
      </c>
      <c r="J1045" s="40" t="n">
        <v>0.1</v>
      </c>
      <c r="K1045" s="39" t="n">
        <v>4320</v>
      </c>
      <c r="L1045" s="39" t="n">
        <v>2800</v>
      </c>
      <c r="M1045" s="39" t="n">
        <v>1520</v>
      </c>
      <c r="N1045" s="38" t="s">
        <v>66</v>
      </c>
      <c r="O1045" s="38" t="n">
        <f aca="false">YEAR(B1045)</f>
        <v>2025</v>
      </c>
      <c r="P1045" s="41" t="n">
        <f aca="false">DATE(YEAR(B1045),MONTH(B1045),1)</f>
        <v>45962</v>
      </c>
      <c r="Q1045" s="0" t="str">
        <f aca="false">INDEX(Products!$C$2:$C$16,MATCH(E1045,Products!$A$2:$A$16,0))</f>
        <v>Office Supplies</v>
      </c>
      <c r="R1045" s="0" t="str">
        <f aca="false">INDEX(Customers!$F$2:$F$101,MATCH(D1045,Customers!$A$2:$A$101,0))</f>
        <v>South</v>
      </c>
      <c r="S1045" s="0" t="str">
        <f aca="false">INDEX(Customers!$C$2:$C$101,MATCH(D1045,Customers!$A$2:$A$101,0))</f>
        <v>Small Business</v>
      </c>
      <c r="T1045" s="0" t="str">
        <f aca="false">INDEX(Customers!$D$2:$D$101,MATCH(D1045,Customers!$A$2:$A$101,0))</f>
        <v>Hyderabad</v>
      </c>
    </row>
    <row r="1046" customFormat="false" ht="15" hidden="false" customHeight="false" outlineLevel="0" collapsed="false">
      <c r="A1046" s="0" t="s">
        <v>1317</v>
      </c>
      <c r="B1046" s="37" t="n">
        <v>45613</v>
      </c>
      <c r="C1046" s="37" t="n">
        <v>45616</v>
      </c>
      <c r="D1046" s="38" t="s">
        <v>316</v>
      </c>
      <c r="E1046" s="38" t="s">
        <v>124</v>
      </c>
      <c r="F1046" s="38" t="s">
        <v>102</v>
      </c>
      <c r="G1046" s="38" t="s">
        <v>188</v>
      </c>
      <c r="H1046" s="0" t="n">
        <v>1</v>
      </c>
      <c r="I1046" s="39" t="n">
        <v>3000</v>
      </c>
      <c r="J1046" s="40" t="n">
        <v>0.05</v>
      </c>
      <c r="K1046" s="39" t="n">
        <v>2850</v>
      </c>
      <c r="L1046" s="39" t="n">
        <v>1900</v>
      </c>
      <c r="M1046" s="39" t="n">
        <v>950</v>
      </c>
      <c r="N1046" s="38" t="s">
        <v>146</v>
      </c>
      <c r="O1046" s="38" t="n">
        <f aca="false">YEAR(B1046)</f>
        <v>2024</v>
      </c>
      <c r="P1046" s="41" t="n">
        <f aca="false">DATE(YEAR(B1046),MONTH(B1046),1)</f>
        <v>45597</v>
      </c>
      <c r="Q1046" s="0" t="str">
        <f aca="false">INDEX(Products!$C$2:$C$16,MATCH(E1046,Products!$A$2:$A$16,0))</f>
        <v>Technology</v>
      </c>
      <c r="R1046" s="0" t="str">
        <f aca="false">INDEX(Customers!$F$2:$F$101,MATCH(D1046,Customers!$A$2:$A$101,0))</f>
        <v>West</v>
      </c>
      <c r="S1046" s="0" t="str">
        <f aca="false">INDEX(Customers!$C$2:$C$101,MATCH(D1046,Customers!$A$2:$A$101,0))</f>
        <v>Corporate</v>
      </c>
      <c r="T1046" s="0" t="str">
        <f aca="false">INDEX(Customers!$D$2:$D$101,MATCH(D1046,Customers!$A$2:$A$101,0))</f>
        <v>Ahmedabad</v>
      </c>
    </row>
    <row r="1047" customFormat="false" ht="15" hidden="false" customHeight="false" outlineLevel="0" collapsed="false">
      <c r="A1047" s="0" t="s">
        <v>1318</v>
      </c>
      <c r="B1047" s="37" t="n">
        <v>45748</v>
      </c>
      <c r="C1047" s="37" t="n">
        <v>45754</v>
      </c>
      <c r="D1047" s="38" t="s">
        <v>184</v>
      </c>
      <c r="E1047" s="38" t="s">
        <v>119</v>
      </c>
      <c r="F1047" s="38" t="s">
        <v>102</v>
      </c>
      <c r="G1047" s="38" t="s">
        <v>188</v>
      </c>
      <c r="H1047" s="0" t="n">
        <v>1</v>
      </c>
      <c r="I1047" s="39" t="n">
        <v>250</v>
      </c>
      <c r="J1047" s="40" t="n">
        <v>0.15</v>
      </c>
      <c r="K1047" s="39" t="n">
        <v>212.5</v>
      </c>
      <c r="L1047" s="39" t="n">
        <v>120</v>
      </c>
      <c r="M1047" s="39" t="n">
        <v>92.5</v>
      </c>
      <c r="N1047" s="38" t="s">
        <v>66</v>
      </c>
      <c r="O1047" s="38" t="n">
        <f aca="false">YEAR(B1047)</f>
        <v>2025</v>
      </c>
      <c r="P1047" s="41" t="n">
        <f aca="false">DATE(YEAR(B1047),MONTH(B1047),1)</f>
        <v>45748</v>
      </c>
      <c r="Q1047" s="0" t="str">
        <f aca="false">INDEX(Products!$C$2:$C$16,MATCH(E1047,Products!$A$2:$A$16,0))</f>
        <v>Office Supplies</v>
      </c>
      <c r="R1047" s="0" t="str">
        <f aca="false">INDEX(Customers!$F$2:$F$101,MATCH(D1047,Customers!$A$2:$A$101,0))</f>
        <v>West</v>
      </c>
      <c r="S1047" s="0" t="str">
        <f aca="false">INDEX(Customers!$C$2:$C$101,MATCH(D1047,Customers!$A$2:$A$101,0))</f>
        <v>Consumer</v>
      </c>
      <c r="T1047" s="0" t="str">
        <f aca="false">INDEX(Customers!$D$2:$D$101,MATCH(D1047,Customers!$A$2:$A$101,0))</f>
        <v>Ahmedabad</v>
      </c>
    </row>
    <row r="1048" customFormat="false" ht="15" hidden="false" customHeight="false" outlineLevel="0" collapsed="false">
      <c r="A1048" s="0" t="s">
        <v>1319</v>
      </c>
      <c r="B1048" s="37" t="n">
        <v>46200</v>
      </c>
      <c r="C1048" s="37" t="n">
        <v>46207</v>
      </c>
      <c r="D1048" s="38" t="s">
        <v>184</v>
      </c>
      <c r="E1048" s="38" t="s">
        <v>118</v>
      </c>
      <c r="F1048" s="38" t="s">
        <v>100</v>
      </c>
      <c r="G1048" s="38" t="s">
        <v>170</v>
      </c>
      <c r="H1048" s="0" t="n">
        <v>4</v>
      </c>
      <c r="I1048" s="39" t="n">
        <v>9000</v>
      </c>
      <c r="J1048" s="40" t="n">
        <v>0.1</v>
      </c>
      <c r="K1048" s="39" t="n">
        <v>32400</v>
      </c>
      <c r="L1048" s="39" t="n">
        <v>26000</v>
      </c>
      <c r="M1048" s="39" t="n">
        <v>6400</v>
      </c>
      <c r="N1048" s="38" t="s">
        <v>66</v>
      </c>
      <c r="O1048" s="38" t="n">
        <f aca="false">YEAR(B1048)</f>
        <v>2026</v>
      </c>
      <c r="P1048" s="41" t="n">
        <f aca="false">DATE(YEAR(B1048),MONTH(B1048),1)</f>
        <v>46174</v>
      </c>
      <c r="Q1048" s="0" t="str">
        <f aca="false">INDEX(Products!$C$2:$C$16,MATCH(E1048,Products!$A$2:$A$16,0))</f>
        <v>Furniture</v>
      </c>
      <c r="R1048" s="0" t="str">
        <f aca="false">INDEX(Customers!$F$2:$F$101,MATCH(D1048,Customers!$A$2:$A$101,0))</f>
        <v>West</v>
      </c>
      <c r="S1048" s="0" t="str">
        <f aca="false">INDEX(Customers!$C$2:$C$101,MATCH(D1048,Customers!$A$2:$A$101,0))</f>
        <v>Consumer</v>
      </c>
      <c r="T1048" s="0" t="str">
        <f aca="false">INDEX(Customers!$D$2:$D$101,MATCH(D1048,Customers!$A$2:$A$101,0))</f>
        <v>Ahmedabad</v>
      </c>
    </row>
    <row r="1049" customFormat="false" ht="15" hidden="false" customHeight="false" outlineLevel="0" collapsed="false">
      <c r="A1049" s="0" t="s">
        <v>1320</v>
      </c>
      <c r="B1049" s="37" t="n">
        <v>45691</v>
      </c>
      <c r="C1049" s="37" t="n">
        <v>45697</v>
      </c>
      <c r="D1049" s="38" t="s">
        <v>208</v>
      </c>
      <c r="E1049" s="38" t="s">
        <v>118</v>
      </c>
      <c r="F1049" s="38" t="s">
        <v>102</v>
      </c>
      <c r="G1049" s="38" t="s">
        <v>188</v>
      </c>
      <c r="H1049" s="0" t="n">
        <v>4</v>
      </c>
      <c r="I1049" s="39" t="n">
        <v>9000</v>
      </c>
      <c r="J1049" s="40" t="n">
        <v>0</v>
      </c>
      <c r="K1049" s="39" t="n">
        <v>36000</v>
      </c>
      <c r="L1049" s="39" t="n">
        <v>26000</v>
      </c>
      <c r="M1049" s="39" t="n">
        <v>10000</v>
      </c>
      <c r="N1049" s="38" t="s">
        <v>66</v>
      </c>
      <c r="O1049" s="38" t="n">
        <f aca="false">YEAR(B1049)</f>
        <v>2025</v>
      </c>
      <c r="P1049" s="41" t="n">
        <f aca="false">DATE(YEAR(B1049),MONTH(B1049),1)</f>
        <v>45689</v>
      </c>
      <c r="Q1049" s="0" t="str">
        <f aca="false">INDEX(Products!$C$2:$C$16,MATCH(E1049,Products!$A$2:$A$16,0))</f>
        <v>Furniture</v>
      </c>
      <c r="R1049" s="0" t="str">
        <f aca="false">INDEX(Customers!$F$2:$F$101,MATCH(D1049,Customers!$A$2:$A$101,0))</f>
        <v>North</v>
      </c>
      <c r="S1049" s="0" t="str">
        <f aca="false">INDEX(Customers!$C$2:$C$101,MATCH(D1049,Customers!$A$2:$A$101,0))</f>
        <v>Corporate</v>
      </c>
      <c r="T1049" s="0" t="str">
        <f aca="false">INDEX(Customers!$D$2:$D$101,MATCH(D1049,Customers!$A$2:$A$101,0))</f>
        <v>Gurugram</v>
      </c>
    </row>
    <row r="1050" customFormat="false" ht="15" hidden="false" customHeight="false" outlineLevel="0" collapsed="false">
      <c r="A1050" s="0" t="s">
        <v>1321</v>
      </c>
      <c r="B1050" s="37" t="n">
        <v>45857</v>
      </c>
      <c r="C1050" s="37" t="n">
        <v>45860</v>
      </c>
      <c r="D1050" s="38" t="s">
        <v>283</v>
      </c>
      <c r="E1050" s="38" t="s">
        <v>121</v>
      </c>
      <c r="F1050" s="38" t="s">
        <v>102</v>
      </c>
      <c r="G1050" s="38" t="s">
        <v>173</v>
      </c>
      <c r="H1050" s="0" t="n">
        <v>2</v>
      </c>
      <c r="I1050" s="39" t="n">
        <v>180</v>
      </c>
      <c r="J1050" s="40" t="n">
        <v>0.25</v>
      </c>
      <c r="K1050" s="39" t="n">
        <v>270</v>
      </c>
      <c r="L1050" s="39" t="n">
        <v>140</v>
      </c>
      <c r="M1050" s="39" t="n">
        <v>130</v>
      </c>
      <c r="N1050" s="38" t="s">
        <v>66</v>
      </c>
      <c r="O1050" s="38" t="n">
        <f aca="false">YEAR(B1050)</f>
        <v>2025</v>
      </c>
      <c r="P1050" s="41" t="n">
        <f aca="false">DATE(YEAR(B1050),MONTH(B1050),1)</f>
        <v>45839</v>
      </c>
      <c r="Q1050" s="0" t="str">
        <f aca="false">INDEX(Products!$C$2:$C$16,MATCH(E1050,Products!$A$2:$A$16,0))</f>
        <v>Office Supplies</v>
      </c>
      <c r="R1050" s="0" t="str">
        <f aca="false">INDEX(Customers!$F$2:$F$101,MATCH(D1050,Customers!$A$2:$A$101,0))</f>
        <v>West</v>
      </c>
      <c r="S1050" s="0" t="str">
        <f aca="false">INDEX(Customers!$C$2:$C$101,MATCH(D1050,Customers!$A$2:$A$101,0))</f>
        <v>Small Business</v>
      </c>
      <c r="T1050" s="0" t="str">
        <f aca="false">INDEX(Customers!$D$2:$D$101,MATCH(D1050,Customers!$A$2:$A$101,0))</f>
        <v>Mumbai</v>
      </c>
    </row>
    <row r="1051" customFormat="false" ht="15" hidden="false" customHeight="false" outlineLevel="0" collapsed="false">
      <c r="A1051" s="0" t="s">
        <v>1322</v>
      </c>
      <c r="B1051" s="37" t="n">
        <v>45556</v>
      </c>
      <c r="C1051" s="37" t="n">
        <v>45558</v>
      </c>
      <c r="D1051" s="38" t="s">
        <v>204</v>
      </c>
      <c r="E1051" s="38" t="s">
        <v>122</v>
      </c>
      <c r="F1051" s="38" t="s">
        <v>102</v>
      </c>
      <c r="G1051" s="38" t="s">
        <v>185</v>
      </c>
      <c r="H1051" s="0" t="n">
        <v>5</v>
      </c>
      <c r="I1051" s="39" t="n">
        <v>5500</v>
      </c>
      <c r="J1051" s="40" t="n">
        <v>0.05</v>
      </c>
      <c r="K1051" s="39" t="n">
        <v>26125</v>
      </c>
      <c r="L1051" s="39" t="n">
        <v>18500</v>
      </c>
      <c r="M1051" s="39" t="n">
        <v>7625</v>
      </c>
      <c r="N1051" s="38" t="s">
        <v>147</v>
      </c>
      <c r="O1051" s="38" t="n">
        <f aca="false">YEAR(B1051)</f>
        <v>2024</v>
      </c>
      <c r="P1051" s="41" t="n">
        <f aca="false">DATE(YEAR(B1051),MONTH(B1051),1)</f>
        <v>45536</v>
      </c>
      <c r="Q1051" s="0" t="str">
        <f aca="false">INDEX(Products!$C$2:$C$16,MATCH(E1051,Products!$A$2:$A$16,0))</f>
        <v>Furniture</v>
      </c>
      <c r="R1051" s="0" t="str">
        <f aca="false">INDEX(Customers!$F$2:$F$101,MATCH(D1051,Customers!$A$2:$A$101,0))</f>
        <v>South</v>
      </c>
      <c r="S1051" s="0" t="str">
        <f aca="false">INDEX(Customers!$C$2:$C$101,MATCH(D1051,Customers!$A$2:$A$101,0))</f>
        <v>Small Business</v>
      </c>
      <c r="T1051" s="0" t="str">
        <f aca="false">INDEX(Customers!$D$2:$D$101,MATCH(D1051,Customers!$A$2:$A$101,0))</f>
        <v>Bengaluru</v>
      </c>
    </row>
    <row r="1052" customFormat="false" ht="15" hidden="false" customHeight="false" outlineLevel="0" collapsed="false">
      <c r="A1052" s="0" t="s">
        <v>1323</v>
      </c>
      <c r="B1052" s="37" t="n">
        <v>45353</v>
      </c>
      <c r="C1052" s="37" t="n">
        <v>45360</v>
      </c>
      <c r="D1052" s="38" t="s">
        <v>369</v>
      </c>
      <c r="E1052" s="38" t="s">
        <v>124</v>
      </c>
      <c r="F1052" s="38" t="s">
        <v>102</v>
      </c>
      <c r="G1052" s="38" t="s">
        <v>170</v>
      </c>
      <c r="H1052" s="0" t="n">
        <v>2</v>
      </c>
      <c r="I1052" s="39" t="n">
        <v>3000</v>
      </c>
      <c r="J1052" s="40" t="n">
        <v>0.2</v>
      </c>
      <c r="K1052" s="39" t="n">
        <v>4800</v>
      </c>
      <c r="L1052" s="39" t="n">
        <v>3800</v>
      </c>
      <c r="M1052" s="39" t="n">
        <v>1000</v>
      </c>
      <c r="N1052" s="38" t="s">
        <v>66</v>
      </c>
      <c r="O1052" s="38" t="n">
        <f aca="false">YEAR(B1052)</f>
        <v>2024</v>
      </c>
      <c r="P1052" s="41" t="n">
        <f aca="false">DATE(YEAR(B1052),MONTH(B1052),1)</f>
        <v>45352</v>
      </c>
      <c r="Q1052" s="0" t="str">
        <f aca="false">INDEX(Products!$C$2:$C$16,MATCH(E1052,Products!$A$2:$A$16,0))</f>
        <v>Technology</v>
      </c>
      <c r="R1052" s="0" t="str">
        <f aca="false">INDEX(Customers!$F$2:$F$101,MATCH(D1052,Customers!$A$2:$A$101,0))</f>
        <v>West</v>
      </c>
      <c r="S1052" s="0" t="str">
        <f aca="false">INDEX(Customers!$C$2:$C$101,MATCH(D1052,Customers!$A$2:$A$101,0))</f>
        <v>Consumer</v>
      </c>
      <c r="T1052" s="0" t="str">
        <f aca="false">INDEX(Customers!$D$2:$D$101,MATCH(D1052,Customers!$A$2:$A$101,0))</f>
        <v>Mumbai</v>
      </c>
    </row>
    <row r="1053" customFormat="false" ht="15" hidden="false" customHeight="false" outlineLevel="0" collapsed="false">
      <c r="A1053" s="0" t="s">
        <v>1324</v>
      </c>
      <c r="B1053" s="37" t="n">
        <v>46255</v>
      </c>
      <c r="C1053" s="37" t="n">
        <v>46256</v>
      </c>
      <c r="D1053" s="38" t="s">
        <v>192</v>
      </c>
      <c r="E1053" s="38" t="s">
        <v>123</v>
      </c>
      <c r="F1053" s="38" t="s">
        <v>102</v>
      </c>
      <c r="G1053" s="38" t="s">
        <v>178</v>
      </c>
      <c r="H1053" s="0" t="n">
        <v>2</v>
      </c>
      <c r="I1053" s="39" t="n">
        <v>2200</v>
      </c>
      <c r="J1053" s="40" t="n">
        <v>0.15</v>
      </c>
      <c r="K1053" s="39" t="n">
        <v>3740</v>
      </c>
      <c r="L1053" s="39" t="n">
        <v>2600</v>
      </c>
      <c r="M1053" s="39" t="n">
        <v>1140</v>
      </c>
      <c r="N1053" s="38" t="s">
        <v>66</v>
      </c>
      <c r="O1053" s="38" t="n">
        <f aca="false">YEAR(B1053)</f>
        <v>2026</v>
      </c>
      <c r="P1053" s="41" t="n">
        <f aca="false">DATE(YEAR(B1053),MONTH(B1053),1)</f>
        <v>46235</v>
      </c>
      <c r="Q1053" s="0" t="str">
        <f aca="false">INDEX(Products!$C$2:$C$16,MATCH(E1053,Products!$A$2:$A$16,0))</f>
        <v>Technology</v>
      </c>
      <c r="R1053" s="0" t="str">
        <f aca="false">INDEX(Customers!$F$2:$F$101,MATCH(D1053,Customers!$A$2:$A$101,0))</f>
        <v>East</v>
      </c>
      <c r="S1053" s="0" t="str">
        <f aca="false">INDEX(Customers!$C$2:$C$101,MATCH(D1053,Customers!$A$2:$A$101,0))</f>
        <v>Small Business</v>
      </c>
      <c r="T1053" s="0" t="str">
        <f aca="false">INDEX(Customers!$D$2:$D$101,MATCH(D1053,Customers!$A$2:$A$101,0))</f>
        <v>Bhubaneswar</v>
      </c>
    </row>
    <row r="1054" customFormat="false" ht="15" hidden="false" customHeight="false" outlineLevel="0" collapsed="false">
      <c r="A1054" s="0" t="s">
        <v>1325</v>
      </c>
      <c r="B1054" s="37" t="n">
        <v>46055</v>
      </c>
      <c r="C1054" s="37" t="n">
        <v>46060</v>
      </c>
      <c r="D1054" s="38" t="s">
        <v>407</v>
      </c>
      <c r="E1054" s="38" t="s">
        <v>125</v>
      </c>
      <c r="F1054" s="38" t="s">
        <v>102</v>
      </c>
      <c r="G1054" s="38" t="s">
        <v>188</v>
      </c>
      <c r="H1054" s="0" t="n">
        <v>3</v>
      </c>
      <c r="I1054" s="39" t="n">
        <v>600</v>
      </c>
      <c r="J1054" s="40" t="n">
        <v>0.2</v>
      </c>
      <c r="K1054" s="39" t="n">
        <v>1440</v>
      </c>
      <c r="L1054" s="39" t="n">
        <v>1050</v>
      </c>
      <c r="M1054" s="39" t="n">
        <v>390</v>
      </c>
      <c r="N1054" s="38" t="s">
        <v>66</v>
      </c>
      <c r="O1054" s="38" t="n">
        <f aca="false">YEAR(B1054)</f>
        <v>2026</v>
      </c>
      <c r="P1054" s="41" t="n">
        <f aca="false">DATE(YEAR(B1054),MONTH(B1054),1)</f>
        <v>46054</v>
      </c>
      <c r="Q1054" s="0" t="str">
        <f aca="false">INDEX(Products!$C$2:$C$16,MATCH(E1054,Products!$A$2:$A$16,0))</f>
        <v>Office Supplies</v>
      </c>
      <c r="R1054" s="0" t="str">
        <f aca="false">INDEX(Customers!$F$2:$F$101,MATCH(D1054,Customers!$A$2:$A$101,0))</f>
        <v>North</v>
      </c>
      <c r="S1054" s="0" t="str">
        <f aca="false">INDEX(Customers!$C$2:$C$101,MATCH(D1054,Customers!$A$2:$A$101,0))</f>
        <v>Small Business</v>
      </c>
      <c r="T1054" s="0" t="str">
        <f aca="false">INDEX(Customers!$D$2:$D$101,MATCH(D1054,Customers!$A$2:$A$101,0))</f>
        <v>Delhi</v>
      </c>
    </row>
    <row r="1055" customFormat="false" ht="15" hidden="false" customHeight="false" outlineLevel="0" collapsed="false">
      <c r="A1055" s="0" t="s">
        <v>1326</v>
      </c>
      <c r="B1055" s="37" t="n">
        <v>45598</v>
      </c>
      <c r="C1055" s="37" t="n">
        <v>45601</v>
      </c>
      <c r="D1055" s="38" t="s">
        <v>314</v>
      </c>
      <c r="E1055" s="38" t="s">
        <v>118</v>
      </c>
      <c r="F1055" s="38" t="s">
        <v>102</v>
      </c>
      <c r="G1055" s="38" t="s">
        <v>188</v>
      </c>
      <c r="H1055" s="0" t="n">
        <v>3</v>
      </c>
      <c r="I1055" s="39" t="n">
        <v>9000</v>
      </c>
      <c r="J1055" s="40" t="n">
        <v>0.25</v>
      </c>
      <c r="K1055" s="39" t="n">
        <v>20250</v>
      </c>
      <c r="L1055" s="39" t="n">
        <v>19500</v>
      </c>
      <c r="M1055" s="39" t="n">
        <v>750</v>
      </c>
      <c r="N1055" s="38" t="s">
        <v>66</v>
      </c>
      <c r="O1055" s="38" t="n">
        <f aca="false">YEAR(B1055)</f>
        <v>2024</v>
      </c>
      <c r="P1055" s="41" t="n">
        <f aca="false">DATE(YEAR(B1055),MONTH(B1055),1)</f>
        <v>45597</v>
      </c>
      <c r="Q1055" s="0" t="str">
        <f aca="false">INDEX(Products!$C$2:$C$16,MATCH(E1055,Products!$A$2:$A$16,0))</f>
        <v>Furniture</v>
      </c>
      <c r="R1055" s="0" t="str">
        <f aca="false">INDEX(Customers!$F$2:$F$101,MATCH(D1055,Customers!$A$2:$A$101,0))</f>
        <v>North</v>
      </c>
      <c r="S1055" s="0" t="str">
        <f aca="false">INDEX(Customers!$C$2:$C$101,MATCH(D1055,Customers!$A$2:$A$101,0))</f>
        <v>Consumer</v>
      </c>
      <c r="T1055" s="0" t="str">
        <f aca="false">INDEX(Customers!$D$2:$D$101,MATCH(D1055,Customers!$A$2:$A$101,0))</f>
        <v>Gurugram</v>
      </c>
    </row>
    <row r="1056" customFormat="false" ht="15" hidden="false" customHeight="false" outlineLevel="0" collapsed="false">
      <c r="A1056" s="0" t="s">
        <v>1327</v>
      </c>
      <c r="B1056" s="37" t="n">
        <v>45824</v>
      </c>
      <c r="C1056" s="37" t="n">
        <v>45830</v>
      </c>
      <c r="D1056" s="38" t="s">
        <v>285</v>
      </c>
      <c r="E1056" s="38" t="s">
        <v>119</v>
      </c>
      <c r="F1056" s="38" t="s">
        <v>102</v>
      </c>
      <c r="G1056" s="38" t="s">
        <v>188</v>
      </c>
      <c r="H1056" s="0" t="n">
        <v>1</v>
      </c>
      <c r="I1056" s="39" t="n">
        <v>250</v>
      </c>
      <c r="J1056" s="40" t="n">
        <v>0.05</v>
      </c>
      <c r="K1056" s="39" t="n">
        <v>237.5</v>
      </c>
      <c r="L1056" s="39" t="n">
        <v>120</v>
      </c>
      <c r="M1056" s="39" t="n">
        <v>117.5</v>
      </c>
      <c r="N1056" s="38" t="s">
        <v>66</v>
      </c>
      <c r="O1056" s="38" t="n">
        <f aca="false">YEAR(B1056)</f>
        <v>2025</v>
      </c>
      <c r="P1056" s="41" t="n">
        <f aca="false">DATE(YEAR(B1056),MONTH(B1056),1)</f>
        <v>45809</v>
      </c>
      <c r="Q1056" s="0" t="str">
        <f aca="false">INDEX(Products!$C$2:$C$16,MATCH(E1056,Products!$A$2:$A$16,0))</f>
        <v>Office Supplies</v>
      </c>
      <c r="R1056" s="0" t="str">
        <f aca="false">INDEX(Customers!$F$2:$F$101,MATCH(D1056,Customers!$A$2:$A$101,0))</f>
        <v>South</v>
      </c>
      <c r="S1056" s="0" t="str">
        <f aca="false">INDEX(Customers!$C$2:$C$101,MATCH(D1056,Customers!$A$2:$A$101,0))</f>
        <v>Small Business</v>
      </c>
      <c r="T1056" s="0" t="str">
        <f aca="false">INDEX(Customers!$D$2:$D$101,MATCH(D1056,Customers!$A$2:$A$101,0))</f>
        <v>Hyderabad</v>
      </c>
    </row>
    <row r="1057" customFormat="false" ht="15" hidden="false" customHeight="false" outlineLevel="0" collapsed="false">
      <c r="A1057" s="0" t="s">
        <v>1328</v>
      </c>
      <c r="B1057" s="37" t="n">
        <v>45757</v>
      </c>
      <c r="C1057" s="37" t="n">
        <v>45758</v>
      </c>
      <c r="D1057" s="38" t="s">
        <v>452</v>
      </c>
      <c r="E1057" s="38" t="s">
        <v>118</v>
      </c>
      <c r="F1057" s="38" t="s">
        <v>101</v>
      </c>
      <c r="G1057" s="38" t="s">
        <v>178</v>
      </c>
      <c r="H1057" s="0" t="n">
        <v>1</v>
      </c>
      <c r="I1057" s="39" t="n">
        <v>9000</v>
      </c>
      <c r="J1057" s="40" t="n">
        <v>0.1</v>
      </c>
      <c r="K1057" s="39" t="n">
        <v>8100</v>
      </c>
      <c r="L1057" s="39" t="n">
        <v>6500</v>
      </c>
      <c r="M1057" s="39" t="n">
        <v>1600</v>
      </c>
      <c r="N1057" s="38" t="s">
        <v>66</v>
      </c>
      <c r="O1057" s="38" t="n">
        <f aca="false">YEAR(B1057)</f>
        <v>2025</v>
      </c>
      <c r="P1057" s="41" t="n">
        <f aca="false">DATE(YEAR(B1057),MONTH(B1057),1)</f>
        <v>45748</v>
      </c>
      <c r="Q1057" s="0" t="str">
        <f aca="false">INDEX(Products!$C$2:$C$16,MATCH(E1057,Products!$A$2:$A$16,0))</f>
        <v>Furniture</v>
      </c>
      <c r="R1057" s="0" t="str">
        <f aca="false">INDEX(Customers!$F$2:$F$101,MATCH(D1057,Customers!$A$2:$A$101,0))</f>
        <v>South</v>
      </c>
      <c r="S1057" s="0" t="str">
        <f aca="false">INDEX(Customers!$C$2:$C$101,MATCH(D1057,Customers!$A$2:$A$101,0))</f>
        <v>Corporate</v>
      </c>
      <c r="T1057" s="0" t="str">
        <f aca="false">INDEX(Customers!$D$2:$D$101,MATCH(D1057,Customers!$A$2:$A$101,0))</f>
        <v>Hyderabad</v>
      </c>
    </row>
    <row r="1058" customFormat="false" ht="15" hidden="false" customHeight="false" outlineLevel="0" collapsed="false">
      <c r="A1058" s="0" t="s">
        <v>1329</v>
      </c>
      <c r="B1058" s="37" t="n">
        <v>45425</v>
      </c>
      <c r="C1058" s="37" t="n">
        <v>45429</v>
      </c>
      <c r="D1058" s="38" t="s">
        <v>367</v>
      </c>
      <c r="E1058" s="38" t="s">
        <v>127</v>
      </c>
      <c r="F1058" s="38" t="s">
        <v>101</v>
      </c>
      <c r="G1058" s="38" t="s">
        <v>188</v>
      </c>
      <c r="H1058" s="0" t="n">
        <v>1</v>
      </c>
      <c r="I1058" s="39" t="n">
        <v>18000</v>
      </c>
      <c r="J1058" s="40" t="n">
        <v>0</v>
      </c>
      <c r="K1058" s="39" t="n">
        <v>18000</v>
      </c>
      <c r="L1058" s="39" t="n">
        <v>14000</v>
      </c>
      <c r="M1058" s="39" t="n">
        <v>4000</v>
      </c>
      <c r="N1058" s="38" t="s">
        <v>66</v>
      </c>
      <c r="O1058" s="38" t="n">
        <f aca="false">YEAR(B1058)</f>
        <v>2024</v>
      </c>
      <c r="P1058" s="41" t="n">
        <f aca="false">DATE(YEAR(B1058),MONTH(B1058),1)</f>
        <v>45413</v>
      </c>
      <c r="Q1058" s="0" t="str">
        <f aca="false">INDEX(Products!$C$2:$C$16,MATCH(E1058,Products!$A$2:$A$16,0))</f>
        <v>Technology</v>
      </c>
      <c r="R1058" s="0" t="str">
        <f aca="false">INDEX(Customers!$F$2:$F$101,MATCH(D1058,Customers!$A$2:$A$101,0))</f>
        <v>West</v>
      </c>
      <c r="S1058" s="0" t="str">
        <f aca="false">INDEX(Customers!$C$2:$C$101,MATCH(D1058,Customers!$A$2:$A$101,0))</f>
        <v>Corporate</v>
      </c>
      <c r="T1058" s="0" t="str">
        <f aca="false">INDEX(Customers!$D$2:$D$101,MATCH(D1058,Customers!$A$2:$A$101,0))</f>
        <v>Ahmedabad</v>
      </c>
    </row>
    <row r="1059" customFormat="false" ht="15" hidden="false" customHeight="false" outlineLevel="0" collapsed="false">
      <c r="A1059" s="0" t="s">
        <v>1330</v>
      </c>
      <c r="B1059" s="37" t="n">
        <v>46089</v>
      </c>
      <c r="C1059" s="37" t="n">
        <v>46093</v>
      </c>
      <c r="D1059" s="38" t="s">
        <v>322</v>
      </c>
      <c r="E1059" s="38" t="s">
        <v>121</v>
      </c>
      <c r="F1059" s="38" t="s">
        <v>101</v>
      </c>
      <c r="G1059" s="38" t="s">
        <v>185</v>
      </c>
      <c r="H1059" s="0" t="n">
        <v>5</v>
      </c>
      <c r="I1059" s="39" t="n">
        <v>180</v>
      </c>
      <c r="J1059" s="40" t="n">
        <v>0.15</v>
      </c>
      <c r="K1059" s="39" t="n">
        <v>765</v>
      </c>
      <c r="L1059" s="39" t="n">
        <v>350</v>
      </c>
      <c r="M1059" s="39" t="n">
        <v>415</v>
      </c>
      <c r="N1059" s="38" t="s">
        <v>147</v>
      </c>
      <c r="O1059" s="38" t="n">
        <f aca="false">YEAR(B1059)</f>
        <v>2026</v>
      </c>
      <c r="P1059" s="41" t="n">
        <f aca="false">DATE(YEAR(B1059),MONTH(B1059),1)</f>
        <v>46082</v>
      </c>
      <c r="Q1059" s="0" t="str">
        <f aca="false">INDEX(Products!$C$2:$C$16,MATCH(E1059,Products!$A$2:$A$16,0))</f>
        <v>Office Supplies</v>
      </c>
      <c r="R1059" s="0" t="str">
        <f aca="false">INDEX(Customers!$F$2:$F$101,MATCH(D1059,Customers!$A$2:$A$101,0))</f>
        <v>North</v>
      </c>
      <c r="S1059" s="0" t="str">
        <f aca="false">INDEX(Customers!$C$2:$C$101,MATCH(D1059,Customers!$A$2:$A$101,0))</f>
        <v>Consumer</v>
      </c>
      <c r="T1059" s="0" t="str">
        <f aca="false">INDEX(Customers!$D$2:$D$101,MATCH(D1059,Customers!$A$2:$A$101,0))</f>
        <v>Jaipur</v>
      </c>
    </row>
    <row r="1060" customFormat="false" ht="15" hidden="false" customHeight="false" outlineLevel="0" collapsed="false">
      <c r="A1060" s="0" t="s">
        <v>1331</v>
      </c>
      <c r="B1060" s="37" t="n">
        <v>46262</v>
      </c>
      <c r="C1060" s="37" t="n">
        <v>46266</v>
      </c>
      <c r="D1060" s="38" t="s">
        <v>182</v>
      </c>
      <c r="E1060" s="38" t="s">
        <v>127</v>
      </c>
      <c r="F1060" s="38" t="s">
        <v>100</v>
      </c>
      <c r="G1060" s="38" t="s">
        <v>173</v>
      </c>
      <c r="H1060" s="0" t="n">
        <v>4</v>
      </c>
      <c r="I1060" s="39" t="n">
        <v>18000</v>
      </c>
      <c r="J1060" s="40" t="n">
        <v>0.1</v>
      </c>
      <c r="K1060" s="39" t="n">
        <v>64800</v>
      </c>
      <c r="L1060" s="39" t="n">
        <v>56000</v>
      </c>
      <c r="M1060" s="39" t="n">
        <v>8800</v>
      </c>
      <c r="N1060" s="38" t="s">
        <v>66</v>
      </c>
      <c r="O1060" s="38" t="n">
        <f aca="false">YEAR(B1060)</f>
        <v>2026</v>
      </c>
      <c r="P1060" s="41" t="n">
        <f aca="false">DATE(YEAR(B1060),MONTH(B1060),1)</f>
        <v>46235</v>
      </c>
      <c r="Q1060" s="0" t="str">
        <f aca="false">INDEX(Products!$C$2:$C$16,MATCH(E1060,Products!$A$2:$A$16,0))</f>
        <v>Technology</v>
      </c>
      <c r="R1060" s="0" t="str">
        <f aca="false">INDEX(Customers!$F$2:$F$101,MATCH(D1060,Customers!$A$2:$A$101,0))</f>
        <v>North</v>
      </c>
      <c r="S1060" s="0" t="str">
        <f aca="false">INDEX(Customers!$C$2:$C$101,MATCH(D1060,Customers!$A$2:$A$101,0))</f>
        <v>Small Business</v>
      </c>
      <c r="T1060" s="0" t="str">
        <f aca="false">INDEX(Customers!$D$2:$D$101,MATCH(D1060,Customers!$A$2:$A$101,0))</f>
        <v>Gurugram</v>
      </c>
    </row>
    <row r="1061" customFormat="false" ht="15" hidden="false" customHeight="false" outlineLevel="0" collapsed="false">
      <c r="A1061" s="0" t="s">
        <v>1332</v>
      </c>
      <c r="B1061" s="37" t="n">
        <v>45760</v>
      </c>
      <c r="C1061" s="37" t="n">
        <v>45762</v>
      </c>
      <c r="D1061" s="38" t="s">
        <v>238</v>
      </c>
      <c r="E1061" s="38" t="s">
        <v>124</v>
      </c>
      <c r="F1061" s="38" t="s">
        <v>102</v>
      </c>
      <c r="G1061" s="38" t="s">
        <v>178</v>
      </c>
      <c r="H1061" s="0" t="n">
        <v>8</v>
      </c>
      <c r="I1061" s="39" t="n">
        <v>3000</v>
      </c>
      <c r="J1061" s="40" t="n">
        <v>0.15</v>
      </c>
      <c r="K1061" s="39" t="n">
        <v>20400</v>
      </c>
      <c r="L1061" s="39" t="n">
        <v>15200</v>
      </c>
      <c r="M1061" s="39" t="n">
        <v>5200</v>
      </c>
      <c r="N1061" s="38" t="s">
        <v>66</v>
      </c>
      <c r="O1061" s="38" t="n">
        <f aca="false">YEAR(B1061)</f>
        <v>2025</v>
      </c>
      <c r="P1061" s="41" t="n">
        <f aca="false">DATE(YEAR(B1061),MONTH(B1061),1)</f>
        <v>45748</v>
      </c>
      <c r="Q1061" s="0" t="str">
        <f aca="false">INDEX(Products!$C$2:$C$16,MATCH(E1061,Products!$A$2:$A$16,0))</f>
        <v>Technology</v>
      </c>
      <c r="R1061" s="0" t="str">
        <f aca="false">INDEX(Customers!$F$2:$F$101,MATCH(D1061,Customers!$A$2:$A$101,0))</f>
        <v>North</v>
      </c>
      <c r="S1061" s="0" t="str">
        <f aca="false">INDEX(Customers!$C$2:$C$101,MATCH(D1061,Customers!$A$2:$A$101,0))</f>
        <v>Small Business</v>
      </c>
      <c r="T1061" s="0" t="str">
        <f aca="false">INDEX(Customers!$D$2:$D$101,MATCH(D1061,Customers!$A$2:$A$101,0))</f>
        <v>Lucknow</v>
      </c>
    </row>
    <row r="1062" customFormat="false" ht="15" hidden="false" customHeight="false" outlineLevel="0" collapsed="false">
      <c r="A1062" s="0" t="s">
        <v>1333</v>
      </c>
      <c r="B1062" s="37" t="n">
        <v>45325</v>
      </c>
      <c r="C1062" s="37" t="n">
        <v>45331</v>
      </c>
      <c r="D1062" s="38" t="s">
        <v>227</v>
      </c>
      <c r="E1062" s="38" t="s">
        <v>120</v>
      </c>
      <c r="F1062" s="38" t="s">
        <v>101</v>
      </c>
      <c r="G1062" s="38" t="s">
        <v>178</v>
      </c>
      <c r="H1062" s="0" t="n">
        <v>1</v>
      </c>
      <c r="I1062" s="39" t="n">
        <v>400</v>
      </c>
      <c r="J1062" s="40" t="n">
        <v>0.15</v>
      </c>
      <c r="K1062" s="39" t="n">
        <v>340</v>
      </c>
      <c r="L1062" s="39" t="n">
        <v>260</v>
      </c>
      <c r="M1062" s="39" t="n">
        <v>80</v>
      </c>
      <c r="N1062" s="38" t="s">
        <v>66</v>
      </c>
      <c r="O1062" s="38" t="n">
        <f aca="false">YEAR(B1062)</f>
        <v>2024</v>
      </c>
      <c r="P1062" s="41" t="n">
        <f aca="false">DATE(YEAR(B1062),MONTH(B1062),1)</f>
        <v>45323</v>
      </c>
      <c r="Q1062" s="0" t="str">
        <f aca="false">INDEX(Products!$C$2:$C$16,MATCH(E1062,Products!$A$2:$A$16,0))</f>
        <v>Office Supplies</v>
      </c>
      <c r="R1062" s="0" t="str">
        <f aca="false">INDEX(Customers!$F$2:$F$101,MATCH(D1062,Customers!$A$2:$A$101,0))</f>
        <v>North</v>
      </c>
      <c r="S1062" s="0" t="str">
        <f aca="false">INDEX(Customers!$C$2:$C$101,MATCH(D1062,Customers!$A$2:$A$101,0))</f>
        <v>Consumer</v>
      </c>
      <c r="T1062" s="0" t="str">
        <f aca="false">INDEX(Customers!$D$2:$D$101,MATCH(D1062,Customers!$A$2:$A$101,0))</f>
        <v>Delhi</v>
      </c>
    </row>
    <row r="1063" customFormat="false" ht="15" hidden="false" customHeight="false" outlineLevel="0" collapsed="false">
      <c r="A1063" s="0" t="s">
        <v>1334</v>
      </c>
      <c r="B1063" s="37" t="n">
        <v>45415</v>
      </c>
      <c r="C1063" s="37" t="n">
        <v>45418</v>
      </c>
      <c r="D1063" s="38" t="s">
        <v>198</v>
      </c>
      <c r="E1063" s="38" t="s">
        <v>114</v>
      </c>
      <c r="F1063" s="38" t="s">
        <v>102</v>
      </c>
      <c r="G1063" s="38" t="s">
        <v>173</v>
      </c>
      <c r="H1063" s="0" t="n">
        <v>3</v>
      </c>
      <c r="I1063" s="39" t="n">
        <v>800</v>
      </c>
      <c r="J1063" s="40" t="n">
        <v>0</v>
      </c>
      <c r="K1063" s="39" t="n">
        <v>2400</v>
      </c>
      <c r="L1063" s="39" t="n">
        <v>1260</v>
      </c>
      <c r="M1063" s="39" t="n">
        <v>1140</v>
      </c>
      <c r="N1063" s="38" t="s">
        <v>66</v>
      </c>
      <c r="O1063" s="38" t="n">
        <f aca="false">YEAR(B1063)</f>
        <v>2024</v>
      </c>
      <c r="P1063" s="41" t="n">
        <f aca="false">DATE(YEAR(B1063),MONTH(B1063),1)</f>
        <v>45413</v>
      </c>
      <c r="Q1063" s="0" t="str">
        <f aca="false">INDEX(Products!$C$2:$C$16,MATCH(E1063,Products!$A$2:$A$16,0))</f>
        <v>Technology</v>
      </c>
      <c r="R1063" s="0" t="str">
        <f aca="false">INDEX(Customers!$F$2:$F$101,MATCH(D1063,Customers!$A$2:$A$101,0))</f>
        <v>North</v>
      </c>
      <c r="S1063" s="0" t="str">
        <f aca="false">INDEX(Customers!$C$2:$C$101,MATCH(D1063,Customers!$A$2:$A$101,0))</f>
        <v>Consumer</v>
      </c>
      <c r="T1063" s="0" t="str">
        <f aca="false">INDEX(Customers!$D$2:$D$101,MATCH(D1063,Customers!$A$2:$A$101,0))</f>
        <v>Gurugram</v>
      </c>
    </row>
    <row r="1064" customFormat="false" ht="15" hidden="false" customHeight="false" outlineLevel="0" collapsed="false">
      <c r="A1064" s="0" t="s">
        <v>1335</v>
      </c>
      <c r="B1064" s="37" t="n">
        <v>45602</v>
      </c>
      <c r="C1064" s="37" t="n">
        <v>45605</v>
      </c>
      <c r="D1064" s="38" t="s">
        <v>257</v>
      </c>
      <c r="E1064" s="38" t="s">
        <v>118</v>
      </c>
      <c r="F1064" s="38" t="s">
        <v>100</v>
      </c>
      <c r="G1064" s="38" t="s">
        <v>173</v>
      </c>
      <c r="H1064" s="0" t="n">
        <v>2</v>
      </c>
      <c r="I1064" s="39" t="n">
        <v>9000</v>
      </c>
      <c r="J1064" s="40" t="n">
        <v>0.25</v>
      </c>
      <c r="K1064" s="39" t="n">
        <v>13500</v>
      </c>
      <c r="L1064" s="39" t="n">
        <v>13000</v>
      </c>
      <c r="M1064" s="39" t="n">
        <v>500</v>
      </c>
      <c r="N1064" s="38" t="s">
        <v>66</v>
      </c>
      <c r="O1064" s="38" t="n">
        <f aca="false">YEAR(B1064)</f>
        <v>2024</v>
      </c>
      <c r="P1064" s="41" t="n">
        <f aca="false">DATE(YEAR(B1064),MONTH(B1064),1)</f>
        <v>45597</v>
      </c>
      <c r="Q1064" s="0" t="str">
        <f aca="false">INDEX(Products!$C$2:$C$16,MATCH(E1064,Products!$A$2:$A$16,0))</f>
        <v>Furniture</v>
      </c>
      <c r="R1064" s="0" t="str">
        <f aca="false">INDEX(Customers!$F$2:$F$101,MATCH(D1064,Customers!$A$2:$A$101,0))</f>
        <v>West</v>
      </c>
      <c r="S1064" s="0" t="str">
        <f aca="false">INDEX(Customers!$C$2:$C$101,MATCH(D1064,Customers!$A$2:$A$101,0))</f>
        <v>Consumer</v>
      </c>
      <c r="T1064" s="0" t="str">
        <f aca="false">INDEX(Customers!$D$2:$D$101,MATCH(D1064,Customers!$A$2:$A$101,0))</f>
        <v>Pune</v>
      </c>
    </row>
    <row r="1065" customFormat="false" ht="15" hidden="false" customHeight="false" outlineLevel="0" collapsed="false">
      <c r="A1065" s="0" t="s">
        <v>1336</v>
      </c>
      <c r="B1065" s="37" t="n">
        <v>46251</v>
      </c>
      <c r="C1065" s="37" t="n">
        <v>46254</v>
      </c>
      <c r="D1065" s="38" t="s">
        <v>364</v>
      </c>
      <c r="E1065" s="38" t="s">
        <v>113</v>
      </c>
      <c r="F1065" s="38" t="s">
        <v>100</v>
      </c>
      <c r="G1065" s="38" t="s">
        <v>185</v>
      </c>
      <c r="H1065" s="0" t="n">
        <v>5</v>
      </c>
      <c r="I1065" s="39" t="n">
        <v>45000</v>
      </c>
      <c r="J1065" s="40" t="n">
        <v>0</v>
      </c>
      <c r="K1065" s="39" t="n">
        <v>225000</v>
      </c>
      <c r="L1065" s="39" t="n">
        <v>180000</v>
      </c>
      <c r="M1065" s="39" t="n">
        <v>45000</v>
      </c>
      <c r="N1065" s="38" t="s">
        <v>66</v>
      </c>
      <c r="O1065" s="38" t="n">
        <f aca="false">YEAR(B1065)</f>
        <v>2026</v>
      </c>
      <c r="P1065" s="41" t="n">
        <f aca="false">DATE(YEAR(B1065),MONTH(B1065),1)</f>
        <v>46235</v>
      </c>
      <c r="Q1065" s="0" t="str">
        <f aca="false">INDEX(Products!$C$2:$C$16,MATCH(E1065,Products!$A$2:$A$16,0))</f>
        <v>Technology</v>
      </c>
      <c r="R1065" s="0" t="str">
        <f aca="false">INDEX(Customers!$F$2:$F$101,MATCH(D1065,Customers!$A$2:$A$101,0))</f>
        <v>North</v>
      </c>
      <c r="S1065" s="0" t="str">
        <f aca="false">INDEX(Customers!$C$2:$C$101,MATCH(D1065,Customers!$A$2:$A$101,0))</f>
        <v>Corporate</v>
      </c>
      <c r="T1065" s="0" t="str">
        <f aca="false">INDEX(Customers!$D$2:$D$101,MATCH(D1065,Customers!$A$2:$A$101,0))</f>
        <v>Jaipur</v>
      </c>
    </row>
    <row r="1066" customFormat="false" ht="15" hidden="false" customHeight="false" outlineLevel="0" collapsed="false">
      <c r="A1066" s="0" t="s">
        <v>1337</v>
      </c>
      <c r="B1066" s="37" t="n">
        <v>45361</v>
      </c>
      <c r="C1066" s="37" t="n">
        <v>45368</v>
      </c>
      <c r="D1066" s="38" t="s">
        <v>287</v>
      </c>
      <c r="E1066" s="38" t="s">
        <v>118</v>
      </c>
      <c r="F1066" s="38" t="s">
        <v>102</v>
      </c>
      <c r="G1066" s="38" t="s">
        <v>170</v>
      </c>
      <c r="H1066" s="0" t="n">
        <v>1</v>
      </c>
      <c r="I1066" s="39" t="n">
        <v>9000</v>
      </c>
      <c r="J1066" s="40" t="n">
        <v>0.1</v>
      </c>
      <c r="K1066" s="39" t="n">
        <v>8100</v>
      </c>
      <c r="L1066" s="39" t="n">
        <v>6500</v>
      </c>
      <c r="M1066" s="39" t="n">
        <v>1600</v>
      </c>
      <c r="N1066" s="38" t="s">
        <v>66</v>
      </c>
      <c r="O1066" s="38" t="n">
        <f aca="false">YEAR(B1066)</f>
        <v>2024</v>
      </c>
      <c r="P1066" s="41" t="n">
        <f aca="false">DATE(YEAR(B1066),MONTH(B1066),1)</f>
        <v>45352</v>
      </c>
      <c r="Q1066" s="0" t="str">
        <f aca="false">INDEX(Products!$C$2:$C$16,MATCH(E1066,Products!$A$2:$A$16,0))</f>
        <v>Furniture</v>
      </c>
      <c r="R1066" s="0" t="str">
        <f aca="false">INDEX(Customers!$F$2:$F$101,MATCH(D1066,Customers!$A$2:$A$101,0))</f>
        <v>South</v>
      </c>
      <c r="S1066" s="0" t="str">
        <f aca="false">INDEX(Customers!$C$2:$C$101,MATCH(D1066,Customers!$A$2:$A$101,0))</f>
        <v>Small Business</v>
      </c>
      <c r="T1066" s="0" t="str">
        <f aca="false">INDEX(Customers!$D$2:$D$101,MATCH(D1066,Customers!$A$2:$A$101,0))</f>
        <v>Chennai</v>
      </c>
    </row>
    <row r="1067" customFormat="false" ht="15" hidden="false" customHeight="false" outlineLevel="0" collapsed="false">
      <c r="A1067" s="0" t="s">
        <v>1338</v>
      </c>
      <c r="B1067" s="37" t="n">
        <v>45678</v>
      </c>
      <c r="C1067" s="37" t="n">
        <v>45682</v>
      </c>
      <c r="D1067" s="38" t="s">
        <v>206</v>
      </c>
      <c r="E1067" s="38" t="s">
        <v>125</v>
      </c>
      <c r="F1067" s="38" t="s">
        <v>102</v>
      </c>
      <c r="G1067" s="38" t="s">
        <v>173</v>
      </c>
      <c r="H1067" s="0" t="n">
        <v>5</v>
      </c>
      <c r="I1067" s="39" t="n">
        <v>600</v>
      </c>
      <c r="J1067" s="40" t="n">
        <v>0.25</v>
      </c>
      <c r="K1067" s="39" t="n">
        <v>2250</v>
      </c>
      <c r="L1067" s="39" t="n">
        <v>1750</v>
      </c>
      <c r="M1067" s="39" t="n">
        <v>500</v>
      </c>
      <c r="N1067" s="38" t="s">
        <v>66</v>
      </c>
      <c r="O1067" s="38" t="n">
        <f aca="false">YEAR(B1067)</f>
        <v>2025</v>
      </c>
      <c r="P1067" s="41" t="n">
        <f aca="false">DATE(YEAR(B1067),MONTH(B1067),1)</f>
        <v>45658</v>
      </c>
      <c r="Q1067" s="0" t="str">
        <f aca="false">INDEX(Products!$C$2:$C$16,MATCH(E1067,Products!$A$2:$A$16,0))</f>
        <v>Office Supplies</v>
      </c>
      <c r="R1067" s="0" t="str">
        <f aca="false">INDEX(Customers!$F$2:$F$101,MATCH(D1067,Customers!$A$2:$A$101,0))</f>
        <v>West</v>
      </c>
      <c r="S1067" s="0" t="str">
        <f aca="false">INDEX(Customers!$C$2:$C$101,MATCH(D1067,Customers!$A$2:$A$101,0))</f>
        <v>Corporate</v>
      </c>
      <c r="T1067" s="0" t="str">
        <f aca="false">INDEX(Customers!$D$2:$D$101,MATCH(D1067,Customers!$A$2:$A$101,0))</f>
        <v>Pune</v>
      </c>
    </row>
    <row r="1068" customFormat="false" ht="15" hidden="false" customHeight="false" outlineLevel="0" collapsed="false">
      <c r="A1068" s="0" t="s">
        <v>1339</v>
      </c>
      <c r="B1068" s="37" t="n">
        <v>45763</v>
      </c>
      <c r="C1068" s="37" t="n">
        <v>45770</v>
      </c>
      <c r="D1068" s="38" t="s">
        <v>190</v>
      </c>
      <c r="E1068" s="38" t="s">
        <v>123</v>
      </c>
      <c r="F1068" s="38" t="s">
        <v>100</v>
      </c>
      <c r="G1068" s="38" t="s">
        <v>170</v>
      </c>
      <c r="H1068" s="0" t="n">
        <v>2</v>
      </c>
      <c r="I1068" s="39" t="n">
        <v>2200</v>
      </c>
      <c r="J1068" s="40" t="n">
        <v>0.1</v>
      </c>
      <c r="K1068" s="39" t="n">
        <v>3960</v>
      </c>
      <c r="L1068" s="39" t="n">
        <v>2600</v>
      </c>
      <c r="M1068" s="39" t="n">
        <v>1360</v>
      </c>
      <c r="N1068" s="38" t="s">
        <v>66</v>
      </c>
      <c r="O1068" s="38" t="n">
        <f aca="false">YEAR(B1068)</f>
        <v>2025</v>
      </c>
      <c r="P1068" s="41" t="n">
        <f aca="false">DATE(YEAR(B1068),MONTH(B1068),1)</f>
        <v>45748</v>
      </c>
      <c r="Q1068" s="0" t="str">
        <f aca="false">INDEX(Products!$C$2:$C$16,MATCH(E1068,Products!$A$2:$A$16,0))</f>
        <v>Technology</v>
      </c>
      <c r="R1068" s="0" t="str">
        <f aca="false">INDEX(Customers!$F$2:$F$101,MATCH(D1068,Customers!$A$2:$A$101,0))</f>
        <v>East</v>
      </c>
      <c r="S1068" s="0" t="str">
        <f aca="false">INDEX(Customers!$C$2:$C$101,MATCH(D1068,Customers!$A$2:$A$101,0))</f>
        <v>Corporate</v>
      </c>
      <c r="T1068" s="0" t="str">
        <f aca="false">INDEX(Customers!$D$2:$D$101,MATCH(D1068,Customers!$A$2:$A$101,0))</f>
        <v>Kolkata</v>
      </c>
    </row>
    <row r="1069" customFormat="false" ht="15" hidden="false" customHeight="false" outlineLevel="0" collapsed="false">
      <c r="A1069" s="0" t="s">
        <v>1340</v>
      </c>
      <c r="B1069" s="37" t="n">
        <v>45930</v>
      </c>
      <c r="C1069" s="37" t="n">
        <v>45934</v>
      </c>
      <c r="D1069" s="38" t="s">
        <v>305</v>
      </c>
      <c r="E1069" s="38" t="s">
        <v>123</v>
      </c>
      <c r="F1069" s="38" t="s">
        <v>101</v>
      </c>
      <c r="G1069" s="38" t="s">
        <v>188</v>
      </c>
      <c r="H1069" s="0" t="n">
        <v>2</v>
      </c>
      <c r="I1069" s="39" t="n">
        <v>2200</v>
      </c>
      <c r="J1069" s="40" t="n">
        <v>0.1</v>
      </c>
      <c r="K1069" s="39" t="n">
        <v>3960</v>
      </c>
      <c r="L1069" s="39" t="n">
        <v>2600</v>
      </c>
      <c r="M1069" s="39" t="n">
        <v>1360</v>
      </c>
      <c r="N1069" s="38" t="s">
        <v>66</v>
      </c>
      <c r="O1069" s="38" t="n">
        <f aca="false">YEAR(B1069)</f>
        <v>2025</v>
      </c>
      <c r="P1069" s="41" t="n">
        <f aca="false">DATE(YEAR(B1069),MONTH(B1069),1)</f>
        <v>45901</v>
      </c>
      <c r="Q1069" s="0" t="str">
        <f aca="false">INDEX(Products!$C$2:$C$16,MATCH(E1069,Products!$A$2:$A$16,0))</f>
        <v>Technology</v>
      </c>
      <c r="R1069" s="0" t="str">
        <f aca="false">INDEX(Customers!$F$2:$F$101,MATCH(D1069,Customers!$A$2:$A$101,0))</f>
        <v>South</v>
      </c>
      <c r="S1069" s="0" t="str">
        <f aca="false">INDEX(Customers!$C$2:$C$101,MATCH(D1069,Customers!$A$2:$A$101,0))</f>
        <v>Consumer</v>
      </c>
      <c r="T1069" s="0" t="str">
        <f aca="false">INDEX(Customers!$D$2:$D$101,MATCH(D1069,Customers!$A$2:$A$101,0))</f>
        <v>Chennai</v>
      </c>
    </row>
    <row r="1070" customFormat="false" ht="15" hidden="false" customHeight="false" outlineLevel="0" collapsed="false">
      <c r="A1070" s="0" t="s">
        <v>1341</v>
      </c>
      <c r="B1070" s="37" t="n">
        <v>45745</v>
      </c>
      <c r="C1070" s="37" t="n">
        <v>45751</v>
      </c>
      <c r="D1070" s="38" t="s">
        <v>232</v>
      </c>
      <c r="E1070" s="38" t="s">
        <v>127</v>
      </c>
      <c r="F1070" s="38" t="s">
        <v>100</v>
      </c>
      <c r="G1070" s="38" t="s">
        <v>178</v>
      </c>
      <c r="H1070" s="0" t="n">
        <v>1</v>
      </c>
      <c r="I1070" s="39" t="n">
        <v>18000</v>
      </c>
      <c r="J1070" s="40" t="n">
        <v>0</v>
      </c>
      <c r="K1070" s="39" t="n">
        <v>18000</v>
      </c>
      <c r="L1070" s="39" t="n">
        <v>14000</v>
      </c>
      <c r="M1070" s="39" t="n">
        <v>4000</v>
      </c>
      <c r="N1070" s="38" t="s">
        <v>66</v>
      </c>
      <c r="O1070" s="38" t="n">
        <f aca="false">YEAR(B1070)</f>
        <v>2025</v>
      </c>
      <c r="P1070" s="41" t="n">
        <f aca="false">DATE(YEAR(B1070),MONTH(B1070),1)</f>
        <v>45717</v>
      </c>
      <c r="Q1070" s="0" t="str">
        <f aca="false">INDEX(Products!$C$2:$C$16,MATCH(E1070,Products!$A$2:$A$16,0))</f>
        <v>Technology</v>
      </c>
      <c r="R1070" s="0" t="str">
        <f aca="false">INDEX(Customers!$F$2:$F$101,MATCH(D1070,Customers!$A$2:$A$101,0))</f>
        <v>West</v>
      </c>
      <c r="S1070" s="0" t="str">
        <f aca="false">INDEX(Customers!$C$2:$C$101,MATCH(D1070,Customers!$A$2:$A$101,0))</f>
        <v>Consumer</v>
      </c>
      <c r="T1070" s="0" t="str">
        <f aca="false">INDEX(Customers!$D$2:$D$101,MATCH(D1070,Customers!$A$2:$A$101,0))</f>
        <v>Ahmedabad</v>
      </c>
    </row>
    <row r="1071" customFormat="false" ht="15" hidden="false" customHeight="false" outlineLevel="0" collapsed="false">
      <c r="A1071" s="0" t="s">
        <v>1342</v>
      </c>
      <c r="B1071" s="37" t="n">
        <v>45608</v>
      </c>
      <c r="C1071" s="37" t="n">
        <v>45613</v>
      </c>
      <c r="D1071" s="38" t="s">
        <v>276</v>
      </c>
      <c r="E1071" s="38" t="s">
        <v>124</v>
      </c>
      <c r="F1071" s="38" t="s">
        <v>102</v>
      </c>
      <c r="G1071" s="38" t="s">
        <v>178</v>
      </c>
      <c r="H1071" s="0" t="n">
        <v>3</v>
      </c>
      <c r="I1071" s="39" t="n">
        <v>3000</v>
      </c>
      <c r="J1071" s="40" t="n">
        <v>0.2</v>
      </c>
      <c r="K1071" s="39" t="n">
        <v>7200</v>
      </c>
      <c r="L1071" s="39" t="n">
        <v>5700</v>
      </c>
      <c r="M1071" s="39" t="n">
        <v>1500</v>
      </c>
      <c r="N1071" s="38" t="s">
        <v>66</v>
      </c>
      <c r="O1071" s="38" t="n">
        <f aca="false">YEAR(B1071)</f>
        <v>2024</v>
      </c>
      <c r="P1071" s="41" t="n">
        <f aca="false">DATE(YEAR(B1071),MONTH(B1071),1)</f>
        <v>45597</v>
      </c>
      <c r="Q1071" s="0" t="str">
        <f aca="false">INDEX(Products!$C$2:$C$16,MATCH(E1071,Products!$A$2:$A$16,0))</f>
        <v>Technology</v>
      </c>
      <c r="R1071" s="0" t="str">
        <f aca="false">INDEX(Customers!$F$2:$F$101,MATCH(D1071,Customers!$A$2:$A$101,0))</f>
        <v>North</v>
      </c>
      <c r="S1071" s="0" t="str">
        <f aca="false">INDEX(Customers!$C$2:$C$101,MATCH(D1071,Customers!$A$2:$A$101,0))</f>
        <v>Small Business</v>
      </c>
      <c r="T1071" s="0" t="str">
        <f aca="false">INDEX(Customers!$D$2:$D$101,MATCH(D1071,Customers!$A$2:$A$101,0))</f>
        <v>Lucknow</v>
      </c>
    </row>
    <row r="1072" customFormat="false" ht="15" hidden="false" customHeight="false" outlineLevel="0" collapsed="false">
      <c r="A1072" s="0" t="s">
        <v>1343</v>
      </c>
      <c r="B1072" s="37" t="n">
        <v>45882</v>
      </c>
      <c r="C1072" s="37" t="n">
        <v>45889</v>
      </c>
      <c r="D1072" s="38" t="s">
        <v>305</v>
      </c>
      <c r="E1072" s="38" t="s">
        <v>121</v>
      </c>
      <c r="F1072" s="38" t="s">
        <v>102</v>
      </c>
      <c r="G1072" s="38" t="s">
        <v>173</v>
      </c>
      <c r="H1072" s="0" t="n">
        <v>1</v>
      </c>
      <c r="I1072" s="39" t="n">
        <v>180</v>
      </c>
      <c r="J1072" s="40" t="n">
        <v>0.15</v>
      </c>
      <c r="K1072" s="39" t="n">
        <v>153</v>
      </c>
      <c r="L1072" s="39" t="n">
        <v>70</v>
      </c>
      <c r="M1072" s="39" t="n">
        <v>83</v>
      </c>
      <c r="N1072" s="38" t="s">
        <v>66</v>
      </c>
      <c r="O1072" s="38" t="n">
        <f aca="false">YEAR(B1072)</f>
        <v>2025</v>
      </c>
      <c r="P1072" s="41" t="n">
        <f aca="false">DATE(YEAR(B1072),MONTH(B1072),1)</f>
        <v>45870</v>
      </c>
      <c r="Q1072" s="0" t="str">
        <f aca="false">INDEX(Products!$C$2:$C$16,MATCH(E1072,Products!$A$2:$A$16,0))</f>
        <v>Office Supplies</v>
      </c>
      <c r="R1072" s="0" t="str">
        <f aca="false">INDEX(Customers!$F$2:$F$101,MATCH(D1072,Customers!$A$2:$A$101,0))</f>
        <v>South</v>
      </c>
      <c r="S1072" s="0" t="str">
        <f aca="false">INDEX(Customers!$C$2:$C$101,MATCH(D1072,Customers!$A$2:$A$101,0))</f>
        <v>Consumer</v>
      </c>
      <c r="T1072" s="0" t="str">
        <f aca="false">INDEX(Customers!$D$2:$D$101,MATCH(D1072,Customers!$A$2:$A$101,0))</f>
        <v>Chennai</v>
      </c>
    </row>
    <row r="1073" customFormat="false" ht="15" hidden="false" customHeight="false" outlineLevel="0" collapsed="false">
      <c r="A1073" s="0" t="s">
        <v>1344</v>
      </c>
      <c r="B1073" s="37" t="n">
        <v>45311</v>
      </c>
      <c r="C1073" s="37" t="n">
        <v>45312</v>
      </c>
      <c r="D1073" s="38" t="s">
        <v>190</v>
      </c>
      <c r="E1073" s="38" t="s">
        <v>127</v>
      </c>
      <c r="F1073" s="38" t="s">
        <v>100</v>
      </c>
      <c r="G1073" s="38" t="s">
        <v>178</v>
      </c>
      <c r="H1073" s="0" t="n">
        <v>3</v>
      </c>
      <c r="I1073" s="39" t="n">
        <v>18000</v>
      </c>
      <c r="J1073" s="40" t="n">
        <v>0.15</v>
      </c>
      <c r="K1073" s="39" t="n">
        <v>45900</v>
      </c>
      <c r="L1073" s="39" t="n">
        <v>42000</v>
      </c>
      <c r="M1073" s="39" t="n">
        <v>3900</v>
      </c>
      <c r="N1073" s="38" t="s">
        <v>66</v>
      </c>
      <c r="O1073" s="38" t="n">
        <f aca="false">YEAR(B1073)</f>
        <v>2024</v>
      </c>
      <c r="P1073" s="41" t="n">
        <f aca="false">DATE(YEAR(B1073),MONTH(B1073),1)</f>
        <v>45292</v>
      </c>
      <c r="Q1073" s="0" t="str">
        <f aca="false">INDEX(Products!$C$2:$C$16,MATCH(E1073,Products!$A$2:$A$16,0))</f>
        <v>Technology</v>
      </c>
      <c r="R1073" s="0" t="str">
        <f aca="false">INDEX(Customers!$F$2:$F$101,MATCH(D1073,Customers!$A$2:$A$101,0))</f>
        <v>East</v>
      </c>
      <c r="S1073" s="0" t="str">
        <f aca="false">INDEX(Customers!$C$2:$C$101,MATCH(D1073,Customers!$A$2:$A$101,0))</f>
        <v>Corporate</v>
      </c>
      <c r="T1073" s="0" t="str">
        <f aca="false">INDEX(Customers!$D$2:$D$101,MATCH(D1073,Customers!$A$2:$A$101,0))</f>
        <v>Kolkata</v>
      </c>
    </row>
    <row r="1074" customFormat="false" ht="15" hidden="false" customHeight="false" outlineLevel="0" collapsed="false">
      <c r="A1074" s="0" t="s">
        <v>1345</v>
      </c>
      <c r="B1074" s="37" t="n">
        <v>46141</v>
      </c>
      <c r="C1074" s="37" t="n">
        <v>46147</v>
      </c>
      <c r="D1074" s="38" t="s">
        <v>280</v>
      </c>
      <c r="E1074" s="38" t="s">
        <v>116</v>
      </c>
      <c r="F1074" s="38" t="s">
        <v>101</v>
      </c>
      <c r="G1074" s="38" t="s">
        <v>178</v>
      </c>
      <c r="H1074" s="0" t="n">
        <v>5</v>
      </c>
      <c r="I1074" s="39" t="n">
        <v>12000</v>
      </c>
      <c r="J1074" s="40" t="n">
        <v>0.15</v>
      </c>
      <c r="K1074" s="39" t="n">
        <v>51000</v>
      </c>
      <c r="L1074" s="39" t="n">
        <v>45000</v>
      </c>
      <c r="M1074" s="39" t="n">
        <v>6000</v>
      </c>
      <c r="N1074" s="38" t="s">
        <v>66</v>
      </c>
      <c r="O1074" s="38" t="n">
        <f aca="false">YEAR(B1074)</f>
        <v>2026</v>
      </c>
      <c r="P1074" s="41" t="n">
        <f aca="false">DATE(YEAR(B1074),MONTH(B1074),1)</f>
        <v>46113</v>
      </c>
      <c r="Q1074" s="0" t="str">
        <f aca="false">INDEX(Products!$C$2:$C$16,MATCH(E1074,Products!$A$2:$A$16,0))</f>
        <v>Technology</v>
      </c>
      <c r="R1074" s="0" t="str">
        <f aca="false">INDEX(Customers!$F$2:$F$101,MATCH(D1074,Customers!$A$2:$A$101,0))</f>
        <v>North</v>
      </c>
      <c r="S1074" s="0" t="str">
        <f aca="false">INDEX(Customers!$C$2:$C$101,MATCH(D1074,Customers!$A$2:$A$101,0))</f>
        <v>Corporate</v>
      </c>
      <c r="T1074" s="0" t="str">
        <f aca="false">INDEX(Customers!$D$2:$D$101,MATCH(D1074,Customers!$A$2:$A$101,0))</f>
        <v>Jaipur</v>
      </c>
    </row>
    <row r="1075" customFormat="false" ht="15" hidden="false" customHeight="false" outlineLevel="0" collapsed="false">
      <c r="A1075" s="0" t="s">
        <v>1346</v>
      </c>
      <c r="B1075" s="37" t="n">
        <v>45703</v>
      </c>
      <c r="C1075" s="37" t="n">
        <v>45708</v>
      </c>
      <c r="D1075" s="38" t="s">
        <v>350</v>
      </c>
      <c r="E1075" s="38" t="s">
        <v>118</v>
      </c>
      <c r="F1075" s="38" t="s">
        <v>100</v>
      </c>
      <c r="G1075" s="38" t="s">
        <v>170</v>
      </c>
      <c r="H1075" s="0" t="n">
        <v>1</v>
      </c>
      <c r="I1075" s="39" t="n">
        <v>9000</v>
      </c>
      <c r="J1075" s="40" t="n">
        <v>0.25</v>
      </c>
      <c r="K1075" s="39" t="n">
        <v>6750</v>
      </c>
      <c r="L1075" s="39" t="n">
        <v>6500</v>
      </c>
      <c r="M1075" s="39" t="n">
        <v>250</v>
      </c>
      <c r="N1075" s="38" t="s">
        <v>66</v>
      </c>
      <c r="O1075" s="38" t="n">
        <f aca="false">YEAR(B1075)</f>
        <v>2025</v>
      </c>
      <c r="P1075" s="41" t="n">
        <f aca="false">DATE(YEAR(B1075),MONTH(B1075),1)</f>
        <v>45689</v>
      </c>
      <c r="Q1075" s="0" t="str">
        <f aca="false">INDEX(Products!$C$2:$C$16,MATCH(E1075,Products!$A$2:$A$16,0))</f>
        <v>Furniture</v>
      </c>
      <c r="R1075" s="0" t="str">
        <f aca="false">INDEX(Customers!$F$2:$F$101,MATCH(D1075,Customers!$A$2:$A$101,0))</f>
        <v>South</v>
      </c>
      <c r="S1075" s="0" t="str">
        <f aca="false">INDEX(Customers!$C$2:$C$101,MATCH(D1075,Customers!$A$2:$A$101,0))</f>
        <v>Consumer</v>
      </c>
      <c r="T1075" s="0" t="str">
        <f aca="false">INDEX(Customers!$D$2:$D$101,MATCH(D1075,Customers!$A$2:$A$101,0))</f>
        <v>Chennai</v>
      </c>
    </row>
    <row r="1076" customFormat="false" ht="15" hidden="false" customHeight="false" outlineLevel="0" collapsed="false">
      <c r="A1076" s="0" t="s">
        <v>1347</v>
      </c>
      <c r="B1076" s="37" t="n">
        <v>46172</v>
      </c>
      <c r="C1076" s="37" t="n">
        <v>46177</v>
      </c>
      <c r="D1076" s="38" t="s">
        <v>364</v>
      </c>
      <c r="E1076" s="38" t="s">
        <v>113</v>
      </c>
      <c r="F1076" s="38" t="s">
        <v>100</v>
      </c>
      <c r="G1076" s="38" t="s">
        <v>178</v>
      </c>
      <c r="H1076" s="0" t="n">
        <v>2</v>
      </c>
      <c r="I1076" s="39" t="n">
        <v>45000</v>
      </c>
      <c r="J1076" s="40" t="n">
        <v>0.05</v>
      </c>
      <c r="K1076" s="39" t="n">
        <v>85500</v>
      </c>
      <c r="L1076" s="39" t="n">
        <v>72000</v>
      </c>
      <c r="M1076" s="39" t="n">
        <v>13500</v>
      </c>
      <c r="N1076" s="38" t="s">
        <v>147</v>
      </c>
      <c r="O1076" s="38" t="n">
        <f aca="false">YEAR(B1076)</f>
        <v>2026</v>
      </c>
      <c r="P1076" s="41" t="n">
        <f aca="false">DATE(YEAR(B1076),MONTH(B1076),1)</f>
        <v>46143</v>
      </c>
      <c r="Q1076" s="0" t="str">
        <f aca="false">INDEX(Products!$C$2:$C$16,MATCH(E1076,Products!$A$2:$A$16,0))</f>
        <v>Technology</v>
      </c>
      <c r="R1076" s="0" t="str">
        <f aca="false">INDEX(Customers!$F$2:$F$101,MATCH(D1076,Customers!$A$2:$A$101,0))</f>
        <v>North</v>
      </c>
      <c r="S1076" s="0" t="str">
        <f aca="false">INDEX(Customers!$C$2:$C$101,MATCH(D1076,Customers!$A$2:$A$101,0))</f>
        <v>Corporate</v>
      </c>
      <c r="T1076" s="0" t="str">
        <f aca="false">INDEX(Customers!$D$2:$D$101,MATCH(D1076,Customers!$A$2:$A$101,0))</f>
        <v>Jaipur</v>
      </c>
    </row>
    <row r="1077" customFormat="false" ht="15" hidden="false" customHeight="false" outlineLevel="0" collapsed="false">
      <c r="A1077" s="0" t="s">
        <v>1348</v>
      </c>
      <c r="B1077" s="37" t="n">
        <v>45584</v>
      </c>
      <c r="C1077" s="37" t="n">
        <v>45586</v>
      </c>
      <c r="D1077" s="38" t="s">
        <v>204</v>
      </c>
      <c r="E1077" s="38" t="s">
        <v>115</v>
      </c>
      <c r="F1077" s="38" t="s">
        <v>100</v>
      </c>
      <c r="G1077" s="38" t="s">
        <v>173</v>
      </c>
      <c r="H1077" s="0" t="n">
        <v>1</v>
      </c>
      <c r="I1077" s="39" t="n">
        <v>1500</v>
      </c>
      <c r="J1077" s="40" t="n">
        <v>0.25</v>
      </c>
      <c r="K1077" s="39" t="n">
        <v>1125</v>
      </c>
      <c r="L1077" s="39" t="n">
        <v>850</v>
      </c>
      <c r="M1077" s="39" t="n">
        <v>275</v>
      </c>
      <c r="N1077" s="38" t="s">
        <v>66</v>
      </c>
      <c r="O1077" s="38" t="n">
        <f aca="false">YEAR(B1077)</f>
        <v>2024</v>
      </c>
      <c r="P1077" s="41" t="n">
        <f aca="false">DATE(YEAR(B1077),MONTH(B1077),1)</f>
        <v>45566</v>
      </c>
      <c r="Q1077" s="0" t="str">
        <f aca="false">INDEX(Products!$C$2:$C$16,MATCH(E1077,Products!$A$2:$A$16,0))</f>
        <v>Technology</v>
      </c>
      <c r="R1077" s="0" t="str">
        <f aca="false">INDEX(Customers!$F$2:$F$101,MATCH(D1077,Customers!$A$2:$A$101,0))</f>
        <v>South</v>
      </c>
      <c r="S1077" s="0" t="str">
        <f aca="false">INDEX(Customers!$C$2:$C$101,MATCH(D1077,Customers!$A$2:$A$101,0))</f>
        <v>Small Business</v>
      </c>
      <c r="T1077" s="0" t="str">
        <f aca="false">INDEX(Customers!$D$2:$D$101,MATCH(D1077,Customers!$A$2:$A$101,0))</f>
        <v>Bengaluru</v>
      </c>
    </row>
    <row r="1078" customFormat="false" ht="15" hidden="false" customHeight="false" outlineLevel="0" collapsed="false">
      <c r="A1078" s="0" t="s">
        <v>1349</v>
      </c>
      <c r="B1078" s="37" t="n">
        <v>45465</v>
      </c>
      <c r="C1078" s="37" t="n">
        <v>45466</v>
      </c>
      <c r="D1078" s="38" t="s">
        <v>198</v>
      </c>
      <c r="E1078" s="38" t="s">
        <v>123</v>
      </c>
      <c r="F1078" s="38" t="s">
        <v>100</v>
      </c>
      <c r="G1078" s="38" t="s">
        <v>178</v>
      </c>
      <c r="H1078" s="0" t="n">
        <v>3</v>
      </c>
      <c r="I1078" s="39" t="n">
        <v>2200</v>
      </c>
      <c r="J1078" s="40" t="n">
        <v>0.05</v>
      </c>
      <c r="K1078" s="39" t="n">
        <v>6270</v>
      </c>
      <c r="L1078" s="39" t="n">
        <v>3900</v>
      </c>
      <c r="M1078" s="39" t="n">
        <v>2370</v>
      </c>
      <c r="N1078" s="38" t="s">
        <v>66</v>
      </c>
      <c r="O1078" s="38" t="n">
        <f aca="false">YEAR(B1078)</f>
        <v>2024</v>
      </c>
      <c r="P1078" s="41" t="n">
        <f aca="false">DATE(YEAR(B1078),MONTH(B1078),1)</f>
        <v>45444</v>
      </c>
      <c r="Q1078" s="0" t="str">
        <f aca="false">INDEX(Products!$C$2:$C$16,MATCH(E1078,Products!$A$2:$A$16,0))</f>
        <v>Technology</v>
      </c>
      <c r="R1078" s="0" t="str">
        <f aca="false">INDEX(Customers!$F$2:$F$101,MATCH(D1078,Customers!$A$2:$A$101,0))</f>
        <v>North</v>
      </c>
      <c r="S1078" s="0" t="str">
        <f aca="false">INDEX(Customers!$C$2:$C$101,MATCH(D1078,Customers!$A$2:$A$101,0))</f>
        <v>Consumer</v>
      </c>
      <c r="T1078" s="0" t="str">
        <f aca="false">INDEX(Customers!$D$2:$D$101,MATCH(D1078,Customers!$A$2:$A$101,0))</f>
        <v>Gurugram</v>
      </c>
    </row>
    <row r="1079" customFormat="false" ht="15" hidden="false" customHeight="false" outlineLevel="0" collapsed="false">
      <c r="A1079" s="0" t="s">
        <v>1350</v>
      </c>
      <c r="B1079" s="37" t="n">
        <v>45393</v>
      </c>
      <c r="C1079" s="37" t="n">
        <v>45396</v>
      </c>
      <c r="D1079" s="38" t="s">
        <v>253</v>
      </c>
      <c r="E1079" s="38" t="s">
        <v>119</v>
      </c>
      <c r="F1079" s="38" t="s">
        <v>101</v>
      </c>
      <c r="G1079" s="38" t="s">
        <v>185</v>
      </c>
      <c r="H1079" s="0" t="n">
        <v>1</v>
      </c>
      <c r="I1079" s="39" t="n">
        <v>250</v>
      </c>
      <c r="J1079" s="40" t="n">
        <v>0.05</v>
      </c>
      <c r="K1079" s="39" t="n">
        <v>237.5</v>
      </c>
      <c r="L1079" s="39" t="n">
        <v>120</v>
      </c>
      <c r="M1079" s="39" t="n">
        <v>117.5</v>
      </c>
      <c r="N1079" s="38" t="s">
        <v>146</v>
      </c>
      <c r="O1079" s="38" t="n">
        <f aca="false">YEAR(B1079)</f>
        <v>2024</v>
      </c>
      <c r="P1079" s="41" t="n">
        <f aca="false">DATE(YEAR(B1079),MONTH(B1079),1)</f>
        <v>45383</v>
      </c>
      <c r="Q1079" s="0" t="str">
        <f aca="false">INDEX(Products!$C$2:$C$16,MATCH(E1079,Products!$A$2:$A$16,0))</f>
        <v>Office Supplies</v>
      </c>
      <c r="R1079" s="0" t="str">
        <f aca="false">INDEX(Customers!$F$2:$F$101,MATCH(D1079,Customers!$A$2:$A$101,0))</f>
        <v>East</v>
      </c>
      <c r="S1079" s="0" t="str">
        <f aca="false">INDEX(Customers!$C$2:$C$101,MATCH(D1079,Customers!$A$2:$A$101,0))</f>
        <v>Small Business</v>
      </c>
      <c r="T1079" s="0" t="str">
        <f aca="false">INDEX(Customers!$D$2:$D$101,MATCH(D1079,Customers!$A$2:$A$101,0))</f>
        <v>Bhubaneswar</v>
      </c>
    </row>
    <row r="1080" customFormat="false" ht="15" hidden="false" customHeight="false" outlineLevel="0" collapsed="false">
      <c r="A1080" s="0" t="s">
        <v>1351</v>
      </c>
      <c r="B1080" s="37" t="n">
        <v>45499</v>
      </c>
      <c r="C1080" s="37" t="n">
        <v>45501</v>
      </c>
      <c r="D1080" s="38" t="s">
        <v>373</v>
      </c>
      <c r="E1080" s="38" t="s">
        <v>113</v>
      </c>
      <c r="F1080" s="38" t="s">
        <v>100</v>
      </c>
      <c r="G1080" s="38" t="s">
        <v>185</v>
      </c>
      <c r="H1080" s="0" t="n">
        <v>4</v>
      </c>
      <c r="I1080" s="39" t="n">
        <v>45000</v>
      </c>
      <c r="J1080" s="40" t="n">
        <v>0.15</v>
      </c>
      <c r="K1080" s="39" t="n">
        <v>153000</v>
      </c>
      <c r="L1080" s="39" t="n">
        <v>144000</v>
      </c>
      <c r="M1080" s="39" t="n">
        <v>9000</v>
      </c>
      <c r="N1080" s="38" t="s">
        <v>66</v>
      </c>
      <c r="O1080" s="38" t="n">
        <f aca="false">YEAR(B1080)</f>
        <v>2024</v>
      </c>
      <c r="P1080" s="41" t="n">
        <f aca="false">DATE(YEAR(B1080),MONTH(B1080),1)</f>
        <v>45474</v>
      </c>
      <c r="Q1080" s="0" t="str">
        <f aca="false">INDEX(Products!$C$2:$C$16,MATCH(E1080,Products!$A$2:$A$16,0))</f>
        <v>Technology</v>
      </c>
      <c r="R1080" s="0" t="str">
        <f aca="false">INDEX(Customers!$F$2:$F$101,MATCH(D1080,Customers!$A$2:$A$101,0))</f>
        <v>West</v>
      </c>
      <c r="S1080" s="0" t="str">
        <f aca="false">INDEX(Customers!$C$2:$C$101,MATCH(D1080,Customers!$A$2:$A$101,0))</f>
        <v>Small Business</v>
      </c>
      <c r="T1080" s="0" t="str">
        <f aca="false">INDEX(Customers!$D$2:$D$101,MATCH(D1080,Customers!$A$2:$A$101,0))</f>
        <v>Pune</v>
      </c>
    </row>
    <row r="1081" customFormat="false" ht="15" hidden="false" customHeight="false" outlineLevel="0" collapsed="false">
      <c r="A1081" s="0" t="s">
        <v>1352</v>
      </c>
      <c r="B1081" s="37" t="n">
        <v>46264</v>
      </c>
      <c r="C1081" s="37" t="n">
        <v>46265</v>
      </c>
      <c r="D1081" s="38" t="s">
        <v>190</v>
      </c>
      <c r="E1081" s="38" t="s">
        <v>119</v>
      </c>
      <c r="F1081" s="38" t="s">
        <v>101</v>
      </c>
      <c r="G1081" s="38" t="s">
        <v>188</v>
      </c>
      <c r="H1081" s="0" t="n">
        <v>1</v>
      </c>
      <c r="I1081" s="39" t="n">
        <v>250</v>
      </c>
      <c r="J1081" s="40" t="n">
        <v>0.05</v>
      </c>
      <c r="K1081" s="39" t="n">
        <v>237.5</v>
      </c>
      <c r="L1081" s="39" t="n">
        <v>120</v>
      </c>
      <c r="M1081" s="39" t="n">
        <v>117.5</v>
      </c>
      <c r="N1081" s="38" t="s">
        <v>66</v>
      </c>
      <c r="O1081" s="38" t="n">
        <f aca="false">YEAR(B1081)</f>
        <v>2026</v>
      </c>
      <c r="P1081" s="41" t="n">
        <f aca="false">DATE(YEAR(B1081),MONTH(B1081),1)</f>
        <v>46235</v>
      </c>
      <c r="Q1081" s="0" t="str">
        <f aca="false">INDEX(Products!$C$2:$C$16,MATCH(E1081,Products!$A$2:$A$16,0))</f>
        <v>Office Supplies</v>
      </c>
      <c r="R1081" s="0" t="str">
        <f aca="false">INDEX(Customers!$F$2:$F$101,MATCH(D1081,Customers!$A$2:$A$101,0))</f>
        <v>East</v>
      </c>
      <c r="S1081" s="0" t="str">
        <f aca="false">INDEX(Customers!$C$2:$C$101,MATCH(D1081,Customers!$A$2:$A$101,0))</f>
        <v>Corporate</v>
      </c>
      <c r="T1081" s="0" t="str">
        <f aca="false">INDEX(Customers!$D$2:$D$101,MATCH(D1081,Customers!$A$2:$A$101,0))</f>
        <v>Kolkata</v>
      </c>
    </row>
    <row r="1082" customFormat="false" ht="15" hidden="false" customHeight="false" outlineLevel="0" collapsed="false">
      <c r="A1082" s="0" t="s">
        <v>1353</v>
      </c>
      <c r="B1082" s="37" t="n">
        <v>45709</v>
      </c>
      <c r="C1082" s="37" t="n">
        <v>45715</v>
      </c>
      <c r="D1082" s="38" t="s">
        <v>249</v>
      </c>
      <c r="E1082" s="38" t="s">
        <v>113</v>
      </c>
      <c r="F1082" s="38" t="s">
        <v>101</v>
      </c>
      <c r="G1082" s="38" t="s">
        <v>188</v>
      </c>
      <c r="H1082" s="0" t="n">
        <v>1</v>
      </c>
      <c r="I1082" s="39" t="n">
        <v>45000</v>
      </c>
      <c r="J1082" s="40" t="n">
        <v>0</v>
      </c>
      <c r="K1082" s="39" t="n">
        <v>45000</v>
      </c>
      <c r="L1082" s="39" t="n">
        <v>36000</v>
      </c>
      <c r="M1082" s="39" t="n">
        <v>9000</v>
      </c>
      <c r="N1082" s="38" t="s">
        <v>146</v>
      </c>
      <c r="O1082" s="38" t="n">
        <f aca="false">YEAR(B1082)</f>
        <v>2025</v>
      </c>
      <c r="P1082" s="41" t="n">
        <f aca="false">DATE(YEAR(B1082),MONTH(B1082),1)</f>
        <v>45689</v>
      </c>
      <c r="Q1082" s="0" t="str">
        <f aca="false">INDEX(Products!$C$2:$C$16,MATCH(E1082,Products!$A$2:$A$16,0))</f>
        <v>Technology</v>
      </c>
      <c r="R1082" s="0" t="str">
        <f aca="false">INDEX(Customers!$F$2:$F$101,MATCH(D1082,Customers!$A$2:$A$101,0))</f>
        <v>East</v>
      </c>
      <c r="S1082" s="0" t="str">
        <f aca="false">INDEX(Customers!$C$2:$C$101,MATCH(D1082,Customers!$A$2:$A$101,0))</f>
        <v>Consumer</v>
      </c>
      <c r="T1082" s="0" t="str">
        <f aca="false">INDEX(Customers!$D$2:$D$101,MATCH(D1082,Customers!$A$2:$A$101,0))</f>
        <v>Kolkata</v>
      </c>
    </row>
    <row r="1083" customFormat="false" ht="15" hidden="false" customHeight="false" outlineLevel="0" collapsed="false">
      <c r="A1083" s="0" t="s">
        <v>1354</v>
      </c>
      <c r="B1083" s="37" t="n">
        <v>45544</v>
      </c>
      <c r="C1083" s="37" t="n">
        <v>45551</v>
      </c>
      <c r="D1083" s="38" t="s">
        <v>268</v>
      </c>
      <c r="E1083" s="38" t="s">
        <v>114</v>
      </c>
      <c r="F1083" s="38" t="s">
        <v>100</v>
      </c>
      <c r="G1083" s="38" t="s">
        <v>170</v>
      </c>
      <c r="H1083" s="0" t="n">
        <v>3</v>
      </c>
      <c r="I1083" s="39" t="n">
        <v>800</v>
      </c>
      <c r="J1083" s="40" t="n">
        <v>0.25</v>
      </c>
      <c r="K1083" s="39" t="n">
        <v>1800</v>
      </c>
      <c r="L1083" s="39" t="n">
        <v>1260</v>
      </c>
      <c r="M1083" s="39" t="n">
        <v>540</v>
      </c>
      <c r="N1083" s="38" t="s">
        <v>66</v>
      </c>
      <c r="O1083" s="38" t="n">
        <f aca="false">YEAR(B1083)</f>
        <v>2024</v>
      </c>
      <c r="P1083" s="41" t="n">
        <f aca="false">DATE(YEAR(B1083),MONTH(B1083),1)</f>
        <v>45536</v>
      </c>
      <c r="Q1083" s="0" t="str">
        <f aca="false">INDEX(Products!$C$2:$C$16,MATCH(E1083,Products!$A$2:$A$16,0))</f>
        <v>Technology</v>
      </c>
      <c r="R1083" s="0" t="str">
        <f aca="false">INDEX(Customers!$F$2:$F$101,MATCH(D1083,Customers!$A$2:$A$101,0))</f>
        <v>South</v>
      </c>
      <c r="S1083" s="0" t="str">
        <f aca="false">INDEX(Customers!$C$2:$C$101,MATCH(D1083,Customers!$A$2:$A$101,0))</f>
        <v>Consumer</v>
      </c>
      <c r="T1083" s="0" t="str">
        <f aca="false">INDEX(Customers!$D$2:$D$101,MATCH(D1083,Customers!$A$2:$A$101,0))</f>
        <v>Bengaluru</v>
      </c>
    </row>
    <row r="1084" customFormat="false" ht="15" hidden="false" customHeight="false" outlineLevel="0" collapsed="false">
      <c r="A1084" s="0" t="s">
        <v>1355</v>
      </c>
      <c r="B1084" s="37" t="n">
        <v>46158</v>
      </c>
      <c r="C1084" s="37" t="n">
        <v>46164</v>
      </c>
      <c r="D1084" s="38" t="s">
        <v>260</v>
      </c>
      <c r="E1084" s="38" t="s">
        <v>114</v>
      </c>
      <c r="F1084" s="38" t="s">
        <v>100</v>
      </c>
      <c r="G1084" s="38" t="s">
        <v>170</v>
      </c>
      <c r="H1084" s="0" t="n">
        <v>2</v>
      </c>
      <c r="I1084" s="39" t="n">
        <v>800</v>
      </c>
      <c r="J1084" s="40" t="n">
        <v>0.25</v>
      </c>
      <c r="K1084" s="39" t="n">
        <v>1200</v>
      </c>
      <c r="L1084" s="39" t="n">
        <v>840</v>
      </c>
      <c r="M1084" s="39" t="n">
        <v>360</v>
      </c>
      <c r="N1084" s="38" t="s">
        <v>66</v>
      </c>
      <c r="O1084" s="38" t="n">
        <f aca="false">YEAR(B1084)</f>
        <v>2026</v>
      </c>
      <c r="P1084" s="41" t="n">
        <f aca="false">DATE(YEAR(B1084),MONTH(B1084),1)</f>
        <v>46143</v>
      </c>
      <c r="Q1084" s="0" t="str">
        <f aca="false">INDEX(Products!$C$2:$C$16,MATCH(E1084,Products!$A$2:$A$16,0))</f>
        <v>Technology</v>
      </c>
      <c r="R1084" s="0" t="str">
        <f aca="false">INDEX(Customers!$F$2:$F$101,MATCH(D1084,Customers!$A$2:$A$101,0))</f>
        <v>West</v>
      </c>
      <c r="S1084" s="0" t="str">
        <f aca="false">INDEX(Customers!$C$2:$C$101,MATCH(D1084,Customers!$A$2:$A$101,0))</f>
        <v>Small Business</v>
      </c>
      <c r="T1084" s="0" t="str">
        <f aca="false">INDEX(Customers!$D$2:$D$101,MATCH(D1084,Customers!$A$2:$A$101,0))</f>
        <v>Mumbai</v>
      </c>
    </row>
    <row r="1085" customFormat="false" ht="15" hidden="false" customHeight="false" outlineLevel="0" collapsed="false">
      <c r="A1085" s="0" t="s">
        <v>1356</v>
      </c>
      <c r="B1085" s="37" t="n">
        <v>45543</v>
      </c>
      <c r="C1085" s="37" t="n">
        <v>45548</v>
      </c>
      <c r="D1085" s="38" t="s">
        <v>219</v>
      </c>
      <c r="E1085" s="38" t="s">
        <v>125</v>
      </c>
      <c r="F1085" s="38" t="s">
        <v>101</v>
      </c>
      <c r="G1085" s="38" t="s">
        <v>178</v>
      </c>
      <c r="H1085" s="0" t="n">
        <v>8</v>
      </c>
      <c r="I1085" s="39" t="n">
        <v>600</v>
      </c>
      <c r="J1085" s="40" t="n">
        <v>0.15</v>
      </c>
      <c r="K1085" s="39" t="n">
        <v>4080</v>
      </c>
      <c r="L1085" s="39" t="n">
        <v>2800</v>
      </c>
      <c r="M1085" s="39" t="n">
        <v>1280</v>
      </c>
      <c r="N1085" s="38" t="s">
        <v>66</v>
      </c>
      <c r="O1085" s="38" t="n">
        <f aca="false">YEAR(B1085)</f>
        <v>2024</v>
      </c>
      <c r="P1085" s="41" t="n">
        <f aca="false">DATE(YEAR(B1085),MONTH(B1085),1)</f>
        <v>45536</v>
      </c>
      <c r="Q1085" s="0" t="str">
        <f aca="false">INDEX(Products!$C$2:$C$16,MATCH(E1085,Products!$A$2:$A$16,0))</f>
        <v>Office Supplies</v>
      </c>
      <c r="R1085" s="0" t="str">
        <f aca="false">INDEX(Customers!$F$2:$F$101,MATCH(D1085,Customers!$A$2:$A$101,0))</f>
        <v>North</v>
      </c>
      <c r="S1085" s="0" t="str">
        <f aca="false">INDEX(Customers!$C$2:$C$101,MATCH(D1085,Customers!$A$2:$A$101,0))</f>
        <v>Small Business</v>
      </c>
      <c r="T1085" s="0" t="str">
        <f aca="false">INDEX(Customers!$D$2:$D$101,MATCH(D1085,Customers!$A$2:$A$101,0))</f>
        <v>Lucknow</v>
      </c>
    </row>
    <row r="1086" customFormat="false" ht="15" hidden="false" customHeight="false" outlineLevel="0" collapsed="false">
      <c r="A1086" s="0" t="s">
        <v>1357</v>
      </c>
      <c r="B1086" s="37" t="n">
        <v>45927</v>
      </c>
      <c r="C1086" s="37" t="n">
        <v>45930</v>
      </c>
      <c r="D1086" s="38" t="s">
        <v>187</v>
      </c>
      <c r="E1086" s="38" t="s">
        <v>126</v>
      </c>
      <c r="F1086" s="38" t="s">
        <v>100</v>
      </c>
      <c r="G1086" s="38" t="s">
        <v>178</v>
      </c>
      <c r="H1086" s="0" t="n">
        <v>3</v>
      </c>
      <c r="I1086" s="39" t="n">
        <v>1200</v>
      </c>
      <c r="J1086" s="40" t="n">
        <v>0</v>
      </c>
      <c r="K1086" s="39" t="n">
        <v>3600</v>
      </c>
      <c r="L1086" s="39" t="n">
        <v>2100</v>
      </c>
      <c r="M1086" s="39" t="n">
        <v>1500</v>
      </c>
      <c r="N1086" s="38" t="s">
        <v>146</v>
      </c>
      <c r="O1086" s="38" t="n">
        <f aca="false">YEAR(B1086)</f>
        <v>2025</v>
      </c>
      <c r="P1086" s="41" t="n">
        <f aca="false">DATE(YEAR(B1086),MONTH(B1086),1)</f>
        <v>45901</v>
      </c>
      <c r="Q1086" s="0" t="str">
        <f aca="false">INDEX(Products!$C$2:$C$16,MATCH(E1086,Products!$A$2:$A$16,0))</f>
        <v>Furniture</v>
      </c>
      <c r="R1086" s="0" t="str">
        <f aca="false">INDEX(Customers!$F$2:$F$101,MATCH(D1086,Customers!$A$2:$A$101,0))</f>
        <v>South</v>
      </c>
      <c r="S1086" s="0" t="str">
        <f aca="false">INDEX(Customers!$C$2:$C$101,MATCH(D1086,Customers!$A$2:$A$101,0))</f>
        <v>Consumer</v>
      </c>
      <c r="T1086" s="0" t="str">
        <f aca="false">INDEX(Customers!$D$2:$D$101,MATCH(D1086,Customers!$A$2:$A$101,0))</f>
        <v>Bengaluru</v>
      </c>
    </row>
    <row r="1087" customFormat="false" ht="15" hidden="false" customHeight="false" outlineLevel="0" collapsed="false">
      <c r="A1087" s="0" t="s">
        <v>1358</v>
      </c>
      <c r="B1087" s="37" t="n">
        <v>45904</v>
      </c>
      <c r="C1087" s="37" t="n">
        <v>45907</v>
      </c>
      <c r="D1087" s="38" t="s">
        <v>249</v>
      </c>
      <c r="E1087" s="38" t="s">
        <v>117</v>
      </c>
      <c r="F1087" s="38" t="s">
        <v>101</v>
      </c>
      <c r="G1087" s="38" t="s">
        <v>173</v>
      </c>
      <c r="H1087" s="0" t="n">
        <v>5</v>
      </c>
      <c r="I1087" s="39" t="n">
        <v>6500</v>
      </c>
      <c r="J1087" s="40" t="n">
        <v>0.1</v>
      </c>
      <c r="K1087" s="39" t="n">
        <v>29250</v>
      </c>
      <c r="L1087" s="39" t="n">
        <v>21000</v>
      </c>
      <c r="M1087" s="39" t="n">
        <v>8250</v>
      </c>
      <c r="N1087" s="38" t="s">
        <v>66</v>
      </c>
      <c r="O1087" s="38" t="n">
        <f aca="false">YEAR(B1087)</f>
        <v>2025</v>
      </c>
      <c r="P1087" s="41" t="n">
        <f aca="false">DATE(YEAR(B1087),MONTH(B1087),1)</f>
        <v>45901</v>
      </c>
      <c r="Q1087" s="0" t="str">
        <f aca="false">INDEX(Products!$C$2:$C$16,MATCH(E1087,Products!$A$2:$A$16,0))</f>
        <v>Furniture</v>
      </c>
      <c r="R1087" s="0" t="str">
        <f aca="false">INDEX(Customers!$F$2:$F$101,MATCH(D1087,Customers!$A$2:$A$101,0))</f>
        <v>East</v>
      </c>
      <c r="S1087" s="0" t="str">
        <f aca="false">INDEX(Customers!$C$2:$C$101,MATCH(D1087,Customers!$A$2:$A$101,0))</f>
        <v>Consumer</v>
      </c>
      <c r="T1087" s="0" t="str">
        <f aca="false">INDEX(Customers!$D$2:$D$101,MATCH(D1087,Customers!$A$2:$A$101,0))</f>
        <v>Kolkata</v>
      </c>
    </row>
    <row r="1088" customFormat="false" ht="15" hidden="false" customHeight="false" outlineLevel="0" collapsed="false">
      <c r="A1088" s="0" t="s">
        <v>1359</v>
      </c>
      <c r="B1088" s="37" t="n">
        <v>45338</v>
      </c>
      <c r="C1088" s="37" t="n">
        <v>45340</v>
      </c>
      <c r="D1088" s="38" t="s">
        <v>447</v>
      </c>
      <c r="E1088" s="38" t="s">
        <v>117</v>
      </c>
      <c r="F1088" s="38" t="s">
        <v>100</v>
      </c>
      <c r="G1088" s="38" t="s">
        <v>170</v>
      </c>
      <c r="H1088" s="0" t="n">
        <v>4</v>
      </c>
      <c r="I1088" s="39" t="n">
        <v>6500</v>
      </c>
      <c r="J1088" s="40" t="n">
        <v>0.15</v>
      </c>
      <c r="K1088" s="39" t="n">
        <v>22100</v>
      </c>
      <c r="L1088" s="39" t="n">
        <v>16800</v>
      </c>
      <c r="M1088" s="39" t="n">
        <v>5300</v>
      </c>
      <c r="N1088" s="38" t="s">
        <v>66</v>
      </c>
      <c r="O1088" s="38" t="n">
        <f aca="false">YEAR(B1088)</f>
        <v>2024</v>
      </c>
      <c r="P1088" s="41" t="n">
        <f aca="false">DATE(YEAR(B1088),MONTH(B1088),1)</f>
        <v>45323</v>
      </c>
      <c r="Q1088" s="0" t="str">
        <f aca="false">INDEX(Products!$C$2:$C$16,MATCH(E1088,Products!$A$2:$A$16,0))</f>
        <v>Furniture</v>
      </c>
      <c r="R1088" s="0" t="str">
        <f aca="false">INDEX(Customers!$F$2:$F$101,MATCH(D1088,Customers!$A$2:$A$101,0))</f>
        <v>North</v>
      </c>
      <c r="S1088" s="0" t="str">
        <f aca="false">INDEX(Customers!$C$2:$C$101,MATCH(D1088,Customers!$A$2:$A$101,0))</f>
        <v>Corporate</v>
      </c>
      <c r="T1088" s="0" t="str">
        <f aca="false">INDEX(Customers!$D$2:$D$101,MATCH(D1088,Customers!$A$2:$A$101,0))</f>
        <v>Jaipur</v>
      </c>
    </row>
    <row r="1089" customFormat="false" ht="15" hidden="false" customHeight="false" outlineLevel="0" collapsed="false">
      <c r="A1089" s="0" t="s">
        <v>1360</v>
      </c>
      <c r="B1089" s="37" t="n">
        <v>46142</v>
      </c>
      <c r="C1089" s="37" t="n">
        <v>46144</v>
      </c>
      <c r="D1089" s="38" t="s">
        <v>184</v>
      </c>
      <c r="E1089" s="38" t="s">
        <v>114</v>
      </c>
      <c r="F1089" s="38" t="s">
        <v>101</v>
      </c>
      <c r="G1089" s="38" t="s">
        <v>173</v>
      </c>
      <c r="H1089" s="0" t="n">
        <v>4</v>
      </c>
      <c r="I1089" s="39" t="n">
        <v>800</v>
      </c>
      <c r="J1089" s="40" t="n">
        <v>0.05</v>
      </c>
      <c r="K1089" s="39" t="n">
        <v>3040</v>
      </c>
      <c r="L1089" s="39" t="n">
        <v>1680</v>
      </c>
      <c r="M1089" s="39" t="n">
        <v>1360</v>
      </c>
      <c r="N1089" s="38" t="s">
        <v>66</v>
      </c>
      <c r="O1089" s="38" t="n">
        <f aca="false">YEAR(B1089)</f>
        <v>2026</v>
      </c>
      <c r="P1089" s="41" t="n">
        <f aca="false">DATE(YEAR(B1089),MONTH(B1089),1)</f>
        <v>46113</v>
      </c>
      <c r="Q1089" s="0" t="str">
        <f aca="false">INDEX(Products!$C$2:$C$16,MATCH(E1089,Products!$A$2:$A$16,0))</f>
        <v>Technology</v>
      </c>
      <c r="R1089" s="0" t="str">
        <f aca="false">INDEX(Customers!$F$2:$F$101,MATCH(D1089,Customers!$A$2:$A$101,0))</f>
        <v>West</v>
      </c>
      <c r="S1089" s="0" t="str">
        <f aca="false">INDEX(Customers!$C$2:$C$101,MATCH(D1089,Customers!$A$2:$A$101,0))</f>
        <v>Consumer</v>
      </c>
      <c r="T1089" s="0" t="str">
        <f aca="false">INDEX(Customers!$D$2:$D$101,MATCH(D1089,Customers!$A$2:$A$101,0))</f>
        <v>Ahmedabad</v>
      </c>
    </row>
    <row r="1090" customFormat="false" ht="15" hidden="false" customHeight="false" outlineLevel="0" collapsed="false">
      <c r="A1090" s="0" t="s">
        <v>1361</v>
      </c>
      <c r="B1090" s="37" t="n">
        <v>45990</v>
      </c>
      <c r="C1090" s="37" t="n">
        <v>45993</v>
      </c>
      <c r="D1090" s="38" t="s">
        <v>298</v>
      </c>
      <c r="E1090" s="38" t="s">
        <v>127</v>
      </c>
      <c r="F1090" s="38" t="s">
        <v>102</v>
      </c>
      <c r="G1090" s="38" t="s">
        <v>185</v>
      </c>
      <c r="H1090" s="0" t="n">
        <v>3</v>
      </c>
      <c r="I1090" s="39" t="n">
        <v>18000</v>
      </c>
      <c r="J1090" s="40" t="n">
        <v>0.25</v>
      </c>
      <c r="K1090" s="39" t="n">
        <v>40500</v>
      </c>
      <c r="L1090" s="39" t="n">
        <v>42000</v>
      </c>
      <c r="M1090" s="39" t="n">
        <v>-1500</v>
      </c>
      <c r="N1090" s="38" t="s">
        <v>66</v>
      </c>
      <c r="O1090" s="38" t="n">
        <f aca="false">YEAR(B1090)</f>
        <v>2025</v>
      </c>
      <c r="P1090" s="41" t="n">
        <f aca="false">DATE(YEAR(B1090),MONTH(B1090),1)</f>
        <v>45962</v>
      </c>
      <c r="Q1090" s="0" t="str">
        <f aca="false">INDEX(Products!$C$2:$C$16,MATCH(E1090,Products!$A$2:$A$16,0))</f>
        <v>Technology</v>
      </c>
      <c r="R1090" s="0" t="str">
        <f aca="false">INDEX(Customers!$F$2:$F$101,MATCH(D1090,Customers!$A$2:$A$101,0))</f>
        <v>North</v>
      </c>
      <c r="S1090" s="0" t="str">
        <f aca="false">INDEX(Customers!$C$2:$C$101,MATCH(D1090,Customers!$A$2:$A$101,0))</f>
        <v>Consumer</v>
      </c>
      <c r="T1090" s="0" t="str">
        <f aca="false">INDEX(Customers!$D$2:$D$101,MATCH(D1090,Customers!$A$2:$A$101,0))</f>
        <v>Lucknow</v>
      </c>
    </row>
    <row r="1091" customFormat="false" ht="15" hidden="false" customHeight="false" outlineLevel="0" collapsed="false">
      <c r="A1091" s="0" t="s">
        <v>1362</v>
      </c>
      <c r="B1091" s="37" t="n">
        <v>45641</v>
      </c>
      <c r="C1091" s="37" t="n">
        <v>45643</v>
      </c>
      <c r="D1091" s="38" t="s">
        <v>522</v>
      </c>
      <c r="E1091" s="38" t="s">
        <v>118</v>
      </c>
      <c r="F1091" s="38" t="s">
        <v>101</v>
      </c>
      <c r="G1091" s="38" t="s">
        <v>178</v>
      </c>
      <c r="H1091" s="0" t="n">
        <v>2</v>
      </c>
      <c r="I1091" s="39" t="n">
        <v>9000</v>
      </c>
      <c r="J1091" s="40" t="n">
        <v>0.15</v>
      </c>
      <c r="K1091" s="39" t="n">
        <v>15300</v>
      </c>
      <c r="L1091" s="39" t="n">
        <v>13000</v>
      </c>
      <c r="M1091" s="39" t="n">
        <v>2300</v>
      </c>
      <c r="N1091" s="38" t="s">
        <v>146</v>
      </c>
      <c r="O1091" s="38" t="n">
        <f aca="false">YEAR(B1091)</f>
        <v>2024</v>
      </c>
      <c r="P1091" s="41" t="n">
        <f aca="false">DATE(YEAR(B1091),MONTH(B1091),1)</f>
        <v>45627</v>
      </c>
      <c r="Q1091" s="0" t="str">
        <f aca="false">INDEX(Products!$C$2:$C$16,MATCH(E1091,Products!$A$2:$A$16,0))</f>
        <v>Furniture</v>
      </c>
      <c r="R1091" s="0" t="str">
        <f aca="false">INDEX(Customers!$F$2:$F$101,MATCH(D1091,Customers!$A$2:$A$101,0))</f>
        <v>West</v>
      </c>
      <c r="S1091" s="0" t="str">
        <f aca="false">INDEX(Customers!$C$2:$C$101,MATCH(D1091,Customers!$A$2:$A$101,0))</f>
        <v>Consumer</v>
      </c>
      <c r="T1091" s="0" t="str">
        <f aca="false">INDEX(Customers!$D$2:$D$101,MATCH(D1091,Customers!$A$2:$A$101,0))</f>
        <v>Ahmedabad</v>
      </c>
    </row>
    <row r="1092" customFormat="false" ht="15" hidden="false" customHeight="false" outlineLevel="0" collapsed="false">
      <c r="A1092" s="0" t="s">
        <v>1363</v>
      </c>
      <c r="B1092" s="37" t="n">
        <v>46236</v>
      </c>
      <c r="C1092" s="37" t="n">
        <v>46237</v>
      </c>
      <c r="D1092" s="38" t="s">
        <v>210</v>
      </c>
      <c r="E1092" s="38" t="s">
        <v>123</v>
      </c>
      <c r="F1092" s="38" t="s">
        <v>100</v>
      </c>
      <c r="G1092" s="38" t="s">
        <v>173</v>
      </c>
      <c r="H1092" s="0" t="n">
        <v>3</v>
      </c>
      <c r="I1092" s="39" t="n">
        <v>2200</v>
      </c>
      <c r="J1092" s="40" t="n">
        <v>0</v>
      </c>
      <c r="K1092" s="39" t="n">
        <v>6600</v>
      </c>
      <c r="L1092" s="39" t="n">
        <v>3900</v>
      </c>
      <c r="M1092" s="39" t="n">
        <v>2700</v>
      </c>
      <c r="N1092" s="38" t="s">
        <v>66</v>
      </c>
      <c r="O1092" s="38" t="n">
        <f aca="false">YEAR(B1092)</f>
        <v>2026</v>
      </c>
      <c r="P1092" s="41" t="n">
        <f aca="false">DATE(YEAR(B1092),MONTH(B1092),1)</f>
        <v>46235</v>
      </c>
      <c r="Q1092" s="0" t="str">
        <f aca="false">INDEX(Products!$C$2:$C$16,MATCH(E1092,Products!$A$2:$A$16,0))</f>
        <v>Technology</v>
      </c>
      <c r="R1092" s="0" t="str">
        <f aca="false">INDEX(Customers!$F$2:$F$101,MATCH(D1092,Customers!$A$2:$A$101,0))</f>
        <v>North</v>
      </c>
      <c r="S1092" s="0" t="str">
        <f aca="false">INDEX(Customers!$C$2:$C$101,MATCH(D1092,Customers!$A$2:$A$101,0))</f>
        <v>Corporate</v>
      </c>
      <c r="T1092" s="0" t="str">
        <f aca="false">INDEX(Customers!$D$2:$D$101,MATCH(D1092,Customers!$A$2:$A$101,0))</f>
        <v>Jaipur</v>
      </c>
    </row>
    <row r="1093" customFormat="false" ht="15" hidden="false" customHeight="false" outlineLevel="0" collapsed="false">
      <c r="A1093" s="0" t="s">
        <v>1364</v>
      </c>
      <c r="B1093" s="37" t="n">
        <v>45792</v>
      </c>
      <c r="C1093" s="37" t="n">
        <v>45799</v>
      </c>
      <c r="D1093" s="38" t="s">
        <v>184</v>
      </c>
      <c r="E1093" s="38" t="s">
        <v>124</v>
      </c>
      <c r="F1093" s="38" t="s">
        <v>102</v>
      </c>
      <c r="G1093" s="38" t="s">
        <v>178</v>
      </c>
      <c r="H1093" s="0" t="n">
        <v>2</v>
      </c>
      <c r="I1093" s="39" t="n">
        <v>3000</v>
      </c>
      <c r="J1093" s="40" t="n">
        <v>0</v>
      </c>
      <c r="K1093" s="39" t="n">
        <v>6000</v>
      </c>
      <c r="L1093" s="39" t="n">
        <v>3800</v>
      </c>
      <c r="M1093" s="39" t="n">
        <v>2200</v>
      </c>
      <c r="N1093" s="38" t="s">
        <v>66</v>
      </c>
      <c r="O1093" s="38" t="n">
        <f aca="false">YEAR(B1093)</f>
        <v>2025</v>
      </c>
      <c r="P1093" s="41" t="n">
        <f aca="false">DATE(YEAR(B1093),MONTH(B1093),1)</f>
        <v>45778</v>
      </c>
      <c r="Q1093" s="0" t="str">
        <f aca="false">INDEX(Products!$C$2:$C$16,MATCH(E1093,Products!$A$2:$A$16,0))</f>
        <v>Technology</v>
      </c>
      <c r="R1093" s="0" t="str">
        <f aca="false">INDEX(Customers!$F$2:$F$101,MATCH(D1093,Customers!$A$2:$A$101,0))</f>
        <v>West</v>
      </c>
      <c r="S1093" s="0" t="str">
        <f aca="false">INDEX(Customers!$C$2:$C$101,MATCH(D1093,Customers!$A$2:$A$101,0))</f>
        <v>Consumer</v>
      </c>
      <c r="T1093" s="0" t="str">
        <f aca="false">INDEX(Customers!$D$2:$D$101,MATCH(D1093,Customers!$A$2:$A$101,0))</f>
        <v>Ahmedabad</v>
      </c>
    </row>
    <row r="1094" customFormat="false" ht="15" hidden="false" customHeight="false" outlineLevel="0" collapsed="false">
      <c r="A1094" s="0" t="s">
        <v>1365</v>
      </c>
      <c r="B1094" s="37" t="n">
        <v>45980</v>
      </c>
      <c r="C1094" s="37" t="n">
        <v>45981</v>
      </c>
      <c r="D1094" s="38" t="s">
        <v>232</v>
      </c>
      <c r="E1094" s="38" t="s">
        <v>120</v>
      </c>
      <c r="F1094" s="38" t="s">
        <v>101</v>
      </c>
      <c r="G1094" s="38" t="s">
        <v>188</v>
      </c>
      <c r="H1094" s="0" t="n">
        <v>2</v>
      </c>
      <c r="I1094" s="39" t="n">
        <v>400</v>
      </c>
      <c r="J1094" s="40" t="n">
        <v>0.25</v>
      </c>
      <c r="K1094" s="39" t="n">
        <v>600</v>
      </c>
      <c r="L1094" s="39" t="n">
        <v>520</v>
      </c>
      <c r="M1094" s="39" t="n">
        <v>80</v>
      </c>
      <c r="N1094" s="38" t="s">
        <v>66</v>
      </c>
      <c r="O1094" s="38" t="n">
        <f aca="false">YEAR(B1094)</f>
        <v>2025</v>
      </c>
      <c r="P1094" s="41" t="n">
        <f aca="false">DATE(YEAR(B1094),MONTH(B1094),1)</f>
        <v>45962</v>
      </c>
      <c r="Q1094" s="0" t="str">
        <f aca="false">INDEX(Products!$C$2:$C$16,MATCH(E1094,Products!$A$2:$A$16,0))</f>
        <v>Office Supplies</v>
      </c>
      <c r="R1094" s="0" t="str">
        <f aca="false">INDEX(Customers!$F$2:$F$101,MATCH(D1094,Customers!$A$2:$A$101,0))</f>
        <v>West</v>
      </c>
      <c r="S1094" s="0" t="str">
        <f aca="false">INDEX(Customers!$C$2:$C$101,MATCH(D1094,Customers!$A$2:$A$101,0))</f>
        <v>Consumer</v>
      </c>
      <c r="T1094" s="0" t="str">
        <f aca="false">INDEX(Customers!$D$2:$D$101,MATCH(D1094,Customers!$A$2:$A$101,0))</f>
        <v>Ahmedabad</v>
      </c>
    </row>
    <row r="1095" customFormat="false" ht="15" hidden="false" customHeight="false" outlineLevel="0" collapsed="false">
      <c r="A1095" s="0" t="s">
        <v>1366</v>
      </c>
      <c r="B1095" s="37" t="n">
        <v>46078</v>
      </c>
      <c r="C1095" s="37" t="n">
        <v>46085</v>
      </c>
      <c r="D1095" s="38" t="s">
        <v>246</v>
      </c>
      <c r="E1095" s="38" t="s">
        <v>126</v>
      </c>
      <c r="F1095" s="38" t="s">
        <v>100</v>
      </c>
      <c r="G1095" s="38" t="s">
        <v>185</v>
      </c>
      <c r="H1095" s="0" t="n">
        <v>3</v>
      </c>
      <c r="I1095" s="39" t="n">
        <v>1200</v>
      </c>
      <c r="J1095" s="40" t="n">
        <v>0</v>
      </c>
      <c r="K1095" s="39" t="n">
        <v>3600</v>
      </c>
      <c r="L1095" s="39" t="n">
        <v>2100</v>
      </c>
      <c r="M1095" s="39" t="n">
        <v>1500</v>
      </c>
      <c r="N1095" s="38" t="s">
        <v>66</v>
      </c>
      <c r="O1095" s="38" t="n">
        <f aca="false">YEAR(B1095)</f>
        <v>2026</v>
      </c>
      <c r="P1095" s="41" t="n">
        <f aca="false">DATE(YEAR(B1095),MONTH(B1095),1)</f>
        <v>46054</v>
      </c>
      <c r="Q1095" s="0" t="str">
        <f aca="false">INDEX(Products!$C$2:$C$16,MATCH(E1095,Products!$A$2:$A$16,0))</f>
        <v>Furniture</v>
      </c>
      <c r="R1095" s="0" t="str">
        <f aca="false">INDEX(Customers!$F$2:$F$101,MATCH(D1095,Customers!$A$2:$A$101,0))</f>
        <v>North</v>
      </c>
      <c r="S1095" s="0" t="str">
        <f aca="false">INDEX(Customers!$C$2:$C$101,MATCH(D1095,Customers!$A$2:$A$101,0))</f>
        <v>Consumer</v>
      </c>
      <c r="T1095" s="0" t="str">
        <f aca="false">INDEX(Customers!$D$2:$D$101,MATCH(D1095,Customers!$A$2:$A$101,0))</f>
        <v>Jaipur</v>
      </c>
    </row>
    <row r="1096" customFormat="false" ht="15" hidden="false" customHeight="false" outlineLevel="0" collapsed="false">
      <c r="A1096" s="0" t="s">
        <v>1367</v>
      </c>
      <c r="B1096" s="37" t="n">
        <v>45301</v>
      </c>
      <c r="C1096" s="37" t="n">
        <v>45303</v>
      </c>
      <c r="D1096" s="38" t="s">
        <v>236</v>
      </c>
      <c r="E1096" s="38" t="s">
        <v>120</v>
      </c>
      <c r="F1096" s="38" t="s">
        <v>101</v>
      </c>
      <c r="G1096" s="38" t="s">
        <v>170</v>
      </c>
      <c r="H1096" s="0" t="n">
        <v>4</v>
      </c>
      <c r="I1096" s="39" t="n">
        <v>400</v>
      </c>
      <c r="J1096" s="40" t="n">
        <v>0.25</v>
      </c>
      <c r="K1096" s="39" t="n">
        <v>1200</v>
      </c>
      <c r="L1096" s="39" t="n">
        <v>1040</v>
      </c>
      <c r="M1096" s="39" t="n">
        <v>160</v>
      </c>
      <c r="N1096" s="38" t="s">
        <v>66</v>
      </c>
      <c r="O1096" s="38" t="n">
        <f aca="false">YEAR(B1096)</f>
        <v>2024</v>
      </c>
      <c r="P1096" s="41" t="n">
        <f aca="false">DATE(YEAR(B1096),MONTH(B1096),1)</f>
        <v>45292</v>
      </c>
      <c r="Q1096" s="0" t="str">
        <f aca="false">INDEX(Products!$C$2:$C$16,MATCH(E1096,Products!$A$2:$A$16,0))</f>
        <v>Office Supplies</v>
      </c>
      <c r="R1096" s="0" t="str">
        <f aca="false">INDEX(Customers!$F$2:$F$101,MATCH(D1096,Customers!$A$2:$A$101,0))</f>
        <v>West</v>
      </c>
      <c r="S1096" s="0" t="str">
        <f aca="false">INDEX(Customers!$C$2:$C$101,MATCH(D1096,Customers!$A$2:$A$101,0))</f>
        <v>Small Business</v>
      </c>
      <c r="T1096" s="0" t="str">
        <f aca="false">INDEX(Customers!$D$2:$D$101,MATCH(D1096,Customers!$A$2:$A$101,0))</f>
        <v>Pune</v>
      </c>
    </row>
    <row r="1097" customFormat="false" ht="15" hidden="false" customHeight="false" outlineLevel="0" collapsed="false">
      <c r="A1097" s="0" t="s">
        <v>1368</v>
      </c>
      <c r="B1097" s="37" t="n">
        <v>45602</v>
      </c>
      <c r="C1097" s="37" t="n">
        <v>45609</v>
      </c>
      <c r="D1097" s="38" t="s">
        <v>621</v>
      </c>
      <c r="E1097" s="38" t="s">
        <v>123</v>
      </c>
      <c r="F1097" s="38" t="s">
        <v>101</v>
      </c>
      <c r="G1097" s="38" t="s">
        <v>170</v>
      </c>
      <c r="H1097" s="0" t="n">
        <v>4</v>
      </c>
      <c r="I1097" s="39" t="n">
        <v>2200</v>
      </c>
      <c r="J1097" s="40" t="n">
        <v>0</v>
      </c>
      <c r="K1097" s="39" t="n">
        <v>8800</v>
      </c>
      <c r="L1097" s="39" t="n">
        <v>5200</v>
      </c>
      <c r="M1097" s="39" t="n">
        <v>3600</v>
      </c>
      <c r="N1097" s="38" t="s">
        <v>66</v>
      </c>
      <c r="O1097" s="38" t="n">
        <f aca="false">YEAR(B1097)</f>
        <v>2024</v>
      </c>
      <c r="P1097" s="41" t="n">
        <f aca="false">DATE(YEAR(B1097),MONTH(B1097),1)</f>
        <v>45597</v>
      </c>
      <c r="Q1097" s="0" t="str">
        <f aca="false">INDEX(Products!$C$2:$C$16,MATCH(E1097,Products!$A$2:$A$16,0))</f>
        <v>Technology</v>
      </c>
      <c r="R1097" s="0" t="str">
        <f aca="false">INDEX(Customers!$F$2:$F$101,MATCH(D1097,Customers!$A$2:$A$101,0))</f>
        <v>East</v>
      </c>
      <c r="S1097" s="0" t="str">
        <f aca="false">INDEX(Customers!$C$2:$C$101,MATCH(D1097,Customers!$A$2:$A$101,0))</f>
        <v>Corporate</v>
      </c>
      <c r="T1097" s="0" t="str">
        <f aca="false">INDEX(Customers!$D$2:$D$101,MATCH(D1097,Customers!$A$2:$A$101,0))</f>
        <v>Bhubaneswar</v>
      </c>
    </row>
    <row r="1098" customFormat="false" ht="15" hidden="false" customHeight="false" outlineLevel="0" collapsed="false">
      <c r="A1098" s="0" t="s">
        <v>1369</v>
      </c>
      <c r="B1098" s="37" t="n">
        <v>46012</v>
      </c>
      <c r="C1098" s="37" t="n">
        <v>46018</v>
      </c>
      <c r="D1098" s="38" t="s">
        <v>467</v>
      </c>
      <c r="E1098" s="38" t="s">
        <v>127</v>
      </c>
      <c r="F1098" s="38" t="s">
        <v>100</v>
      </c>
      <c r="G1098" s="38" t="s">
        <v>185</v>
      </c>
      <c r="H1098" s="0" t="n">
        <v>3</v>
      </c>
      <c r="I1098" s="39" t="n">
        <v>18000</v>
      </c>
      <c r="J1098" s="40" t="n">
        <v>0</v>
      </c>
      <c r="K1098" s="39" t="n">
        <v>54000</v>
      </c>
      <c r="L1098" s="39" t="n">
        <v>42000</v>
      </c>
      <c r="M1098" s="39" t="n">
        <v>12000</v>
      </c>
      <c r="N1098" s="38" t="s">
        <v>66</v>
      </c>
      <c r="O1098" s="38" t="n">
        <f aca="false">YEAR(B1098)</f>
        <v>2025</v>
      </c>
      <c r="P1098" s="41" t="n">
        <f aca="false">DATE(YEAR(B1098),MONTH(B1098),1)</f>
        <v>45992</v>
      </c>
      <c r="Q1098" s="0" t="str">
        <f aca="false">INDEX(Products!$C$2:$C$16,MATCH(E1098,Products!$A$2:$A$16,0))</f>
        <v>Technology</v>
      </c>
      <c r="R1098" s="0" t="str">
        <f aca="false">INDEX(Customers!$F$2:$F$101,MATCH(D1098,Customers!$A$2:$A$101,0))</f>
        <v>West</v>
      </c>
      <c r="S1098" s="0" t="str">
        <f aca="false">INDEX(Customers!$C$2:$C$101,MATCH(D1098,Customers!$A$2:$A$101,0))</f>
        <v>Corporate</v>
      </c>
      <c r="T1098" s="0" t="str">
        <f aca="false">INDEX(Customers!$D$2:$D$101,MATCH(D1098,Customers!$A$2:$A$101,0))</f>
        <v>Ahmedabad</v>
      </c>
    </row>
    <row r="1099" customFormat="false" ht="15" hidden="false" customHeight="false" outlineLevel="0" collapsed="false">
      <c r="A1099" s="0" t="s">
        <v>1370</v>
      </c>
      <c r="B1099" s="37" t="n">
        <v>45804</v>
      </c>
      <c r="C1099" s="37" t="n">
        <v>45808</v>
      </c>
      <c r="D1099" s="38" t="s">
        <v>194</v>
      </c>
      <c r="E1099" s="38" t="s">
        <v>122</v>
      </c>
      <c r="F1099" s="38" t="s">
        <v>102</v>
      </c>
      <c r="G1099" s="38" t="s">
        <v>188</v>
      </c>
      <c r="H1099" s="0" t="n">
        <v>1</v>
      </c>
      <c r="I1099" s="39" t="n">
        <v>5500</v>
      </c>
      <c r="J1099" s="40" t="n">
        <v>0</v>
      </c>
      <c r="K1099" s="39" t="n">
        <v>5500</v>
      </c>
      <c r="L1099" s="39" t="n">
        <v>3700</v>
      </c>
      <c r="M1099" s="39" t="n">
        <v>1800</v>
      </c>
      <c r="N1099" s="38" t="s">
        <v>66</v>
      </c>
      <c r="O1099" s="38" t="n">
        <f aca="false">YEAR(B1099)</f>
        <v>2025</v>
      </c>
      <c r="P1099" s="41" t="n">
        <f aca="false">DATE(YEAR(B1099),MONTH(B1099),1)</f>
        <v>45778</v>
      </c>
      <c r="Q1099" s="0" t="str">
        <f aca="false">INDEX(Products!$C$2:$C$16,MATCH(E1099,Products!$A$2:$A$16,0))</f>
        <v>Furniture</v>
      </c>
      <c r="R1099" s="0" t="str">
        <f aca="false">INDEX(Customers!$F$2:$F$101,MATCH(D1099,Customers!$A$2:$A$101,0))</f>
        <v>North</v>
      </c>
      <c r="S1099" s="0" t="str">
        <f aca="false">INDEX(Customers!$C$2:$C$101,MATCH(D1099,Customers!$A$2:$A$101,0))</f>
        <v>Small Business</v>
      </c>
      <c r="T1099" s="0" t="str">
        <f aca="false">INDEX(Customers!$D$2:$D$101,MATCH(D1099,Customers!$A$2:$A$101,0))</f>
        <v>Gurugram</v>
      </c>
    </row>
    <row r="1100" customFormat="false" ht="15" hidden="false" customHeight="false" outlineLevel="0" collapsed="false">
      <c r="A1100" s="0" t="s">
        <v>1371</v>
      </c>
      <c r="B1100" s="37" t="n">
        <v>45471</v>
      </c>
      <c r="C1100" s="37" t="n">
        <v>45472</v>
      </c>
      <c r="D1100" s="38" t="s">
        <v>350</v>
      </c>
      <c r="E1100" s="38" t="s">
        <v>122</v>
      </c>
      <c r="F1100" s="38" t="s">
        <v>100</v>
      </c>
      <c r="G1100" s="38" t="s">
        <v>173</v>
      </c>
      <c r="H1100" s="0" t="n">
        <v>3</v>
      </c>
      <c r="I1100" s="39" t="n">
        <v>5500</v>
      </c>
      <c r="J1100" s="40" t="n">
        <v>0.2</v>
      </c>
      <c r="K1100" s="39" t="n">
        <v>13200</v>
      </c>
      <c r="L1100" s="39" t="n">
        <v>11100</v>
      </c>
      <c r="M1100" s="39" t="n">
        <v>2100</v>
      </c>
      <c r="N1100" s="38" t="s">
        <v>66</v>
      </c>
      <c r="O1100" s="38" t="n">
        <f aca="false">YEAR(B1100)</f>
        <v>2024</v>
      </c>
      <c r="P1100" s="41" t="n">
        <f aca="false">DATE(YEAR(B1100),MONTH(B1100),1)</f>
        <v>45444</v>
      </c>
      <c r="Q1100" s="0" t="str">
        <f aca="false">INDEX(Products!$C$2:$C$16,MATCH(E1100,Products!$A$2:$A$16,0))</f>
        <v>Furniture</v>
      </c>
      <c r="R1100" s="0" t="str">
        <f aca="false">INDEX(Customers!$F$2:$F$101,MATCH(D1100,Customers!$A$2:$A$101,0))</f>
        <v>South</v>
      </c>
      <c r="S1100" s="0" t="str">
        <f aca="false">INDEX(Customers!$C$2:$C$101,MATCH(D1100,Customers!$A$2:$A$101,0))</f>
        <v>Consumer</v>
      </c>
      <c r="T1100" s="0" t="str">
        <f aca="false">INDEX(Customers!$D$2:$D$101,MATCH(D1100,Customers!$A$2:$A$101,0))</f>
        <v>Chennai</v>
      </c>
    </row>
    <row r="1101" customFormat="false" ht="15" hidden="false" customHeight="false" outlineLevel="0" collapsed="false">
      <c r="A1101" s="0" t="s">
        <v>1372</v>
      </c>
      <c r="B1101" s="37" t="n">
        <v>45525</v>
      </c>
      <c r="C1101" s="37" t="n">
        <v>45530</v>
      </c>
      <c r="D1101" s="38" t="s">
        <v>224</v>
      </c>
      <c r="E1101" s="38" t="s">
        <v>126</v>
      </c>
      <c r="F1101" s="38" t="s">
        <v>100</v>
      </c>
      <c r="G1101" s="38" t="s">
        <v>178</v>
      </c>
      <c r="H1101" s="0" t="n">
        <v>4</v>
      </c>
      <c r="I1101" s="39" t="n">
        <v>1200</v>
      </c>
      <c r="J1101" s="40" t="n">
        <v>0.05</v>
      </c>
      <c r="K1101" s="39" t="n">
        <v>4560</v>
      </c>
      <c r="L1101" s="39" t="n">
        <v>2800</v>
      </c>
      <c r="M1101" s="39" t="n">
        <v>1760</v>
      </c>
      <c r="N1101" s="38" t="s">
        <v>147</v>
      </c>
      <c r="O1101" s="38" t="n">
        <f aca="false">YEAR(B1101)</f>
        <v>2024</v>
      </c>
      <c r="P1101" s="41" t="n">
        <f aca="false">DATE(YEAR(B1101),MONTH(B1101),1)</f>
        <v>45505</v>
      </c>
      <c r="Q1101" s="0" t="str">
        <f aca="false">INDEX(Products!$C$2:$C$16,MATCH(E1101,Products!$A$2:$A$16,0))</f>
        <v>Furniture</v>
      </c>
      <c r="R1101" s="0" t="str">
        <f aca="false">INDEX(Customers!$F$2:$F$101,MATCH(D1101,Customers!$A$2:$A$101,0))</f>
        <v>North</v>
      </c>
      <c r="S1101" s="0" t="str">
        <f aca="false">INDEX(Customers!$C$2:$C$101,MATCH(D1101,Customers!$A$2:$A$101,0))</f>
        <v>Small Business</v>
      </c>
      <c r="T1101" s="0" t="str">
        <f aca="false">INDEX(Customers!$D$2:$D$101,MATCH(D1101,Customers!$A$2:$A$101,0))</f>
        <v>Jaipur</v>
      </c>
    </row>
    <row r="1102" customFormat="false" ht="15" hidden="false" customHeight="false" outlineLevel="0" collapsed="false">
      <c r="A1102" s="0" t="s">
        <v>1373</v>
      </c>
      <c r="B1102" s="37" t="n">
        <v>45837</v>
      </c>
      <c r="C1102" s="37" t="n">
        <v>45842</v>
      </c>
      <c r="D1102" s="38" t="s">
        <v>182</v>
      </c>
      <c r="E1102" s="38" t="s">
        <v>123</v>
      </c>
      <c r="F1102" s="38" t="s">
        <v>101</v>
      </c>
      <c r="G1102" s="38" t="s">
        <v>178</v>
      </c>
      <c r="H1102" s="0" t="n">
        <v>1</v>
      </c>
      <c r="I1102" s="39" t="n">
        <v>2200</v>
      </c>
      <c r="J1102" s="40" t="n">
        <v>0.15</v>
      </c>
      <c r="K1102" s="39" t="n">
        <v>1870</v>
      </c>
      <c r="L1102" s="39" t="n">
        <v>1300</v>
      </c>
      <c r="M1102" s="39" t="n">
        <v>570</v>
      </c>
      <c r="N1102" s="38" t="s">
        <v>146</v>
      </c>
      <c r="O1102" s="38" t="n">
        <f aca="false">YEAR(B1102)</f>
        <v>2025</v>
      </c>
      <c r="P1102" s="41" t="n">
        <f aca="false">DATE(YEAR(B1102),MONTH(B1102),1)</f>
        <v>45809</v>
      </c>
      <c r="Q1102" s="0" t="str">
        <f aca="false">INDEX(Products!$C$2:$C$16,MATCH(E1102,Products!$A$2:$A$16,0))</f>
        <v>Technology</v>
      </c>
      <c r="R1102" s="0" t="str">
        <f aca="false">INDEX(Customers!$F$2:$F$101,MATCH(D1102,Customers!$A$2:$A$101,0))</f>
        <v>North</v>
      </c>
      <c r="S1102" s="0" t="str">
        <f aca="false">INDEX(Customers!$C$2:$C$101,MATCH(D1102,Customers!$A$2:$A$101,0))</f>
        <v>Small Business</v>
      </c>
      <c r="T1102" s="0" t="str">
        <f aca="false">INDEX(Customers!$D$2:$D$101,MATCH(D1102,Customers!$A$2:$A$101,0))</f>
        <v>Gurugram</v>
      </c>
    </row>
    <row r="1103" customFormat="false" ht="15" hidden="false" customHeight="false" outlineLevel="0" collapsed="false">
      <c r="A1103" s="0" t="s">
        <v>1374</v>
      </c>
      <c r="B1103" s="37" t="n">
        <v>46257</v>
      </c>
      <c r="C1103" s="37" t="n">
        <v>46263</v>
      </c>
      <c r="D1103" s="38" t="s">
        <v>345</v>
      </c>
      <c r="E1103" s="38" t="s">
        <v>123</v>
      </c>
      <c r="F1103" s="38" t="s">
        <v>101</v>
      </c>
      <c r="G1103" s="38" t="s">
        <v>185</v>
      </c>
      <c r="H1103" s="0" t="n">
        <v>1</v>
      </c>
      <c r="I1103" s="39" t="n">
        <v>2200</v>
      </c>
      <c r="J1103" s="40" t="n">
        <v>0.05</v>
      </c>
      <c r="K1103" s="39" t="n">
        <v>2090</v>
      </c>
      <c r="L1103" s="39" t="n">
        <v>1300</v>
      </c>
      <c r="M1103" s="39" t="n">
        <v>790</v>
      </c>
      <c r="N1103" s="38" t="s">
        <v>66</v>
      </c>
      <c r="O1103" s="38" t="n">
        <f aca="false">YEAR(B1103)</f>
        <v>2026</v>
      </c>
      <c r="P1103" s="41" t="n">
        <f aca="false">DATE(YEAR(B1103),MONTH(B1103),1)</f>
        <v>46235</v>
      </c>
      <c r="Q1103" s="0" t="str">
        <f aca="false">INDEX(Products!$C$2:$C$16,MATCH(E1103,Products!$A$2:$A$16,0))</f>
        <v>Technology</v>
      </c>
      <c r="R1103" s="0" t="str">
        <f aca="false">INDEX(Customers!$F$2:$F$101,MATCH(D1103,Customers!$A$2:$A$101,0))</f>
        <v>West</v>
      </c>
      <c r="S1103" s="0" t="str">
        <f aca="false">INDEX(Customers!$C$2:$C$101,MATCH(D1103,Customers!$A$2:$A$101,0))</f>
        <v>Consumer</v>
      </c>
      <c r="T1103" s="0" t="str">
        <f aca="false">INDEX(Customers!$D$2:$D$101,MATCH(D1103,Customers!$A$2:$A$101,0))</f>
        <v>Ahmedabad</v>
      </c>
    </row>
    <row r="1104" customFormat="false" ht="15" hidden="false" customHeight="false" outlineLevel="0" collapsed="false">
      <c r="A1104" s="0" t="s">
        <v>1375</v>
      </c>
      <c r="B1104" s="37" t="n">
        <v>45769</v>
      </c>
      <c r="C1104" s="37" t="n">
        <v>45773</v>
      </c>
      <c r="D1104" s="38" t="s">
        <v>312</v>
      </c>
      <c r="E1104" s="38" t="s">
        <v>121</v>
      </c>
      <c r="F1104" s="38" t="s">
        <v>100</v>
      </c>
      <c r="G1104" s="38" t="s">
        <v>173</v>
      </c>
      <c r="H1104" s="0" t="n">
        <v>2</v>
      </c>
      <c r="I1104" s="39" t="n">
        <v>180</v>
      </c>
      <c r="J1104" s="40" t="n">
        <v>0.25</v>
      </c>
      <c r="K1104" s="39" t="n">
        <v>270</v>
      </c>
      <c r="L1104" s="39" t="n">
        <v>140</v>
      </c>
      <c r="M1104" s="39" t="n">
        <v>130</v>
      </c>
      <c r="N1104" s="38" t="s">
        <v>66</v>
      </c>
      <c r="O1104" s="38" t="n">
        <f aca="false">YEAR(B1104)</f>
        <v>2025</v>
      </c>
      <c r="P1104" s="41" t="n">
        <f aca="false">DATE(YEAR(B1104),MONTH(B1104),1)</f>
        <v>45748</v>
      </c>
      <c r="Q1104" s="0" t="str">
        <f aca="false">INDEX(Products!$C$2:$C$16,MATCH(E1104,Products!$A$2:$A$16,0))</f>
        <v>Office Supplies</v>
      </c>
      <c r="R1104" s="0" t="str">
        <f aca="false">INDEX(Customers!$F$2:$F$101,MATCH(D1104,Customers!$A$2:$A$101,0))</f>
        <v>North</v>
      </c>
      <c r="S1104" s="0" t="str">
        <f aca="false">INDEX(Customers!$C$2:$C$101,MATCH(D1104,Customers!$A$2:$A$101,0))</f>
        <v>Corporate</v>
      </c>
      <c r="T1104" s="0" t="str">
        <f aca="false">INDEX(Customers!$D$2:$D$101,MATCH(D1104,Customers!$A$2:$A$101,0))</f>
        <v>Delhi</v>
      </c>
    </row>
    <row r="1105" customFormat="false" ht="15" hidden="false" customHeight="false" outlineLevel="0" collapsed="false">
      <c r="A1105" s="0" t="s">
        <v>1376</v>
      </c>
      <c r="B1105" s="37" t="n">
        <v>45751</v>
      </c>
      <c r="C1105" s="37" t="n">
        <v>45754</v>
      </c>
      <c r="D1105" s="38" t="s">
        <v>364</v>
      </c>
      <c r="E1105" s="38" t="s">
        <v>121</v>
      </c>
      <c r="F1105" s="38" t="s">
        <v>101</v>
      </c>
      <c r="G1105" s="38" t="s">
        <v>178</v>
      </c>
      <c r="H1105" s="0" t="n">
        <v>1</v>
      </c>
      <c r="I1105" s="39" t="n">
        <v>180</v>
      </c>
      <c r="J1105" s="40" t="n">
        <v>0</v>
      </c>
      <c r="K1105" s="39" t="n">
        <v>180</v>
      </c>
      <c r="L1105" s="39" t="n">
        <v>70</v>
      </c>
      <c r="M1105" s="39" t="n">
        <v>110</v>
      </c>
      <c r="N1105" s="38" t="s">
        <v>66</v>
      </c>
      <c r="O1105" s="38" t="n">
        <f aca="false">YEAR(B1105)</f>
        <v>2025</v>
      </c>
      <c r="P1105" s="41" t="n">
        <f aca="false">DATE(YEAR(B1105),MONTH(B1105),1)</f>
        <v>45748</v>
      </c>
      <c r="Q1105" s="0" t="str">
        <f aca="false">INDEX(Products!$C$2:$C$16,MATCH(E1105,Products!$A$2:$A$16,0))</f>
        <v>Office Supplies</v>
      </c>
      <c r="R1105" s="0" t="str">
        <f aca="false">INDEX(Customers!$F$2:$F$101,MATCH(D1105,Customers!$A$2:$A$101,0))</f>
        <v>North</v>
      </c>
      <c r="S1105" s="0" t="str">
        <f aca="false">INDEX(Customers!$C$2:$C$101,MATCH(D1105,Customers!$A$2:$A$101,0))</f>
        <v>Corporate</v>
      </c>
      <c r="T1105" s="0" t="str">
        <f aca="false">INDEX(Customers!$D$2:$D$101,MATCH(D1105,Customers!$A$2:$A$101,0))</f>
        <v>Jaipur</v>
      </c>
    </row>
    <row r="1106" customFormat="false" ht="15" hidden="false" customHeight="false" outlineLevel="0" collapsed="false">
      <c r="A1106" s="0" t="s">
        <v>1377</v>
      </c>
      <c r="B1106" s="37" t="n">
        <v>45523</v>
      </c>
      <c r="C1106" s="37" t="n">
        <v>45529</v>
      </c>
      <c r="D1106" s="38" t="s">
        <v>221</v>
      </c>
      <c r="E1106" s="38" t="s">
        <v>124</v>
      </c>
      <c r="F1106" s="38" t="s">
        <v>100</v>
      </c>
      <c r="G1106" s="38" t="s">
        <v>173</v>
      </c>
      <c r="H1106" s="0" t="n">
        <v>2</v>
      </c>
      <c r="I1106" s="39" t="n">
        <v>3000</v>
      </c>
      <c r="J1106" s="40" t="n">
        <v>0</v>
      </c>
      <c r="K1106" s="39" t="n">
        <v>6000</v>
      </c>
      <c r="L1106" s="39" t="n">
        <v>3800</v>
      </c>
      <c r="M1106" s="39" t="n">
        <v>2200</v>
      </c>
      <c r="N1106" s="38" t="s">
        <v>66</v>
      </c>
      <c r="O1106" s="38" t="n">
        <f aca="false">YEAR(B1106)</f>
        <v>2024</v>
      </c>
      <c r="P1106" s="41" t="n">
        <f aca="false">DATE(YEAR(B1106),MONTH(B1106),1)</f>
        <v>45505</v>
      </c>
      <c r="Q1106" s="0" t="str">
        <f aca="false">INDEX(Products!$C$2:$C$16,MATCH(E1106,Products!$A$2:$A$16,0))</f>
        <v>Technology</v>
      </c>
      <c r="R1106" s="0" t="str">
        <f aca="false">INDEX(Customers!$F$2:$F$101,MATCH(D1106,Customers!$A$2:$A$101,0))</f>
        <v>North</v>
      </c>
      <c r="S1106" s="0" t="str">
        <f aca="false">INDEX(Customers!$C$2:$C$101,MATCH(D1106,Customers!$A$2:$A$101,0))</f>
        <v>Consumer</v>
      </c>
      <c r="T1106" s="0" t="str">
        <f aca="false">INDEX(Customers!$D$2:$D$101,MATCH(D1106,Customers!$A$2:$A$101,0))</f>
        <v>Delhi</v>
      </c>
    </row>
    <row r="1107" customFormat="false" ht="15" hidden="false" customHeight="false" outlineLevel="0" collapsed="false">
      <c r="A1107" s="0" t="s">
        <v>1378</v>
      </c>
      <c r="B1107" s="37" t="n">
        <v>45933</v>
      </c>
      <c r="C1107" s="37" t="n">
        <v>45939</v>
      </c>
      <c r="D1107" s="38" t="s">
        <v>257</v>
      </c>
      <c r="E1107" s="38" t="s">
        <v>114</v>
      </c>
      <c r="F1107" s="38" t="s">
        <v>101</v>
      </c>
      <c r="G1107" s="38" t="s">
        <v>178</v>
      </c>
      <c r="H1107" s="0" t="n">
        <v>1</v>
      </c>
      <c r="I1107" s="39" t="n">
        <v>800</v>
      </c>
      <c r="J1107" s="40" t="n">
        <v>0.1</v>
      </c>
      <c r="K1107" s="39" t="n">
        <v>720</v>
      </c>
      <c r="L1107" s="39" t="n">
        <v>420</v>
      </c>
      <c r="M1107" s="39" t="n">
        <v>300</v>
      </c>
      <c r="N1107" s="38" t="s">
        <v>66</v>
      </c>
      <c r="O1107" s="38" t="n">
        <f aca="false">YEAR(B1107)</f>
        <v>2025</v>
      </c>
      <c r="P1107" s="41" t="n">
        <f aca="false">DATE(YEAR(B1107),MONTH(B1107),1)</f>
        <v>45931</v>
      </c>
      <c r="Q1107" s="0" t="str">
        <f aca="false">INDEX(Products!$C$2:$C$16,MATCH(E1107,Products!$A$2:$A$16,0))</f>
        <v>Technology</v>
      </c>
      <c r="R1107" s="0" t="str">
        <f aca="false">INDEX(Customers!$F$2:$F$101,MATCH(D1107,Customers!$A$2:$A$101,0))</f>
        <v>West</v>
      </c>
      <c r="S1107" s="0" t="str">
        <f aca="false">INDEX(Customers!$C$2:$C$101,MATCH(D1107,Customers!$A$2:$A$101,0))</f>
        <v>Consumer</v>
      </c>
      <c r="T1107" s="0" t="str">
        <f aca="false">INDEX(Customers!$D$2:$D$101,MATCH(D1107,Customers!$A$2:$A$101,0))</f>
        <v>Pune</v>
      </c>
    </row>
    <row r="1108" customFormat="false" ht="15" hidden="false" customHeight="false" outlineLevel="0" collapsed="false">
      <c r="A1108" s="0" t="s">
        <v>1379</v>
      </c>
      <c r="B1108" s="37" t="n">
        <v>45634</v>
      </c>
      <c r="C1108" s="37" t="n">
        <v>45641</v>
      </c>
      <c r="D1108" s="38" t="s">
        <v>180</v>
      </c>
      <c r="E1108" s="38" t="s">
        <v>127</v>
      </c>
      <c r="F1108" s="38" t="s">
        <v>101</v>
      </c>
      <c r="G1108" s="38" t="s">
        <v>173</v>
      </c>
      <c r="H1108" s="0" t="n">
        <v>1</v>
      </c>
      <c r="I1108" s="39" t="n">
        <v>18000</v>
      </c>
      <c r="J1108" s="40" t="n">
        <v>0</v>
      </c>
      <c r="K1108" s="39" t="n">
        <v>18000</v>
      </c>
      <c r="L1108" s="39" t="n">
        <v>14000</v>
      </c>
      <c r="M1108" s="39" t="n">
        <v>4000</v>
      </c>
      <c r="N1108" s="38" t="s">
        <v>146</v>
      </c>
      <c r="O1108" s="38" t="n">
        <f aca="false">YEAR(B1108)</f>
        <v>2024</v>
      </c>
      <c r="P1108" s="41" t="n">
        <f aca="false">DATE(YEAR(B1108),MONTH(B1108),1)</f>
        <v>45627</v>
      </c>
      <c r="Q1108" s="0" t="str">
        <f aca="false">INDEX(Products!$C$2:$C$16,MATCH(E1108,Products!$A$2:$A$16,0))</f>
        <v>Technology</v>
      </c>
      <c r="R1108" s="0" t="str">
        <f aca="false">INDEX(Customers!$F$2:$F$101,MATCH(D1108,Customers!$A$2:$A$101,0))</f>
        <v>West</v>
      </c>
      <c r="S1108" s="0" t="str">
        <f aca="false">INDEX(Customers!$C$2:$C$101,MATCH(D1108,Customers!$A$2:$A$101,0))</f>
        <v>Corporate</v>
      </c>
      <c r="T1108" s="0" t="str">
        <f aca="false">INDEX(Customers!$D$2:$D$101,MATCH(D1108,Customers!$A$2:$A$101,0))</f>
        <v>Mumbai</v>
      </c>
    </row>
    <row r="1109" customFormat="false" ht="15" hidden="false" customHeight="false" outlineLevel="0" collapsed="false">
      <c r="A1109" s="0" t="s">
        <v>1380</v>
      </c>
      <c r="B1109" s="37" t="n">
        <v>45633</v>
      </c>
      <c r="C1109" s="37" t="n">
        <v>45638</v>
      </c>
      <c r="D1109" s="38" t="s">
        <v>278</v>
      </c>
      <c r="E1109" s="38" t="s">
        <v>126</v>
      </c>
      <c r="F1109" s="38" t="s">
        <v>102</v>
      </c>
      <c r="G1109" s="38" t="s">
        <v>188</v>
      </c>
      <c r="H1109" s="0" t="n">
        <v>4</v>
      </c>
      <c r="I1109" s="39" t="n">
        <v>1200</v>
      </c>
      <c r="J1109" s="40" t="n">
        <v>0</v>
      </c>
      <c r="K1109" s="39" t="n">
        <v>4800</v>
      </c>
      <c r="L1109" s="39" t="n">
        <v>2800</v>
      </c>
      <c r="M1109" s="39" t="n">
        <v>2000</v>
      </c>
      <c r="N1109" s="38" t="s">
        <v>66</v>
      </c>
      <c r="O1109" s="38" t="n">
        <f aca="false">YEAR(B1109)</f>
        <v>2024</v>
      </c>
      <c r="P1109" s="41" t="n">
        <f aca="false">DATE(YEAR(B1109),MONTH(B1109),1)</f>
        <v>45627</v>
      </c>
      <c r="Q1109" s="0" t="str">
        <f aca="false">INDEX(Products!$C$2:$C$16,MATCH(E1109,Products!$A$2:$A$16,0))</f>
        <v>Furniture</v>
      </c>
      <c r="R1109" s="0" t="str">
        <f aca="false">INDEX(Customers!$F$2:$F$101,MATCH(D1109,Customers!$A$2:$A$101,0))</f>
        <v>South</v>
      </c>
      <c r="S1109" s="0" t="str">
        <f aca="false">INDEX(Customers!$C$2:$C$101,MATCH(D1109,Customers!$A$2:$A$101,0))</f>
        <v>Consumer</v>
      </c>
      <c r="T1109" s="0" t="str">
        <f aca="false">INDEX(Customers!$D$2:$D$101,MATCH(D1109,Customers!$A$2:$A$101,0))</f>
        <v>Hyderabad</v>
      </c>
    </row>
    <row r="1110" customFormat="false" ht="15" hidden="false" customHeight="false" outlineLevel="0" collapsed="false">
      <c r="A1110" s="0" t="s">
        <v>1381</v>
      </c>
      <c r="B1110" s="37" t="n">
        <v>45749</v>
      </c>
      <c r="C1110" s="37" t="n">
        <v>45754</v>
      </c>
      <c r="D1110" s="38" t="s">
        <v>354</v>
      </c>
      <c r="E1110" s="38" t="s">
        <v>123</v>
      </c>
      <c r="F1110" s="38" t="s">
        <v>100</v>
      </c>
      <c r="G1110" s="38" t="s">
        <v>185</v>
      </c>
      <c r="H1110" s="0" t="n">
        <v>1</v>
      </c>
      <c r="I1110" s="39" t="n">
        <v>2200</v>
      </c>
      <c r="J1110" s="40" t="n">
        <v>0</v>
      </c>
      <c r="K1110" s="39" t="n">
        <v>2200</v>
      </c>
      <c r="L1110" s="39" t="n">
        <v>1300</v>
      </c>
      <c r="M1110" s="39" t="n">
        <v>900</v>
      </c>
      <c r="N1110" s="38" t="s">
        <v>66</v>
      </c>
      <c r="O1110" s="38" t="n">
        <f aca="false">YEAR(B1110)</f>
        <v>2025</v>
      </c>
      <c r="P1110" s="41" t="n">
        <f aca="false">DATE(YEAR(B1110),MONTH(B1110),1)</f>
        <v>45748</v>
      </c>
      <c r="Q1110" s="0" t="str">
        <f aca="false">INDEX(Products!$C$2:$C$16,MATCH(E1110,Products!$A$2:$A$16,0))</f>
        <v>Technology</v>
      </c>
      <c r="R1110" s="0" t="str">
        <f aca="false">INDEX(Customers!$F$2:$F$101,MATCH(D1110,Customers!$A$2:$A$101,0))</f>
        <v>East</v>
      </c>
      <c r="S1110" s="0" t="str">
        <f aca="false">INDEX(Customers!$C$2:$C$101,MATCH(D1110,Customers!$A$2:$A$101,0))</f>
        <v>Small Business</v>
      </c>
      <c r="T1110" s="0" t="str">
        <f aca="false">INDEX(Customers!$D$2:$D$101,MATCH(D1110,Customers!$A$2:$A$101,0))</f>
        <v>Bhubaneswar</v>
      </c>
    </row>
    <row r="1111" customFormat="false" ht="15" hidden="false" customHeight="false" outlineLevel="0" collapsed="false">
      <c r="A1111" s="0" t="s">
        <v>1382</v>
      </c>
      <c r="B1111" s="37" t="n">
        <v>46093</v>
      </c>
      <c r="C1111" s="37" t="n">
        <v>46095</v>
      </c>
      <c r="D1111" s="38" t="s">
        <v>182</v>
      </c>
      <c r="E1111" s="38" t="s">
        <v>114</v>
      </c>
      <c r="F1111" s="38" t="s">
        <v>101</v>
      </c>
      <c r="G1111" s="38" t="s">
        <v>178</v>
      </c>
      <c r="H1111" s="0" t="n">
        <v>1</v>
      </c>
      <c r="I1111" s="39" t="n">
        <v>800</v>
      </c>
      <c r="J1111" s="40" t="n">
        <v>0.25</v>
      </c>
      <c r="K1111" s="39" t="n">
        <v>600</v>
      </c>
      <c r="L1111" s="39" t="n">
        <v>420</v>
      </c>
      <c r="M1111" s="39" t="n">
        <v>180</v>
      </c>
      <c r="N1111" s="38" t="s">
        <v>66</v>
      </c>
      <c r="O1111" s="38" t="n">
        <f aca="false">YEAR(B1111)</f>
        <v>2026</v>
      </c>
      <c r="P1111" s="41" t="n">
        <f aca="false">DATE(YEAR(B1111),MONTH(B1111),1)</f>
        <v>46082</v>
      </c>
      <c r="Q1111" s="0" t="str">
        <f aca="false">INDEX(Products!$C$2:$C$16,MATCH(E1111,Products!$A$2:$A$16,0))</f>
        <v>Technology</v>
      </c>
      <c r="R1111" s="0" t="str">
        <f aca="false">INDEX(Customers!$F$2:$F$101,MATCH(D1111,Customers!$A$2:$A$101,0))</f>
        <v>North</v>
      </c>
      <c r="S1111" s="0" t="str">
        <f aca="false">INDEX(Customers!$C$2:$C$101,MATCH(D1111,Customers!$A$2:$A$101,0))</f>
        <v>Small Business</v>
      </c>
      <c r="T1111" s="0" t="str">
        <f aca="false">INDEX(Customers!$D$2:$D$101,MATCH(D1111,Customers!$A$2:$A$101,0))</f>
        <v>Gurugram</v>
      </c>
    </row>
    <row r="1112" customFormat="false" ht="15" hidden="false" customHeight="false" outlineLevel="0" collapsed="false">
      <c r="A1112" s="0" t="s">
        <v>1383</v>
      </c>
      <c r="B1112" s="37" t="n">
        <v>45359</v>
      </c>
      <c r="C1112" s="37" t="n">
        <v>45360</v>
      </c>
      <c r="D1112" s="38" t="s">
        <v>180</v>
      </c>
      <c r="E1112" s="38" t="s">
        <v>119</v>
      </c>
      <c r="F1112" s="38" t="s">
        <v>100</v>
      </c>
      <c r="G1112" s="38" t="s">
        <v>170</v>
      </c>
      <c r="H1112" s="0" t="n">
        <v>3</v>
      </c>
      <c r="I1112" s="39" t="n">
        <v>250</v>
      </c>
      <c r="J1112" s="40" t="n">
        <v>0.15</v>
      </c>
      <c r="K1112" s="39" t="n">
        <v>637.5</v>
      </c>
      <c r="L1112" s="39" t="n">
        <v>360</v>
      </c>
      <c r="M1112" s="39" t="n">
        <v>277.5</v>
      </c>
      <c r="N1112" s="38" t="s">
        <v>66</v>
      </c>
      <c r="O1112" s="38" t="n">
        <f aca="false">YEAR(B1112)</f>
        <v>2024</v>
      </c>
      <c r="P1112" s="41" t="n">
        <f aca="false">DATE(YEAR(B1112),MONTH(B1112),1)</f>
        <v>45352</v>
      </c>
      <c r="Q1112" s="0" t="str">
        <f aca="false">INDEX(Products!$C$2:$C$16,MATCH(E1112,Products!$A$2:$A$16,0))</f>
        <v>Office Supplies</v>
      </c>
      <c r="R1112" s="0" t="str">
        <f aca="false">INDEX(Customers!$F$2:$F$101,MATCH(D1112,Customers!$A$2:$A$101,0))</f>
        <v>West</v>
      </c>
      <c r="S1112" s="0" t="str">
        <f aca="false">INDEX(Customers!$C$2:$C$101,MATCH(D1112,Customers!$A$2:$A$101,0))</f>
        <v>Corporate</v>
      </c>
      <c r="T1112" s="0" t="str">
        <f aca="false">INDEX(Customers!$D$2:$D$101,MATCH(D1112,Customers!$A$2:$A$101,0))</f>
        <v>Mumbai</v>
      </c>
    </row>
    <row r="1113" customFormat="false" ht="15" hidden="false" customHeight="false" outlineLevel="0" collapsed="false">
      <c r="A1113" s="0" t="s">
        <v>1384</v>
      </c>
      <c r="B1113" s="37" t="n">
        <v>45924</v>
      </c>
      <c r="C1113" s="37" t="n">
        <v>45931</v>
      </c>
      <c r="D1113" s="38" t="s">
        <v>251</v>
      </c>
      <c r="E1113" s="38" t="s">
        <v>114</v>
      </c>
      <c r="F1113" s="38" t="s">
        <v>102</v>
      </c>
      <c r="G1113" s="38" t="s">
        <v>188</v>
      </c>
      <c r="H1113" s="0" t="n">
        <v>2</v>
      </c>
      <c r="I1113" s="39" t="n">
        <v>800</v>
      </c>
      <c r="J1113" s="40" t="n">
        <v>0.25</v>
      </c>
      <c r="K1113" s="39" t="n">
        <v>1200</v>
      </c>
      <c r="L1113" s="39" t="n">
        <v>840</v>
      </c>
      <c r="M1113" s="39" t="n">
        <v>360</v>
      </c>
      <c r="N1113" s="38" t="s">
        <v>66</v>
      </c>
      <c r="O1113" s="38" t="n">
        <f aca="false">YEAR(B1113)</f>
        <v>2025</v>
      </c>
      <c r="P1113" s="41" t="n">
        <f aca="false">DATE(YEAR(B1113),MONTH(B1113),1)</f>
        <v>45901</v>
      </c>
      <c r="Q1113" s="0" t="str">
        <f aca="false">INDEX(Products!$C$2:$C$16,MATCH(E1113,Products!$A$2:$A$16,0))</f>
        <v>Technology</v>
      </c>
      <c r="R1113" s="0" t="str">
        <f aca="false">INDEX(Customers!$F$2:$F$101,MATCH(D1113,Customers!$A$2:$A$101,0))</f>
        <v>South</v>
      </c>
      <c r="S1113" s="0" t="str">
        <f aca="false">INDEX(Customers!$C$2:$C$101,MATCH(D1113,Customers!$A$2:$A$101,0))</f>
        <v>Corporate</v>
      </c>
      <c r="T1113" s="0" t="str">
        <f aca="false">INDEX(Customers!$D$2:$D$101,MATCH(D1113,Customers!$A$2:$A$101,0))</f>
        <v>Bengaluru</v>
      </c>
    </row>
    <row r="1114" customFormat="false" ht="15" hidden="false" customHeight="false" outlineLevel="0" collapsed="false">
      <c r="A1114" s="0" t="s">
        <v>1385</v>
      </c>
      <c r="B1114" s="37" t="n">
        <v>46106</v>
      </c>
      <c r="C1114" s="37" t="n">
        <v>46110</v>
      </c>
      <c r="D1114" s="38" t="s">
        <v>473</v>
      </c>
      <c r="E1114" s="38" t="s">
        <v>120</v>
      </c>
      <c r="F1114" s="38" t="s">
        <v>100</v>
      </c>
      <c r="G1114" s="38" t="s">
        <v>170</v>
      </c>
      <c r="H1114" s="0" t="n">
        <v>5</v>
      </c>
      <c r="I1114" s="39" t="n">
        <v>400</v>
      </c>
      <c r="J1114" s="40" t="n">
        <v>0.15</v>
      </c>
      <c r="K1114" s="39" t="n">
        <v>1700</v>
      </c>
      <c r="L1114" s="39" t="n">
        <v>1300</v>
      </c>
      <c r="M1114" s="39" t="n">
        <v>400</v>
      </c>
      <c r="N1114" s="38" t="s">
        <v>66</v>
      </c>
      <c r="O1114" s="38" t="n">
        <f aca="false">YEAR(B1114)</f>
        <v>2026</v>
      </c>
      <c r="P1114" s="41" t="n">
        <f aca="false">DATE(YEAR(B1114),MONTH(B1114),1)</f>
        <v>46082</v>
      </c>
      <c r="Q1114" s="0" t="str">
        <f aca="false">INDEX(Products!$C$2:$C$16,MATCH(E1114,Products!$A$2:$A$16,0))</f>
        <v>Office Supplies</v>
      </c>
      <c r="R1114" s="0" t="str">
        <f aca="false">INDEX(Customers!$F$2:$F$101,MATCH(D1114,Customers!$A$2:$A$101,0))</f>
        <v>North</v>
      </c>
      <c r="S1114" s="0" t="str">
        <f aca="false">INDEX(Customers!$C$2:$C$101,MATCH(D1114,Customers!$A$2:$A$101,0))</f>
        <v>Consumer</v>
      </c>
      <c r="T1114" s="0" t="str">
        <f aca="false">INDEX(Customers!$D$2:$D$101,MATCH(D1114,Customers!$A$2:$A$101,0))</f>
        <v>Gurugram</v>
      </c>
    </row>
    <row r="1115" customFormat="false" ht="15" hidden="false" customHeight="false" outlineLevel="0" collapsed="false">
      <c r="A1115" s="0" t="s">
        <v>1386</v>
      </c>
      <c r="B1115" s="37" t="n">
        <v>45318</v>
      </c>
      <c r="C1115" s="37" t="n">
        <v>45322</v>
      </c>
      <c r="D1115" s="38" t="s">
        <v>268</v>
      </c>
      <c r="E1115" s="38" t="s">
        <v>125</v>
      </c>
      <c r="F1115" s="38" t="s">
        <v>100</v>
      </c>
      <c r="G1115" s="38" t="s">
        <v>178</v>
      </c>
      <c r="H1115" s="0" t="n">
        <v>2</v>
      </c>
      <c r="I1115" s="39" t="n">
        <v>600</v>
      </c>
      <c r="J1115" s="40" t="n">
        <v>0.15</v>
      </c>
      <c r="K1115" s="39" t="n">
        <v>1020</v>
      </c>
      <c r="L1115" s="39" t="n">
        <v>700</v>
      </c>
      <c r="M1115" s="39" t="n">
        <v>320</v>
      </c>
      <c r="N1115" s="38" t="s">
        <v>66</v>
      </c>
      <c r="O1115" s="38" t="n">
        <f aca="false">YEAR(B1115)</f>
        <v>2024</v>
      </c>
      <c r="P1115" s="41" t="n">
        <f aca="false">DATE(YEAR(B1115),MONTH(B1115),1)</f>
        <v>45292</v>
      </c>
      <c r="Q1115" s="0" t="str">
        <f aca="false">INDEX(Products!$C$2:$C$16,MATCH(E1115,Products!$A$2:$A$16,0))</f>
        <v>Office Supplies</v>
      </c>
      <c r="R1115" s="0" t="str">
        <f aca="false">INDEX(Customers!$F$2:$F$101,MATCH(D1115,Customers!$A$2:$A$101,0))</f>
        <v>South</v>
      </c>
      <c r="S1115" s="0" t="str">
        <f aca="false">INDEX(Customers!$C$2:$C$101,MATCH(D1115,Customers!$A$2:$A$101,0))</f>
        <v>Consumer</v>
      </c>
      <c r="T1115" s="0" t="str">
        <f aca="false">INDEX(Customers!$D$2:$D$101,MATCH(D1115,Customers!$A$2:$A$101,0))</f>
        <v>Bengaluru</v>
      </c>
    </row>
    <row r="1116" customFormat="false" ht="15" hidden="false" customHeight="false" outlineLevel="0" collapsed="false">
      <c r="A1116" s="0" t="s">
        <v>1387</v>
      </c>
      <c r="B1116" s="37" t="n">
        <v>45361</v>
      </c>
      <c r="C1116" s="37" t="n">
        <v>45366</v>
      </c>
      <c r="D1116" s="38" t="s">
        <v>266</v>
      </c>
      <c r="E1116" s="38" t="s">
        <v>124</v>
      </c>
      <c r="F1116" s="38" t="s">
        <v>102</v>
      </c>
      <c r="G1116" s="38" t="s">
        <v>173</v>
      </c>
      <c r="H1116" s="0" t="n">
        <v>4</v>
      </c>
      <c r="I1116" s="39" t="n">
        <v>3000</v>
      </c>
      <c r="J1116" s="40" t="n">
        <v>0</v>
      </c>
      <c r="K1116" s="39" t="n">
        <v>12000</v>
      </c>
      <c r="L1116" s="39" t="n">
        <v>7600</v>
      </c>
      <c r="M1116" s="39" t="n">
        <v>4400</v>
      </c>
      <c r="N1116" s="38" t="s">
        <v>66</v>
      </c>
      <c r="O1116" s="38" t="n">
        <f aca="false">YEAR(B1116)</f>
        <v>2024</v>
      </c>
      <c r="P1116" s="41" t="n">
        <f aca="false">DATE(YEAR(B1116),MONTH(B1116),1)</f>
        <v>45352</v>
      </c>
      <c r="Q1116" s="0" t="str">
        <f aca="false">INDEX(Products!$C$2:$C$16,MATCH(E1116,Products!$A$2:$A$16,0))</f>
        <v>Technology</v>
      </c>
      <c r="R1116" s="0" t="str">
        <f aca="false">INDEX(Customers!$F$2:$F$101,MATCH(D1116,Customers!$A$2:$A$101,0))</f>
        <v>West</v>
      </c>
      <c r="S1116" s="0" t="str">
        <f aca="false">INDEX(Customers!$C$2:$C$101,MATCH(D1116,Customers!$A$2:$A$101,0))</f>
        <v>Consumer</v>
      </c>
      <c r="T1116" s="0" t="str">
        <f aca="false">INDEX(Customers!$D$2:$D$101,MATCH(D1116,Customers!$A$2:$A$101,0))</f>
        <v>Pune</v>
      </c>
    </row>
    <row r="1117" customFormat="false" ht="15" hidden="false" customHeight="false" outlineLevel="0" collapsed="false">
      <c r="A1117" s="0" t="s">
        <v>1388</v>
      </c>
      <c r="B1117" s="37" t="n">
        <v>45723</v>
      </c>
      <c r="C1117" s="37" t="n">
        <v>45727</v>
      </c>
      <c r="D1117" s="38" t="s">
        <v>793</v>
      </c>
      <c r="E1117" s="38" t="s">
        <v>118</v>
      </c>
      <c r="F1117" s="38" t="s">
        <v>100</v>
      </c>
      <c r="G1117" s="38" t="s">
        <v>173</v>
      </c>
      <c r="H1117" s="0" t="n">
        <v>4</v>
      </c>
      <c r="I1117" s="39" t="n">
        <v>9000</v>
      </c>
      <c r="J1117" s="40" t="n">
        <v>0.1</v>
      </c>
      <c r="K1117" s="39" t="n">
        <v>32400</v>
      </c>
      <c r="L1117" s="39" t="n">
        <v>26000</v>
      </c>
      <c r="M1117" s="39" t="n">
        <v>6400</v>
      </c>
      <c r="N1117" s="38" t="s">
        <v>66</v>
      </c>
      <c r="O1117" s="38" t="n">
        <f aca="false">YEAR(B1117)</f>
        <v>2025</v>
      </c>
      <c r="P1117" s="41" t="n">
        <f aca="false">DATE(YEAR(B1117),MONTH(B1117),1)</f>
        <v>45717</v>
      </c>
      <c r="Q1117" s="0" t="str">
        <f aca="false">INDEX(Products!$C$2:$C$16,MATCH(E1117,Products!$A$2:$A$16,0))</f>
        <v>Furniture</v>
      </c>
      <c r="R1117" s="0" t="str">
        <f aca="false">INDEX(Customers!$F$2:$F$101,MATCH(D1117,Customers!$A$2:$A$101,0))</f>
        <v>North</v>
      </c>
      <c r="S1117" s="0" t="str">
        <f aca="false">INDEX(Customers!$C$2:$C$101,MATCH(D1117,Customers!$A$2:$A$101,0))</f>
        <v>Small Business</v>
      </c>
      <c r="T1117" s="0" t="str">
        <f aca="false">INDEX(Customers!$D$2:$D$101,MATCH(D1117,Customers!$A$2:$A$101,0))</f>
        <v>Jaipur</v>
      </c>
    </row>
    <row r="1118" customFormat="false" ht="15" hidden="false" customHeight="false" outlineLevel="0" collapsed="false">
      <c r="A1118" s="0" t="s">
        <v>1389</v>
      </c>
      <c r="B1118" s="37" t="n">
        <v>45422</v>
      </c>
      <c r="C1118" s="37" t="n">
        <v>45425</v>
      </c>
      <c r="D1118" s="38" t="s">
        <v>302</v>
      </c>
      <c r="E1118" s="38" t="s">
        <v>113</v>
      </c>
      <c r="F1118" s="38" t="s">
        <v>102</v>
      </c>
      <c r="G1118" s="38" t="s">
        <v>170</v>
      </c>
      <c r="H1118" s="0" t="n">
        <v>3</v>
      </c>
      <c r="I1118" s="39" t="n">
        <v>45000</v>
      </c>
      <c r="J1118" s="40" t="n">
        <v>0.15</v>
      </c>
      <c r="K1118" s="39" t="n">
        <v>114750</v>
      </c>
      <c r="L1118" s="39" t="n">
        <v>108000</v>
      </c>
      <c r="M1118" s="39" t="n">
        <v>6750</v>
      </c>
      <c r="N1118" s="38" t="s">
        <v>66</v>
      </c>
      <c r="O1118" s="38" t="n">
        <f aca="false">YEAR(B1118)</f>
        <v>2024</v>
      </c>
      <c r="P1118" s="41" t="n">
        <f aca="false">DATE(YEAR(B1118),MONTH(B1118),1)</f>
        <v>45413</v>
      </c>
      <c r="Q1118" s="0" t="str">
        <f aca="false">INDEX(Products!$C$2:$C$16,MATCH(E1118,Products!$A$2:$A$16,0))</f>
        <v>Technology</v>
      </c>
      <c r="R1118" s="0" t="str">
        <f aca="false">INDEX(Customers!$F$2:$F$101,MATCH(D1118,Customers!$A$2:$A$101,0))</f>
        <v>East</v>
      </c>
      <c r="S1118" s="0" t="str">
        <f aca="false">INDEX(Customers!$C$2:$C$101,MATCH(D1118,Customers!$A$2:$A$101,0))</f>
        <v>Consumer</v>
      </c>
      <c r="T1118" s="0" t="str">
        <f aca="false">INDEX(Customers!$D$2:$D$101,MATCH(D1118,Customers!$A$2:$A$101,0))</f>
        <v>Bhubaneswar</v>
      </c>
    </row>
    <row r="1119" customFormat="false" ht="15" hidden="false" customHeight="false" outlineLevel="0" collapsed="false">
      <c r="A1119" s="0" t="s">
        <v>1390</v>
      </c>
      <c r="B1119" s="37" t="n">
        <v>45441</v>
      </c>
      <c r="C1119" s="37" t="n">
        <v>45443</v>
      </c>
      <c r="D1119" s="38" t="s">
        <v>204</v>
      </c>
      <c r="E1119" s="38" t="s">
        <v>125</v>
      </c>
      <c r="F1119" s="38" t="s">
        <v>101</v>
      </c>
      <c r="G1119" s="38" t="s">
        <v>170</v>
      </c>
      <c r="H1119" s="0" t="n">
        <v>2</v>
      </c>
      <c r="I1119" s="39" t="n">
        <v>600</v>
      </c>
      <c r="J1119" s="40" t="n">
        <v>0.15</v>
      </c>
      <c r="K1119" s="39" t="n">
        <v>1020</v>
      </c>
      <c r="L1119" s="39" t="n">
        <v>700</v>
      </c>
      <c r="M1119" s="39" t="n">
        <v>320</v>
      </c>
      <c r="N1119" s="38" t="s">
        <v>66</v>
      </c>
      <c r="O1119" s="38" t="n">
        <f aca="false">YEAR(B1119)</f>
        <v>2024</v>
      </c>
      <c r="P1119" s="41" t="n">
        <f aca="false">DATE(YEAR(B1119),MONTH(B1119),1)</f>
        <v>45413</v>
      </c>
      <c r="Q1119" s="0" t="str">
        <f aca="false">INDEX(Products!$C$2:$C$16,MATCH(E1119,Products!$A$2:$A$16,0))</f>
        <v>Office Supplies</v>
      </c>
      <c r="R1119" s="0" t="str">
        <f aca="false">INDEX(Customers!$F$2:$F$101,MATCH(D1119,Customers!$A$2:$A$101,0))</f>
        <v>South</v>
      </c>
      <c r="S1119" s="0" t="str">
        <f aca="false">INDEX(Customers!$C$2:$C$101,MATCH(D1119,Customers!$A$2:$A$101,0))</f>
        <v>Small Business</v>
      </c>
      <c r="T1119" s="0" t="str">
        <f aca="false">INDEX(Customers!$D$2:$D$101,MATCH(D1119,Customers!$A$2:$A$101,0))</f>
        <v>Bengaluru</v>
      </c>
    </row>
    <row r="1120" customFormat="false" ht="15" hidden="false" customHeight="false" outlineLevel="0" collapsed="false">
      <c r="A1120" s="0" t="s">
        <v>1391</v>
      </c>
      <c r="B1120" s="37" t="n">
        <v>45892</v>
      </c>
      <c r="C1120" s="37" t="n">
        <v>45898</v>
      </c>
      <c r="D1120" s="38" t="s">
        <v>470</v>
      </c>
      <c r="E1120" s="38" t="s">
        <v>121</v>
      </c>
      <c r="F1120" s="38" t="s">
        <v>100</v>
      </c>
      <c r="G1120" s="38" t="s">
        <v>188</v>
      </c>
      <c r="H1120" s="0" t="n">
        <v>3</v>
      </c>
      <c r="I1120" s="39" t="n">
        <v>180</v>
      </c>
      <c r="J1120" s="40" t="n">
        <v>0</v>
      </c>
      <c r="K1120" s="39" t="n">
        <v>540</v>
      </c>
      <c r="L1120" s="39" t="n">
        <v>210</v>
      </c>
      <c r="M1120" s="39" t="n">
        <v>330</v>
      </c>
      <c r="N1120" s="38" t="s">
        <v>66</v>
      </c>
      <c r="O1120" s="38" t="n">
        <f aca="false">YEAR(B1120)</f>
        <v>2025</v>
      </c>
      <c r="P1120" s="41" t="n">
        <f aca="false">DATE(YEAR(B1120),MONTH(B1120),1)</f>
        <v>45870</v>
      </c>
      <c r="Q1120" s="0" t="str">
        <f aca="false">INDEX(Products!$C$2:$C$16,MATCH(E1120,Products!$A$2:$A$16,0))</f>
        <v>Office Supplies</v>
      </c>
      <c r="R1120" s="0" t="str">
        <f aca="false">INDEX(Customers!$F$2:$F$101,MATCH(D1120,Customers!$A$2:$A$101,0))</f>
        <v>North</v>
      </c>
      <c r="S1120" s="0" t="str">
        <f aca="false">INDEX(Customers!$C$2:$C$101,MATCH(D1120,Customers!$A$2:$A$101,0))</f>
        <v>Small Business</v>
      </c>
      <c r="T1120" s="0" t="str">
        <f aca="false">INDEX(Customers!$D$2:$D$101,MATCH(D1120,Customers!$A$2:$A$101,0))</f>
        <v>Lucknow</v>
      </c>
    </row>
    <row r="1121" customFormat="false" ht="15" hidden="false" customHeight="false" outlineLevel="0" collapsed="false">
      <c r="A1121" s="0" t="s">
        <v>1392</v>
      </c>
      <c r="B1121" s="37" t="n">
        <v>45347</v>
      </c>
      <c r="C1121" s="37" t="n">
        <v>45351</v>
      </c>
      <c r="D1121" s="38" t="s">
        <v>322</v>
      </c>
      <c r="E1121" s="38" t="s">
        <v>126</v>
      </c>
      <c r="F1121" s="38" t="s">
        <v>102</v>
      </c>
      <c r="G1121" s="38" t="s">
        <v>173</v>
      </c>
      <c r="H1121" s="0" t="n">
        <v>2</v>
      </c>
      <c r="I1121" s="39" t="n">
        <v>1200</v>
      </c>
      <c r="J1121" s="40" t="n">
        <v>0</v>
      </c>
      <c r="K1121" s="39" t="n">
        <v>2400</v>
      </c>
      <c r="L1121" s="39" t="n">
        <v>1400</v>
      </c>
      <c r="M1121" s="39" t="n">
        <v>1000</v>
      </c>
      <c r="N1121" s="38" t="s">
        <v>66</v>
      </c>
      <c r="O1121" s="38" t="n">
        <f aca="false">YEAR(B1121)</f>
        <v>2024</v>
      </c>
      <c r="P1121" s="41" t="n">
        <f aca="false">DATE(YEAR(B1121),MONTH(B1121),1)</f>
        <v>45323</v>
      </c>
      <c r="Q1121" s="0" t="str">
        <f aca="false">INDEX(Products!$C$2:$C$16,MATCH(E1121,Products!$A$2:$A$16,0))</f>
        <v>Furniture</v>
      </c>
      <c r="R1121" s="0" t="str">
        <f aca="false">INDEX(Customers!$F$2:$F$101,MATCH(D1121,Customers!$A$2:$A$101,0))</f>
        <v>North</v>
      </c>
      <c r="S1121" s="0" t="str">
        <f aca="false">INDEX(Customers!$C$2:$C$101,MATCH(D1121,Customers!$A$2:$A$101,0))</f>
        <v>Consumer</v>
      </c>
      <c r="T1121" s="0" t="str">
        <f aca="false">INDEX(Customers!$D$2:$D$101,MATCH(D1121,Customers!$A$2:$A$101,0))</f>
        <v>Jaipur</v>
      </c>
    </row>
    <row r="1122" customFormat="false" ht="15" hidden="false" customHeight="false" outlineLevel="0" collapsed="false">
      <c r="A1122" s="0" t="s">
        <v>1393</v>
      </c>
      <c r="B1122" s="37" t="n">
        <v>45975</v>
      </c>
      <c r="C1122" s="37" t="n">
        <v>45979</v>
      </c>
      <c r="D1122" s="38" t="s">
        <v>206</v>
      </c>
      <c r="E1122" s="38" t="s">
        <v>116</v>
      </c>
      <c r="F1122" s="38" t="s">
        <v>102</v>
      </c>
      <c r="G1122" s="38" t="s">
        <v>170</v>
      </c>
      <c r="H1122" s="0" t="n">
        <v>3</v>
      </c>
      <c r="I1122" s="39" t="n">
        <v>12000</v>
      </c>
      <c r="J1122" s="40" t="n">
        <v>0.1</v>
      </c>
      <c r="K1122" s="39" t="n">
        <v>32400</v>
      </c>
      <c r="L1122" s="39" t="n">
        <v>27000</v>
      </c>
      <c r="M1122" s="39" t="n">
        <v>5400</v>
      </c>
      <c r="N1122" s="38" t="s">
        <v>66</v>
      </c>
      <c r="O1122" s="38" t="n">
        <f aca="false">YEAR(B1122)</f>
        <v>2025</v>
      </c>
      <c r="P1122" s="41" t="n">
        <f aca="false">DATE(YEAR(B1122),MONTH(B1122),1)</f>
        <v>45962</v>
      </c>
      <c r="Q1122" s="0" t="str">
        <f aca="false">INDEX(Products!$C$2:$C$16,MATCH(E1122,Products!$A$2:$A$16,0))</f>
        <v>Technology</v>
      </c>
      <c r="R1122" s="0" t="str">
        <f aca="false">INDEX(Customers!$F$2:$F$101,MATCH(D1122,Customers!$A$2:$A$101,0))</f>
        <v>West</v>
      </c>
      <c r="S1122" s="0" t="str">
        <f aca="false">INDEX(Customers!$C$2:$C$101,MATCH(D1122,Customers!$A$2:$A$101,0))</f>
        <v>Corporate</v>
      </c>
      <c r="T1122" s="0" t="str">
        <f aca="false">INDEX(Customers!$D$2:$D$101,MATCH(D1122,Customers!$A$2:$A$101,0))</f>
        <v>Pune</v>
      </c>
    </row>
    <row r="1123" customFormat="false" ht="15" hidden="false" customHeight="false" outlineLevel="0" collapsed="false">
      <c r="A1123" s="0" t="s">
        <v>1394</v>
      </c>
      <c r="B1123" s="37" t="n">
        <v>45922</v>
      </c>
      <c r="C1123" s="37" t="n">
        <v>45925</v>
      </c>
      <c r="D1123" s="38" t="s">
        <v>224</v>
      </c>
      <c r="E1123" s="38" t="s">
        <v>118</v>
      </c>
      <c r="F1123" s="38" t="s">
        <v>100</v>
      </c>
      <c r="G1123" s="38" t="s">
        <v>185</v>
      </c>
      <c r="H1123" s="0" t="n">
        <v>2</v>
      </c>
      <c r="I1123" s="39" t="n">
        <v>9000</v>
      </c>
      <c r="J1123" s="40" t="n">
        <v>0</v>
      </c>
      <c r="K1123" s="39" t="n">
        <v>18000</v>
      </c>
      <c r="L1123" s="39" t="n">
        <v>13000</v>
      </c>
      <c r="M1123" s="39" t="n">
        <v>5000</v>
      </c>
      <c r="N1123" s="38" t="s">
        <v>66</v>
      </c>
      <c r="O1123" s="38" t="n">
        <f aca="false">YEAR(B1123)</f>
        <v>2025</v>
      </c>
      <c r="P1123" s="41" t="n">
        <f aca="false">DATE(YEAR(B1123),MONTH(B1123),1)</f>
        <v>45901</v>
      </c>
      <c r="Q1123" s="0" t="str">
        <f aca="false">INDEX(Products!$C$2:$C$16,MATCH(E1123,Products!$A$2:$A$16,0))</f>
        <v>Furniture</v>
      </c>
      <c r="R1123" s="0" t="str">
        <f aca="false">INDEX(Customers!$F$2:$F$101,MATCH(D1123,Customers!$A$2:$A$101,0))</f>
        <v>North</v>
      </c>
      <c r="S1123" s="0" t="str">
        <f aca="false">INDEX(Customers!$C$2:$C$101,MATCH(D1123,Customers!$A$2:$A$101,0))</f>
        <v>Small Business</v>
      </c>
      <c r="T1123" s="0" t="str">
        <f aca="false">INDEX(Customers!$D$2:$D$101,MATCH(D1123,Customers!$A$2:$A$101,0))</f>
        <v>Jaipur</v>
      </c>
    </row>
    <row r="1124" customFormat="false" ht="15" hidden="false" customHeight="false" outlineLevel="0" collapsed="false">
      <c r="A1124" s="0" t="s">
        <v>1395</v>
      </c>
      <c r="B1124" s="37" t="n">
        <v>45516</v>
      </c>
      <c r="C1124" s="37" t="n">
        <v>45517</v>
      </c>
      <c r="D1124" s="38" t="s">
        <v>302</v>
      </c>
      <c r="E1124" s="38" t="s">
        <v>120</v>
      </c>
      <c r="F1124" s="38" t="s">
        <v>100</v>
      </c>
      <c r="G1124" s="38" t="s">
        <v>185</v>
      </c>
      <c r="H1124" s="0" t="n">
        <v>3</v>
      </c>
      <c r="I1124" s="39" t="n">
        <v>400</v>
      </c>
      <c r="J1124" s="40" t="n">
        <v>0.2</v>
      </c>
      <c r="K1124" s="39" t="n">
        <v>960</v>
      </c>
      <c r="L1124" s="39" t="n">
        <v>780</v>
      </c>
      <c r="M1124" s="39" t="n">
        <v>180</v>
      </c>
      <c r="N1124" s="38" t="s">
        <v>66</v>
      </c>
      <c r="O1124" s="38" t="n">
        <f aca="false">YEAR(B1124)</f>
        <v>2024</v>
      </c>
      <c r="P1124" s="41" t="n">
        <f aca="false">DATE(YEAR(B1124),MONTH(B1124),1)</f>
        <v>45505</v>
      </c>
      <c r="Q1124" s="0" t="str">
        <f aca="false">INDEX(Products!$C$2:$C$16,MATCH(E1124,Products!$A$2:$A$16,0))</f>
        <v>Office Supplies</v>
      </c>
      <c r="R1124" s="0" t="str">
        <f aca="false">INDEX(Customers!$F$2:$F$101,MATCH(D1124,Customers!$A$2:$A$101,0))</f>
        <v>East</v>
      </c>
      <c r="S1124" s="0" t="str">
        <f aca="false">INDEX(Customers!$C$2:$C$101,MATCH(D1124,Customers!$A$2:$A$101,0))</f>
        <v>Consumer</v>
      </c>
      <c r="T1124" s="0" t="str">
        <f aca="false">INDEX(Customers!$D$2:$D$101,MATCH(D1124,Customers!$A$2:$A$101,0))</f>
        <v>Bhubaneswar</v>
      </c>
    </row>
    <row r="1125" customFormat="false" ht="15" hidden="false" customHeight="false" outlineLevel="0" collapsed="false">
      <c r="A1125" s="0" t="s">
        <v>1396</v>
      </c>
      <c r="B1125" s="37" t="n">
        <v>46044</v>
      </c>
      <c r="C1125" s="37" t="n">
        <v>46051</v>
      </c>
      <c r="D1125" s="38" t="s">
        <v>407</v>
      </c>
      <c r="E1125" s="38" t="s">
        <v>120</v>
      </c>
      <c r="F1125" s="38" t="s">
        <v>102</v>
      </c>
      <c r="G1125" s="38" t="s">
        <v>185</v>
      </c>
      <c r="H1125" s="0" t="n">
        <v>8</v>
      </c>
      <c r="I1125" s="39" t="n">
        <v>400</v>
      </c>
      <c r="J1125" s="40" t="n">
        <v>0.05</v>
      </c>
      <c r="K1125" s="39" t="n">
        <v>3040</v>
      </c>
      <c r="L1125" s="39" t="n">
        <v>2080</v>
      </c>
      <c r="M1125" s="39" t="n">
        <v>960</v>
      </c>
      <c r="N1125" s="38" t="s">
        <v>66</v>
      </c>
      <c r="O1125" s="38" t="n">
        <f aca="false">YEAR(B1125)</f>
        <v>2026</v>
      </c>
      <c r="P1125" s="41" t="n">
        <f aca="false">DATE(YEAR(B1125),MONTH(B1125),1)</f>
        <v>46023</v>
      </c>
      <c r="Q1125" s="0" t="str">
        <f aca="false">INDEX(Products!$C$2:$C$16,MATCH(E1125,Products!$A$2:$A$16,0))</f>
        <v>Office Supplies</v>
      </c>
      <c r="R1125" s="0" t="str">
        <f aca="false">INDEX(Customers!$F$2:$F$101,MATCH(D1125,Customers!$A$2:$A$101,0))</f>
        <v>North</v>
      </c>
      <c r="S1125" s="0" t="str">
        <f aca="false">INDEX(Customers!$C$2:$C$101,MATCH(D1125,Customers!$A$2:$A$101,0))</f>
        <v>Small Business</v>
      </c>
      <c r="T1125" s="0" t="str">
        <f aca="false">INDEX(Customers!$D$2:$D$101,MATCH(D1125,Customers!$A$2:$A$101,0))</f>
        <v>Delhi</v>
      </c>
    </row>
    <row r="1126" customFormat="false" ht="15" hidden="false" customHeight="false" outlineLevel="0" collapsed="false">
      <c r="A1126" s="0" t="s">
        <v>1397</v>
      </c>
      <c r="B1126" s="37" t="n">
        <v>45298</v>
      </c>
      <c r="C1126" s="37" t="n">
        <v>45301</v>
      </c>
      <c r="D1126" s="38" t="s">
        <v>435</v>
      </c>
      <c r="E1126" s="38" t="s">
        <v>126</v>
      </c>
      <c r="F1126" s="38" t="s">
        <v>100</v>
      </c>
      <c r="G1126" s="38" t="s">
        <v>188</v>
      </c>
      <c r="H1126" s="0" t="n">
        <v>1</v>
      </c>
      <c r="I1126" s="39" t="n">
        <v>1200</v>
      </c>
      <c r="J1126" s="40" t="n">
        <v>0.05</v>
      </c>
      <c r="K1126" s="39" t="n">
        <v>1140</v>
      </c>
      <c r="L1126" s="39" t="n">
        <v>700</v>
      </c>
      <c r="M1126" s="39" t="n">
        <v>440</v>
      </c>
      <c r="N1126" s="38" t="s">
        <v>66</v>
      </c>
      <c r="O1126" s="38" t="n">
        <f aca="false">YEAR(B1126)</f>
        <v>2024</v>
      </c>
      <c r="P1126" s="41" t="n">
        <f aca="false">DATE(YEAR(B1126),MONTH(B1126),1)</f>
        <v>45292</v>
      </c>
      <c r="Q1126" s="0" t="str">
        <f aca="false">INDEX(Products!$C$2:$C$16,MATCH(E1126,Products!$A$2:$A$16,0))</f>
        <v>Furniture</v>
      </c>
      <c r="R1126" s="0" t="str">
        <f aca="false">INDEX(Customers!$F$2:$F$101,MATCH(D1126,Customers!$A$2:$A$101,0))</f>
        <v>South</v>
      </c>
      <c r="S1126" s="0" t="str">
        <f aca="false">INDEX(Customers!$C$2:$C$101,MATCH(D1126,Customers!$A$2:$A$101,0))</f>
        <v>Small Business</v>
      </c>
      <c r="T1126" s="0" t="str">
        <f aca="false">INDEX(Customers!$D$2:$D$101,MATCH(D1126,Customers!$A$2:$A$101,0))</f>
        <v>Chennai</v>
      </c>
    </row>
    <row r="1127" customFormat="false" ht="15" hidden="false" customHeight="false" outlineLevel="0" collapsed="false">
      <c r="A1127" s="0" t="s">
        <v>1398</v>
      </c>
      <c r="B1127" s="37" t="n">
        <v>45491</v>
      </c>
      <c r="C1127" s="37" t="n">
        <v>45497</v>
      </c>
      <c r="D1127" s="38" t="s">
        <v>310</v>
      </c>
      <c r="E1127" s="38" t="s">
        <v>120</v>
      </c>
      <c r="F1127" s="38" t="s">
        <v>101</v>
      </c>
      <c r="G1127" s="38" t="s">
        <v>178</v>
      </c>
      <c r="H1127" s="0" t="n">
        <v>3</v>
      </c>
      <c r="I1127" s="39" t="n">
        <v>400</v>
      </c>
      <c r="J1127" s="40" t="n">
        <v>0.25</v>
      </c>
      <c r="K1127" s="39" t="n">
        <v>900</v>
      </c>
      <c r="L1127" s="39" t="n">
        <v>780</v>
      </c>
      <c r="M1127" s="39" t="n">
        <v>120</v>
      </c>
      <c r="N1127" s="38" t="s">
        <v>147</v>
      </c>
      <c r="O1127" s="38" t="n">
        <f aca="false">YEAR(B1127)</f>
        <v>2024</v>
      </c>
      <c r="P1127" s="41" t="n">
        <f aca="false">DATE(YEAR(B1127),MONTH(B1127),1)</f>
        <v>45474</v>
      </c>
      <c r="Q1127" s="0" t="str">
        <f aca="false">INDEX(Products!$C$2:$C$16,MATCH(E1127,Products!$A$2:$A$16,0))</f>
        <v>Office Supplies</v>
      </c>
      <c r="R1127" s="0" t="str">
        <f aca="false">INDEX(Customers!$F$2:$F$101,MATCH(D1127,Customers!$A$2:$A$101,0))</f>
        <v>South</v>
      </c>
      <c r="S1127" s="0" t="str">
        <f aca="false">INDEX(Customers!$C$2:$C$101,MATCH(D1127,Customers!$A$2:$A$101,0))</f>
        <v>Small Business</v>
      </c>
      <c r="T1127" s="0" t="str">
        <f aca="false">INDEX(Customers!$D$2:$D$101,MATCH(D1127,Customers!$A$2:$A$101,0))</f>
        <v>Hyderabad</v>
      </c>
    </row>
    <row r="1128" customFormat="false" ht="15" hidden="false" customHeight="false" outlineLevel="0" collapsed="false">
      <c r="A1128" s="0" t="s">
        <v>1399</v>
      </c>
      <c r="B1128" s="37" t="n">
        <v>45582</v>
      </c>
      <c r="C1128" s="37" t="n">
        <v>45584</v>
      </c>
      <c r="D1128" s="38" t="s">
        <v>177</v>
      </c>
      <c r="E1128" s="38" t="s">
        <v>116</v>
      </c>
      <c r="F1128" s="38" t="s">
        <v>102</v>
      </c>
      <c r="G1128" s="38" t="s">
        <v>173</v>
      </c>
      <c r="H1128" s="0" t="n">
        <v>1</v>
      </c>
      <c r="I1128" s="39" t="n">
        <v>12000</v>
      </c>
      <c r="J1128" s="40" t="n">
        <v>0.05</v>
      </c>
      <c r="K1128" s="39" t="n">
        <v>11400</v>
      </c>
      <c r="L1128" s="39" t="n">
        <v>9000</v>
      </c>
      <c r="M1128" s="39" t="n">
        <v>2400</v>
      </c>
      <c r="N1128" s="38" t="s">
        <v>66</v>
      </c>
      <c r="O1128" s="38" t="n">
        <f aca="false">YEAR(B1128)</f>
        <v>2024</v>
      </c>
      <c r="P1128" s="41" t="n">
        <f aca="false">DATE(YEAR(B1128),MONTH(B1128),1)</f>
        <v>45566</v>
      </c>
      <c r="Q1128" s="0" t="str">
        <f aca="false">INDEX(Products!$C$2:$C$16,MATCH(E1128,Products!$A$2:$A$16,0))</f>
        <v>Technology</v>
      </c>
      <c r="R1128" s="0" t="str">
        <f aca="false">INDEX(Customers!$F$2:$F$101,MATCH(D1128,Customers!$A$2:$A$101,0))</f>
        <v>North</v>
      </c>
      <c r="S1128" s="0" t="str">
        <f aca="false">INDEX(Customers!$C$2:$C$101,MATCH(D1128,Customers!$A$2:$A$101,0))</f>
        <v>Consumer</v>
      </c>
      <c r="T1128" s="0" t="str">
        <f aca="false">INDEX(Customers!$D$2:$D$101,MATCH(D1128,Customers!$A$2:$A$101,0))</f>
        <v>Gurugram</v>
      </c>
    </row>
    <row r="1129" customFormat="false" ht="15" hidden="false" customHeight="false" outlineLevel="0" collapsed="false">
      <c r="A1129" s="0" t="s">
        <v>1400</v>
      </c>
      <c r="B1129" s="37" t="n">
        <v>45474</v>
      </c>
      <c r="C1129" s="37" t="n">
        <v>45476</v>
      </c>
      <c r="D1129" s="38" t="s">
        <v>287</v>
      </c>
      <c r="E1129" s="38" t="s">
        <v>116</v>
      </c>
      <c r="F1129" s="38" t="s">
        <v>101</v>
      </c>
      <c r="G1129" s="38" t="s">
        <v>178</v>
      </c>
      <c r="H1129" s="0" t="n">
        <v>1</v>
      </c>
      <c r="I1129" s="39" t="n">
        <v>12000</v>
      </c>
      <c r="J1129" s="40" t="n">
        <v>0.25</v>
      </c>
      <c r="K1129" s="39" t="n">
        <v>9000</v>
      </c>
      <c r="L1129" s="39" t="n">
        <v>9000</v>
      </c>
      <c r="M1129" s="39" t="n">
        <v>0</v>
      </c>
      <c r="N1129" s="38" t="s">
        <v>66</v>
      </c>
      <c r="O1129" s="38" t="n">
        <f aca="false">YEAR(B1129)</f>
        <v>2024</v>
      </c>
      <c r="P1129" s="41" t="n">
        <f aca="false">DATE(YEAR(B1129),MONTH(B1129),1)</f>
        <v>45474</v>
      </c>
      <c r="Q1129" s="0" t="str">
        <f aca="false">INDEX(Products!$C$2:$C$16,MATCH(E1129,Products!$A$2:$A$16,0))</f>
        <v>Technology</v>
      </c>
      <c r="R1129" s="0" t="str">
        <f aca="false">INDEX(Customers!$F$2:$F$101,MATCH(D1129,Customers!$A$2:$A$101,0))</f>
        <v>South</v>
      </c>
      <c r="S1129" s="0" t="str">
        <f aca="false">INDEX(Customers!$C$2:$C$101,MATCH(D1129,Customers!$A$2:$A$101,0))</f>
        <v>Small Business</v>
      </c>
      <c r="T1129" s="0" t="str">
        <f aca="false">INDEX(Customers!$D$2:$D$101,MATCH(D1129,Customers!$A$2:$A$101,0))</f>
        <v>Chennai</v>
      </c>
    </row>
    <row r="1130" customFormat="false" ht="15" hidden="false" customHeight="false" outlineLevel="0" collapsed="false">
      <c r="A1130" s="0" t="s">
        <v>1401</v>
      </c>
      <c r="B1130" s="37" t="n">
        <v>45680</v>
      </c>
      <c r="C1130" s="37" t="n">
        <v>45686</v>
      </c>
      <c r="D1130" s="38" t="s">
        <v>268</v>
      </c>
      <c r="E1130" s="38" t="s">
        <v>115</v>
      </c>
      <c r="F1130" s="38" t="s">
        <v>101</v>
      </c>
      <c r="G1130" s="38" t="s">
        <v>173</v>
      </c>
      <c r="H1130" s="0" t="n">
        <v>4</v>
      </c>
      <c r="I1130" s="39" t="n">
        <v>1500</v>
      </c>
      <c r="J1130" s="40" t="n">
        <v>0</v>
      </c>
      <c r="K1130" s="39" t="n">
        <v>6000</v>
      </c>
      <c r="L1130" s="39" t="n">
        <v>3400</v>
      </c>
      <c r="M1130" s="39" t="n">
        <v>2600</v>
      </c>
      <c r="N1130" s="38" t="s">
        <v>66</v>
      </c>
      <c r="O1130" s="38" t="n">
        <f aca="false">YEAR(B1130)</f>
        <v>2025</v>
      </c>
      <c r="P1130" s="41" t="n">
        <f aca="false">DATE(YEAR(B1130),MONTH(B1130),1)</f>
        <v>45658</v>
      </c>
      <c r="Q1130" s="0" t="str">
        <f aca="false">INDEX(Products!$C$2:$C$16,MATCH(E1130,Products!$A$2:$A$16,0))</f>
        <v>Technology</v>
      </c>
      <c r="R1130" s="0" t="str">
        <f aca="false">INDEX(Customers!$F$2:$F$101,MATCH(D1130,Customers!$A$2:$A$101,0))</f>
        <v>South</v>
      </c>
      <c r="S1130" s="0" t="str">
        <f aca="false">INDEX(Customers!$C$2:$C$101,MATCH(D1130,Customers!$A$2:$A$101,0))</f>
        <v>Consumer</v>
      </c>
      <c r="T1130" s="0" t="str">
        <f aca="false">INDEX(Customers!$D$2:$D$101,MATCH(D1130,Customers!$A$2:$A$101,0))</f>
        <v>Bengaluru</v>
      </c>
    </row>
    <row r="1131" customFormat="false" ht="15" hidden="false" customHeight="false" outlineLevel="0" collapsed="false">
      <c r="A1131" s="0" t="s">
        <v>1402</v>
      </c>
      <c r="B1131" s="37" t="n">
        <v>46120</v>
      </c>
      <c r="C1131" s="37" t="n">
        <v>46123</v>
      </c>
      <c r="D1131" s="38" t="s">
        <v>407</v>
      </c>
      <c r="E1131" s="38" t="s">
        <v>118</v>
      </c>
      <c r="F1131" s="38" t="s">
        <v>102</v>
      </c>
      <c r="G1131" s="38" t="s">
        <v>185</v>
      </c>
      <c r="H1131" s="0" t="n">
        <v>3</v>
      </c>
      <c r="I1131" s="39" t="n">
        <v>9000</v>
      </c>
      <c r="J1131" s="40" t="n">
        <v>0.15</v>
      </c>
      <c r="K1131" s="39" t="n">
        <v>22950</v>
      </c>
      <c r="L1131" s="39" t="n">
        <v>19500</v>
      </c>
      <c r="M1131" s="39" t="n">
        <v>3450</v>
      </c>
      <c r="N1131" s="38" t="s">
        <v>66</v>
      </c>
      <c r="O1131" s="38" t="n">
        <f aca="false">YEAR(B1131)</f>
        <v>2026</v>
      </c>
      <c r="P1131" s="41" t="n">
        <f aca="false">DATE(YEAR(B1131),MONTH(B1131),1)</f>
        <v>46113</v>
      </c>
      <c r="Q1131" s="0" t="str">
        <f aca="false">INDEX(Products!$C$2:$C$16,MATCH(E1131,Products!$A$2:$A$16,0))</f>
        <v>Furniture</v>
      </c>
      <c r="R1131" s="0" t="str">
        <f aca="false">INDEX(Customers!$F$2:$F$101,MATCH(D1131,Customers!$A$2:$A$101,0))</f>
        <v>North</v>
      </c>
      <c r="S1131" s="0" t="str">
        <f aca="false">INDEX(Customers!$C$2:$C$101,MATCH(D1131,Customers!$A$2:$A$101,0))</f>
        <v>Small Business</v>
      </c>
      <c r="T1131" s="0" t="str">
        <f aca="false">INDEX(Customers!$D$2:$D$101,MATCH(D1131,Customers!$A$2:$A$101,0))</f>
        <v>Delhi</v>
      </c>
    </row>
    <row r="1132" customFormat="false" ht="15" hidden="false" customHeight="false" outlineLevel="0" collapsed="false">
      <c r="A1132" s="0" t="s">
        <v>1403</v>
      </c>
      <c r="B1132" s="37" t="n">
        <v>45439</v>
      </c>
      <c r="C1132" s="37" t="n">
        <v>45441</v>
      </c>
      <c r="D1132" s="38" t="s">
        <v>326</v>
      </c>
      <c r="E1132" s="38" t="s">
        <v>114</v>
      </c>
      <c r="F1132" s="38" t="s">
        <v>102</v>
      </c>
      <c r="G1132" s="38" t="s">
        <v>185</v>
      </c>
      <c r="H1132" s="0" t="n">
        <v>4</v>
      </c>
      <c r="I1132" s="39" t="n">
        <v>800</v>
      </c>
      <c r="J1132" s="40" t="n">
        <v>0</v>
      </c>
      <c r="K1132" s="39" t="n">
        <v>3200</v>
      </c>
      <c r="L1132" s="39" t="n">
        <v>1680</v>
      </c>
      <c r="M1132" s="39" t="n">
        <v>1520</v>
      </c>
      <c r="N1132" s="38" t="s">
        <v>66</v>
      </c>
      <c r="O1132" s="38" t="n">
        <f aca="false">YEAR(B1132)</f>
        <v>2024</v>
      </c>
      <c r="P1132" s="41" t="n">
        <f aca="false">DATE(YEAR(B1132),MONTH(B1132),1)</f>
        <v>45413</v>
      </c>
      <c r="Q1132" s="0" t="str">
        <f aca="false">INDEX(Products!$C$2:$C$16,MATCH(E1132,Products!$A$2:$A$16,0))</f>
        <v>Technology</v>
      </c>
      <c r="R1132" s="0" t="str">
        <f aca="false">INDEX(Customers!$F$2:$F$101,MATCH(D1132,Customers!$A$2:$A$101,0))</f>
        <v>North</v>
      </c>
      <c r="S1132" s="0" t="str">
        <f aca="false">INDEX(Customers!$C$2:$C$101,MATCH(D1132,Customers!$A$2:$A$101,0))</f>
        <v>Consumer</v>
      </c>
      <c r="T1132" s="0" t="str">
        <f aca="false">INDEX(Customers!$D$2:$D$101,MATCH(D1132,Customers!$A$2:$A$101,0))</f>
        <v>Gurugram</v>
      </c>
    </row>
    <row r="1133" customFormat="false" ht="15" hidden="false" customHeight="false" outlineLevel="0" collapsed="false">
      <c r="A1133" s="0" t="s">
        <v>1404</v>
      </c>
      <c r="B1133" s="37" t="n">
        <v>45731</v>
      </c>
      <c r="C1133" s="37" t="n">
        <v>45737</v>
      </c>
      <c r="D1133" s="38" t="s">
        <v>298</v>
      </c>
      <c r="E1133" s="38" t="s">
        <v>122</v>
      </c>
      <c r="F1133" s="38" t="s">
        <v>102</v>
      </c>
      <c r="G1133" s="38" t="s">
        <v>188</v>
      </c>
      <c r="H1133" s="0" t="n">
        <v>1</v>
      </c>
      <c r="I1133" s="39" t="n">
        <v>5500</v>
      </c>
      <c r="J1133" s="40" t="n">
        <v>0</v>
      </c>
      <c r="K1133" s="39" t="n">
        <v>5500</v>
      </c>
      <c r="L1133" s="39" t="n">
        <v>3700</v>
      </c>
      <c r="M1133" s="39" t="n">
        <v>1800</v>
      </c>
      <c r="N1133" s="38" t="s">
        <v>66</v>
      </c>
      <c r="O1133" s="38" t="n">
        <f aca="false">YEAR(B1133)</f>
        <v>2025</v>
      </c>
      <c r="P1133" s="41" t="n">
        <f aca="false">DATE(YEAR(B1133),MONTH(B1133),1)</f>
        <v>45717</v>
      </c>
      <c r="Q1133" s="0" t="str">
        <f aca="false">INDEX(Products!$C$2:$C$16,MATCH(E1133,Products!$A$2:$A$16,0))</f>
        <v>Furniture</v>
      </c>
      <c r="R1133" s="0" t="str">
        <f aca="false">INDEX(Customers!$F$2:$F$101,MATCH(D1133,Customers!$A$2:$A$101,0))</f>
        <v>North</v>
      </c>
      <c r="S1133" s="0" t="str">
        <f aca="false">INDEX(Customers!$C$2:$C$101,MATCH(D1133,Customers!$A$2:$A$101,0))</f>
        <v>Consumer</v>
      </c>
      <c r="T1133" s="0" t="str">
        <f aca="false">INDEX(Customers!$D$2:$D$101,MATCH(D1133,Customers!$A$2:$A$101,0))</f>
        <v>Lucknow</v>
      </c>
    </row>
    <row r="1134" customFormat="false" ht="15" hidden="false" customHeight="false" outlineLevel="0" collapsed="false">
      <c r="A1134" s="0" t="s">
        <v>1405</v>
      </c>
      <c r="B1134" s="37" t="n">
        <v>46100</v>
      </c>
      <c r="C1134" s="37" t="n">
        <v>46102</v>
      </c>
      <c r="D1134" s="38" t="s">
        <v>208</v>
      </c>
      <c r="E1134" s="38" t="s">
        <v>117</v>
      </c>
      <c r="F1134" s="38" t="s">
        <v>102</v>
      </c>
      <c r="G1134" s="38" t="s">
        <v>170</v>
      </c>
      <c r="H1134" s="0" t="n">
        <v>2</v>
      </c>
      <c r="I1134" s="39" t="n">
        <v>6500</v>
      </c>
      <c r="J1134" s="40" t="n">
        <v>0</v>
      </c>
      <c r="K1134" s="39" t="n">
        <v>13000</v>
      </c>
      <c r="L1134" s="39" t="n">
        <v>8400</v>
      </c>
      <c r="M1134" s="39" t="n">
        <v>4600</v>
      </c>
      <c r="N1134" s="38" t="s">
        <v>66</v>
      </c>
      <c r="O1134" s="38" t="n">
        <f aca="false">YEAR(B1134)</f>
        <v>2026</v>
      </c>
      <c r="P1134" s="41" t="n">
        <f aca="false">DATE(YEAR(B1134),MONTH(B1134),1)</f>
        <v>46082</v>
      </c>
      <c r="Q1134" s="0" t="str">
        <f aca="false">INDEX(Products!$C$2:$C$16,MATCH(E1134,Products!$A$2:$A$16,0))</f>
        <v>Furniture</v>
      </c>
      <c r="R1134" s="0" t="str">
        <f aca="false">INDEX(Customers!$F$2:$F$101,MATCH(D1134,Customers!$A$2:$A$101,0))</f>
        <v>North</v>
      </c>
      <c r="S1134" s="0" t="str">
        <f aca="false">INDEX(Customers!$C$2:$C$101,MATCH(D1134,Customers!$A$2:$A$101,0))</f>
        <v>Corporate</v>
      </c>
      <c r="T1134" s="0" t="str">
        <f aca="false">INDEX(Customers!$D$2:$D$101,MATCH(D1134,Customers!$A$2:$A$101,0))</f>
        <v>Gurugram</v>
      </c>
    </row>
    <row r="1135" customFormat="false" ht="15" hidden="false" customHeight="false" outlineLevel="0" collapsed="false">
      <c r="A1135" s="0" t="s">
        <v>1406</v>
      </c>
      <c r="B1135" s="37" t="n">
        <v>46199</v>
      </c>
      <c r="C1135" s="37" t="n">
        <v>46203</v>
      </c>
      <c r="D1135" s="38" t="s">
        <v>447</v>
      </c>
      <c r="E1135" s="38" t="s">
        <v>122</v>
      </c>
      <c r="F1135" s="38" t="s">
        <v>101</v>
      </c>
      <c r="G1135" s="38" t="s">
        <v>188</v>
      </c>
      <c r="H1135" s="0" t="n">
        <v>1</v>
      </c>
      <c r="I1135" s="39" t="n">
        <v>5500</v>
      </c>
      <c r="J1135" s="40" t="n">
        <v>0</v>
      </c>
      <c r="K1135" s="39" t="n">
        <v>5500</v>
      </c>
      <c r="L1135" s="39" t="n">
        <v>3700</v>
      </c>
      <c r="M1135" s="39" t="n">
        <v>1800</v>
      </c>
      <c r="N1135" s="38" t="s">
        <v>66</v>
      </c>
      <c r="O1135" s="38" t="n">
        <f aca="false">YEAR(B1135)</f>
        <v>2026</v>
      </c>
      <c r="P1135" s="41" t="n">
        <f aca="false">DATE(YEAR(B1135),MONTH(B1135),1)</f>
        <v>46174</v>
      </c>
      <c r="Q1135" s="0" t="str">
        <f aca="false">INDEX(Products!$C$2:$C$16,MATCH(E1135,Products!$A$2:$A$16,0))</f>
        <v>Furniture</v>
      </c>
      <c r="R1135" s="0" t="str">
        <f aca="false">INDEX(Customers!$F$2:$F$101,MATCH(D1135,Customers!$A$2:$A$101,0))</f>
        <v>North</v>
      </c>
      <c r="S1135" s="0" t="str">
        <f aca="false">INDEX(Customers!$C$2:$C$101,MATCH(D1135,Customers!$A$2:$A$101,0))</f>
        <v>Corporate</v>
      </c>
      <c r="T1135" s="0" t="str">
        <f aca="false">INDEX(Customers!$D$2:$D$101,MATCH(D1135,Customers!$A$2:$A$101,0))</f>
        <v>Jaipur</v>
      </c>
    </row>
    <row r="1136" customFormat="false" ht="15" hidden="false" customHeight="false" outlineLevel="0" collapsed="false">
      <c r="A1136" s="0" t="s">
        <v>1407</v>
      </c>
      <c r="B1136" s="37" t="n">
        <v>46061</v>
      </c>
      <c r="C1136" s="37" t="n">
        <v>46067</v>
      </c>
      <c r="D1136" s="38" t="s">
        <v>447</v>
      </c>
      <c r="E1136" s="38" t="s">
        <v>119</v>
      </c>
      <c r="F1136" s="38" t="s">
        <v>101</v>
      </c>
      <c r="G1136" s="38" t="s">
        <v>188</v>
      </c>
      <c r="H1136" s="0" t="n">
        <v>4</v>
      </c>
      <c r="I1136" s="39" t="n">
        <v>250</v>
      </c>
      <c r="J1136" s="40" t="n">
        <v>0.05</v>
      </c>
      <c r="K1136" s="39" t="n">
        <v>950</v>
      </c>
      <c r="L1136" s="39" t="n">
        <v>480</v>
      </c>
      <c r="M1136" s="39" t="n">
        <v>470</v>
      </c>
      <c r="N1136" s="38" t="s">
        <v>66</v>
      </c>
      <c r="O1136" s="38" t="n">
        <f aca="false">YEAR(B1136)</f>
        <v>2026</v>
      </c>
      <c r="P1136" s="41" t="n">
        <f aca="false">DATE(YEAR(B1136),MONTH(B1136),1)</f>
        <v>46054</v>
      </c>
      <c r="Q1136" s="0" t="str">
        <f aca="false">INDEX(Products!$C$2:$C$16,MATCH(E1136,Products!$A$2:$A$16,0))</f>
        <v>Office Supplies</v>
      </c>
      <c r="R1136" s="0" t="str">
        <f aca="false">INDEX(Customers!$F$2:$F$101,MATCH(D1136,Customers!$A$2:$A$101,0))</f>
        <v>North</v>
      </c>
      <c r="S1136" s="0" t="str">
        <f aca="false">INDEX(Customers!$C$2:$C$101,MATCH(D1136,Customers!$A$2:$A$101,0))</f>
        <v>Corporate</v>
      </c>
      <c r="T1136" s="0" t="str">
        <f aca="false">INDEX(Customers!$D$2:$D$101,MATCH(D1136,Customers!$A$2:$A$101,0))</f>
        <v>Jaipur</v>
      </c>
    </row>
    <row r="1137" customFormat="false" ht="15" hidden="false" customHeight="false" outlineLevel="0" collapsed="false">
      <c r="A1137" s="0" t="s">
        <v>1408</v>
      </c>
      <c r="B1137" s="37" t="n">
        <v>45674</v>
      </c>
      <c r="C1137" s="37" t="n">
        <v>45679</v>
      </c>
      <c r="D1137" s="38" t="s">
        <v>390</v>
      </c>
      <c r="E1137" s="38" t="s">
        <v>124</v>
      </c>
      <c r="F1137" s="38" t="s">
        <v>101</v>
      </c>
      <c r="G1137" s="38" t="s">
        <v>185</v>
      </c>
      <c r="H1137" s="0" t="n">
        <v>3</v>
      </c>
      <c r="I1137" s="39" t="n">
        <v>3000</v>
      </c>
      <c r="J1137" s="40" t="n">
        <v>0.2</v>
      </c>
      <c r="K1137" s="39" t="n">
        <v>7200</v>
      </c>
      <c r="L1137" s="39" t="n">
        <v>5700</v>
      </c>
      <c r="M1137" s="39" t="n">
        <v>1500</v>
      </c>
      <c r="N1137" s="38" t="s">
        <v>66</v>
      </c>
      <c r="O1137" s="38" t="n">
        <f aca="false">YEAR(B1137)</f>
        <v>2025</v>
      </c>
      <c r="P1137" s="41" t="n">
        <f aca="false">DATE(YEAR(B1137),MONTH(B1137),1)</f>
        <v>45658</v>
      </c>
      <c r="Q1137" s="0" t="str">
        <f aca="false">INDEX(Products!$C$2:$C$16,MATCH(E1137,Products!$A$2:$A$16,0))</f>
        <v>Technology</v>
      </c>
      <c r="R1137" s="0" t="str">
        <f aca="false">INDEX(Customers!$F$2:$F$101,MATCH(D1137,Customers!$A$2:$A$101,0))</f>
        <v>South</v>
      </c>
      <c r="S1137" s="0" t="str">
        <f aca="false">INDEX(Customers!$C$2:$C$101,MATCH(D1137,Customers!$A$2:$A$101,0))</f>
        <v>Consumer</v>
      </c>
      <c r="T1137" s="0" t="str">
        <f aca="false">INDEX(Customers!$D$2:$D$101,MATCH(D1137,Customers!$A$2:$A$101,0))</f>
        <v>Chennai</v>
      </c>
    </row>
    <row r="1138" customFormat="false" ht="15" hidden="false" customHeight="false" outlineLevel="0" collapsed="false">
      <c r="A1138" s="0" t="s">
        <v>1409</v>
      </c>
      <c r="B1138" s="37" t="n">
        <v>46235</v>
      </c>
      <c r="C1138" s="37" t="n">
        <v>46242</v>
      </c>
      <c r="D1138" s="38" t="s">
        <v>251</v>
      </c>
      <c r="E1138" s="38" t="s">
        <v>123</v>
      </c>
      <c r="F1138" s="38" t="s">
        <v>100</v>
      </c>
      <c r="G1138" s="38" t="s">
        <v>173</v>
      </c>
      <c r="H1138" s="0" t="n">
        <v>3</v>
      </c>
      <c r="I1138" s="39" t="n">
        <v>2200</v>
      </c>
      <c r="J1138" s="40" t="n">
        <v>0</v>
      </c>
      <c r="K1138" s="39" t="n">
        <v>6600</v>
      </c>
      <c r="L1138" s="39" t="n">
        <v>3900</v>
      </c>
      <c r="M1138" s="39" t="n">
        <v>2700</v>
      </c>
      <c r="N1138" s="38" t="s">
        <v>66</v>
      </c>
      <c r="O1138" s="38" t="n">
        <f aca="false">YEAR(B1138)</f>
        <v>2026</v>
      </c>
      <c r="P1138" s="41" t="n">
        <f aca="false">DATE(YEAR(B1138),MONTH(B1138),1)</f>
        <v>46235</v>
      </c>
      <c r="Q1138" s="0" t="str">
        <f aca="false">INDEX(Products!$C$2:$C$16,MATCH(E1138,Products!$A$2:$A$16,0))</f>
        <v>Technology</v>
      </c>
      <c r="R1138" s="0" t="str">
        <f aca="false">INDEX(Customers!$F$2:$F$101,MATCH(D1138,Customers!$A$2:$A$101,0))</f>
        <v>South</v>
      </c>
      <c r="S1138" s="0" t="str">
        <f aca="false">INDEX(Customers!$C$2:$C$101,MATCH(D1138,Customers!$A$2:$A$101,0))</f>
        <v>Corporate</v>
      </c>
      <c r="T1138" s="0" t="str">
        <f aca="false">INDEX(Customers!$D$2:$D$101,MATCH(D1138,Customers!$A$2:$A$101,0))</f>
        <v>Bengaluru</v>
      </c>
    </row>
    <row r="1139" customFormat="false" ht="15" hidden="false" customHeight="false" outlineLevel="0" collapsed="false">
      <c r="A1139" s="0" t="s">
        <v>1410</v>
      </c>
      <c r="B1139" s="37" t="n">
        <v>45532</v>
      </c>
      <c r="C1139" s="37" t="n">
        <v>45536</v>
      </c>
      <c r="D1139" s="38" t="s">
        <v>260</v>
      </c>
      <c r="E1139" s="38" t="s">
        <v>126</v>
      </c>
      <c r="F1139" s="38" t="s">
        <v>101</v>
      </c>
      <c r="G1139" s="38" t="s">
        <v>188</v>
      </c>
      <c r="H1139" s="0" t="n">
        <v>1</v>
      </c>
      <c r="I1139" s="39" t="n">
        <v>1200</v>
      </c>
      <c r="J1139" s="40" t="n">
        <v>0.1</v>
      </c>
      <c r="K1139" s="39" t="n">
        <v>1080</v>
      </c>
      <c r="L1139" s="39" t="n">
        <v>700</v>
      </c>
      <c r="M1139" s="39" t="n">
        <v>380</v>
      </c>
      <c r="N1139" s="38" t="s">
        <v>66</v>
      </c>
      <c r="O1139" s="38" t="n">
        <f aca="false">YEAR(B1139)</f>
        <v>2024</v>
      </c>
      <c r="P1139" s="41" t="n">
        <f aca="false">DATE(YEAR(B1139),MONTH(B1139),1)</f>
        <v>45505</v>
      </c>
      <c r="Q1139" s="0" t="str">
        <f aca="false">INDEX(Products!$C$2:$C$16,MATCH(E1139,Products!$A$2:$A$16,0))</f>
        <v>Furniture</v>
      </c>
      <c r="R1139" s="0" t="str">
        <f aca="false">INDEX(Customers!$F$2:$F$101,MATCH(D1139,Customers!$A$2:$A$101,0))</f>
        <v>West</v>
      </c>
      <c r="S1139" s="0" t="str">
        <f aca="false">INDEX(Customers!$C$2:$C$101,MATCH(D1139,Customers!$A$2:$A$101,0))</f>
        <v>Small Business</v>
      </c>
      <c r="T1139" s="0" t="str">
        <f aca="false">INDEX(Customers!$D$2:$D$101,MATCH(D1139,Customers!$A$2:$A$101,0))</f>
        <v>Mumbai</v>
      </c>
    </row>
    <row r="1140" customFormat="false" ht="15" hidden="false" customHeight="false" outlineLevel="0" collapsed="false">
      <c r="A1140" s="0" t="s">
        <v>1411</v>
      </c>
      <c r="B1140" s="37" t="n">
        <v>45855</v>
      </c>
      <c r="C1140" s="37" t="n">
        <v>45856</v>
      </c>
      <c r="D1140" s="38" t="s">
        <v>329</v>
      </c>
      <c r="E1140" s="38" t="s">
        <v>117</v>
      </c>
      <c r="F1140" s="38" t="s">
        <v>101</v>
      </c>
      <c r="G1140" s="38" t="s">
        <v>185</v>
      </c>
      <c r="H1140" s="0" t="n">
        <v>1</v>
      </c>
      <c r="I1140" s="39" t="n">
        <v>6500</v>
      </c>
      <c r="J1140" s="40" t="n">
        <v>0</v>
      </c>
      <c r="K1140" s="39" t="n">
        <v>6500</v>
      </c>
      <c r="L1140" s="39" t="n">
        <v>4200</v>
      </c>
      <c r="M1140" s="39" t="n">
        <v>2300</v>
      </c>
      <c r="N1140" s="38" t="s">
        <v>66</v>
      </c>
      <c r="O1140" s="38" t="n">
        <f aca="false">YEAR(B1140)</f>
        <v>2025</v>
      </c>
      <c r="P1140" s="41" t="n">
        <f aca="false">DATE(YEAR(B1140),MONTH(B1140),1)</f>
        <v>45839</v>
      </c>
      <c r="Q1140" s="0" t="str">
        <f aca="false">INDEX(Products!$C$2:$C$16,MATCH(E1140,Products!$A$2:$A$16,0))</f>
        <v>Furniture</v>
      </c>
      <c r="R1140" s="0" t="str">
        <f aca="false">INDEX(Customers!$F$2:$F$101,MATCH(D1140,Customers!$A$2:$A$101,0))</f>
        <v>West</v>
      </c>
      <c r="S1140" s="0" t="str">
        <f aca="false">INDEX(Customers!$C$2:$C$101,MATCH(D1140,Customers!$A$2:$A$101,0))</f>
        <v>Corporate</v>
      </c>
      <c r="T1140" s="0" t="str">
        <f aca="false">INDEX(Customers!$D$2:$D$101,MATCH(D1140,Customers!$A$2:$A$101,0))</f>
        <v>Pune</v>
      </c>
    </row>
    <row r="1141" customFormat="false" ht="15" hidden="false" customHeight="false" outlineLevel="0" collapsed="false">
      <c r="A1141" s="0" t="s">
        <v>1412</v>
      </c>
      <c r="B1141" s="37" t="n">
        <v>45334</v>
      </c>
      <c r="C1141" s="37" t="n">
        <v>45338</v>
      </c>
      <c r="D1141" s="38" t="s">
        <v>314</v>
      </c>
      <c r="E1141" s="38" t="s">
        <v>122</v>
      </c>
      <c r="F1141" s="38" t="s">
        <v>101</v>
      </c>
      <c r="G1141" s="38" t="s">
        <v>185</v>
      </c>
      <c r="H1141" s="0" t="n">
        <v>2</v>
      </c>
      <c r="I1141" s="39" t="n">
        <v>5500</v>
      </c>
      <c r="J1141" s="40" t="n">
        <v>0.05</v>
      </c>
      <c r="K1141" s="39" t="n">
        <v>10450</v>
      </c>
      <c r="L1141" s="39" t="n">
        <v>7400</v>
      </c>
      <c r="M1141" s="39" t="n">
        <v>3050</v>
      </c>
      <c r="N1141" s="38" t="s">
        <v>66</v>
      </c>
      <c r="O1141" s="38" t="n">
        <f aca="false">YEAR(B1141)</f>
        <v>2024</v>
      </c>
      <c r="P1141" s="41" t="n">
        <f aca="false">DATE(YEAR(B1141),MONTH(B1141),1)</f>
        <v>45323</v>
      </c>
      <c r="Q1141" s="0" t="str">
        <f aca="false">INDEX(Products!$C$2:$C$16,MATCH(E1141,Products!$A$2:$A$16,0))</f>
        <v>Furniture</v>
      </c>
      <c r="R1141" s="0" t="str">
        <f aca="false">INDEX(Customers!$F$2:$F$101,MATCH(D1141,Customers!$A$2:$A$101,0))</f>
        <v>North</v>
      </c>
      <c r="S1141" s="0" t="str">
        <f aca="false">INDEX(Customers!$C$2:$C$101,MATCH(D1141,Customers!$A$2:$A$101,0))</f>
        <v>Consumer</v>
      </c>
      <c r="T1141" s="0" t="str">
        <f aca="false">INDEX(Customers!$D$2:$D$101,MATCH(D1141,Customers!$A$2:$A$101,0))</f>
        <v>Gurugram</v>
      </c>
    </row>
    <row r="1142" customFormat="false" ht="15" hidden="false" customHeight="false" outlineLevel="0" collapsed="false">
      <c r="A1142" s="0" t="s">
        <v>1413</v>
      </c>
      <c r="B1142" s="37" t="n">
        <v>46115</v>
      </c>
      <c r="C1142" s="37" t="n">
        <v>46119</v>
      </c>
      <c r="D1142" s="38" t="s">
        <v>198</v>
      </c>
      <c r="E1142" s="38" t="s">
        <v>118</v>
      </c>
      <c r="F1142" s="38" t="s">
        <v>100</v>
      </c>
      <c r="G1142" s="38" t="s">
        <v>173</v>
      </c>
      <c r="H1142" s="0" t="n">
        <v>2</v>
      </c>
      <c r="I1142" s="39" t="n">
        <v>9000</v>
      </c>
      <c r="J1142" s="40" t="n">
        <v>0.1</v>
      </c>
      <c r="K1142" s="39" t="n">
        <v>16200</v>
      </c>
      <c r="L1142" s="39" t="n">
        <v>13000</v>
      </c>
      <c r="M1142" s="39" t="n">
        <v>3200</v>
      </c>
      <c r="N1142" s="38" t="s">
        <v>66</v>
      </c>
      <c r="O1142" s="38" t="n">
        <f aca="false">YEAR(B1142)</f>
        <v>2026</v>
      </c>
      <c r="P1142" s="41" t="n">
        <f aca="false">DATE(YEAR(B1142),MONTH(B1142),1)</f>
        <v>46113</v>
      </c>
      <c r="Q1142" s="0" t="str">
        <f aca="false">INDEX(Products!$C$2:$C$16,MATCH(E1142,Products!$A$2:$A$16,0))</f>
        <v>Furniture</v>
      </c>
      <c r="R1142" s="0" t="str">
        <f aca="false">INDEX(Customers!$F$2:$F$101,MATCH(D1142,Customers!$A$2:$A$101,0))</f>
        <v>North</v>
      </c>
      <c r="S1142" s="0" t="str">
        <f aca="false">INDEX(Customers!$C$2:$C$101,MATCH(D1142,Customers!$A$2:$A$101,0))</f>
        <v>Consumer</v>
      </c>
      <c r="T1142" s="0" t="str">
        <f aca="false">INDEX(Customers!$D$2:$D$101,MATCH(D1142,Customers!$A$2:$A$101,0))</f>
        <v>Gurugram</v>
      </c>
    </row>
    <row r="1143" customFormat="false" ht="15" hidden="false" customHeight="false" outlineLevel="0" collapsed="false">
      <c r="A1143" s="0" t="s">
        <v>1414</v>
      </c>
      <c r="B1143" s="37" t="n">
        <v>45369</v>
      </c>
      <c r="C1143" s="37" t="n">
        <v>45372</v>
      </c>
      <c r="D1143" s="38" t="s">
        <v>234</v>
      </c>
      <c r="E1143" s="38" t="s">
        <v>123</v>
      </c>
      <c r="F1143" s="38" t="s">
        <v>102</v>
      </c>
      <c r="G1143" s="38" t="s">
        <v>188</v>
      </c>
      <c r="H1143" s="0" t="n">
        <v>6</v>
      </c>
      <c r="I1143" s="39" t="n">
        <v>2200</v>
      </c>
      <c r="J1143" s="40" t="n">
        <v>0.05</v>
      </c>
      <c r="K1143" s="39" t="n">
        <v>12540</v>
      </c>
      <c r="L1143" s="39" t="n">
        <v>7800</v>
      </c>
      <c r="M1143" s="39" t="n">
        <v>4740</v>
      </c>
      <c r="N1143" s="38" t="s">
        <v>66</v>
      </c>
      <c r="O1143" s="38" t="n">
        <f aca="false">YEAR(B1143)</f>
        <v>2024</v>
      </c>
      <c r="P1143" s="41" t="n">
        <f aca="false">DATE(YEAR(B1143),MONTH(B1143),1)</f>
        <v>45352</v>
      </c>
      <c r="Q1143" s="0" t="str">
        <f aca="false">INDEX(Products!$C$2:$C$16,MATCH(E1143,Products!$A$2:$A$16,0))</f>
        <v>Technology</v>
      </c>
      <c r="R1143" s="0" t="str">
        <f aca="false">INDEX(Customers!$F$2:$F$101,MATCH(D1143,Customers!$A$2:$A$101,0))</f>
        <v>South</v>
      </c>
      <c r="S1143" s="0" t="str">
        <f aca="false">INDEX(Customers!$C$2:$C$101,MATCH(D1143,Customers!$A$2:$A$101,0))</f>
        <v>Corporate</v>
      </c>
      <c r="T1143" s="0" t="str">
        <f aca="false">INDEX(Customers!$D$2:$D$101,MATCH(D1143,Customers!$A$2:$A$101,0))</f>
        <v>Bengaluru</v>
      </c>
    </row>
    <row r="1144" customFormat="false" ht="15" hidden="false" customHeight="false" outlineLevel="0" collapsed="false">
      <c r="A1144" s="0" t="s">
        <v>1415</v>
      </c>
      <c r="B1144" s="37" t="n">
        <v>45575</v>
      </c>
      <c r="C1144" s="37" t="n">
        <v>45577</v>
      </c>
      <c r="D1144" s="38" t="s">
        <v>196</v>
      </c>
      <c r="E1144" s="38" t="s">
        <v>125</v>
      </c>
      <c r="F1144" s="38" t="s">
        <v>101</v>
      </c>
      <c r="G1144" s="38" t="s">
        <v>178</v>
      </c>
      <c r="H1144" s="0" t="n">
        <v>1</v>
      </c>
      <c r="I1144" s="39" t="n">
        <v>600</v>
      </c>
      <c r="J1144" s="40" t="n">
        <v>0</v>
      </c>
      <c r="K1144" s="39" t="n">
        <v>600</v>
      </c>
      <c r="L1144" s="39" t="n">
        <v>350</v>
      </c>
      <c r="M1144" s="39" t="n">
        <v>250</v>
      </c>
      <c r="N1144" s="38" t="s">
        <v>66</v>
      </c>
      <c r="O1144" s="38" t="n">
        <f aca="false">YEAR(B1144)</f>
        <v>2024</v>
      </c>
      <c r="P1144" s="41" t="n">
        <f aca="false">DATE(YEAR(B1144),MONTH(B1144),1)</f>
        <v>45566</v>
      </c>
      <c r="Q1144" s="0" t="str">
        <f aca="false">INDEX(Products!$C$2:$C$16,MATCH(E1144,Products!$A$2:$A$16,0))</f>
        <v>Office Supplies</v>
      </c>
      <c r="R1144" s="0" t="str">
        <f aca="false">INDEX(Customers!$F$2:$F$101,MATCH(D1144,Customers!$A$2:$A$101,0))</f>
        <v>South</v>
      </c>
      <c r="S1144" s="0" t="str">
        <f aca="false">INDEX(Customers!$C$2:$C$101,MATCH(D1144,Customers!$A$2:$A$101,0))</f>
        <v>Consumer</v>
      </c>
      <c r="T1144" s="0" t="str">
        <f aca="false">INDEX(Customers!$D$2:$D$101,MATCH(D1144,Customers!$A$2:$A$101,0))</f>
        <v>Chennai</v>
      </c>
    </row>
    <row r="1145" customFormat="false" ht="15" hidden="false" customHeight="false" outlineLevel="0" collapsed="false">
      <c r="A1145" s="0" t="s">
        <v>1416</v>
      </c>
      <c r="B1145" s="37" t="n">
        <v>45983</v>
      </c>
      <c r="C1145" s="37" t="n">
        <v>45986</v>
      </c>
      <c r="D1145" s="38" t="s">
        <v>498</v>
      </c>
      <c r="E1145" s="38" t="s">
        <v>116</v>
      </c>
      <c r="F1145" s="38" t="s">
        <v>102</v>
      </c>
      <c r="G1145" s="38" t="s">
        <v>170</v>
      </c>
      <c r="H1145" s="0" t="n">
        <v>1</v>
      </c>
      <c r="I1145" s="39" t="n">
        <v>12000</v>
      </c>
      <c r="J1145" s="40" t="n">
        <v>0.2</v>
      </c>
      <c r="K1145" s="39" t="n">
        <v>9600</v>
      </c>
      <c r="L1145" s="39" t="n">
        <v>9000</v>
      </c>
      <c r="M1145" s="39" t="n">
        <v>600</v>
      </c>
      <c r="N1145" s="38" t="s">
        <v>66</v>
      </c>
      <c r="O1145" s="38" t="n">
        <f aca="false">YEAR(B1145)</f>
        <v>2025</v>
      </c>
      <c r="P1145" s="41" t="n">
        <f aca="false">DATE(YEAR(B1145),MONTH(B1145),1)</f>
        <v>45962</v>
      </c>
      <c r="Q1145" s="0" t="str">
        <f aca="false">INDEX(Products!$C$2:$C$16,MATCH(E1145,Products!$A$2:$A$16,0))</f>
        <v>Technology</v>
      </c>
      <c r="R1145" s="0" t="str">
        <f aca="false">INDEX(Customers!$F$2:$F$101,MATCH(D1145,Customers!$A$2:$A$101,0))</f>
        <v>East</v>
      </c>
      <c r="S1145" s="0" t="str">
        <f aca="false">INDEX(Customers!$C$2:$C$101,MATCH(D1145,Customers!$A$2:$A$101,0))</f>
        <v>Consumer</v>
      </c>
      <c r="T1145" s="0" t="str">
        <f aca="false">INDEX(Customers!$D$2:$D$101,MATCH(D1145,Customers!$A$2:$A$101,0))</f>
        <v>Bhubaneswar</v>
      </c>
    </row>
    <row r="1146" customFormat="false" ht="15" hidden="false" customHeight="false" outlineLevel="0" collapsed="false">
      <c r="A1146" s="0" t="s">
        <v>1417</v>
      </c>
      <c r="B1146" s="37" t="n">
        <v>46167</v>
      </c>
      <c r="C1146" s="37" t="n">
        <v>46174</v>
      </c>
      <c r="D1146" s="38" t="s">
        <v>350</v>
      </c>
      <c r="E1146" s="38" t="s">
        <v>115</v>
      </c>
      <c r="F1146" s="38" t="s">
        <v>101</v>
      </c>
      <c r="G1146" s="38" t="s">
        <v>178</v>
      </c>
      <c r="H1146" s="0" t="n">
        <v>4</v>
      </c>
      <c r="I1146" s="39" t="n">
        <v>1500</v>
      </c>
      <c r="J1146" s="40" t="n">
        <v>0.15</v>
      </c>
      <c r="K1146" s="39" t="n">
        <v>5100</v>
      </c>
      <c r="L1146" s="39" t="n">
        <v>3400</v>
      </c>
      <c r="M1146" s="39" t="n">
        <v>1700</v>
      </c>
      <c r="N1146" s="38" t="s">
        <v>66</v>
      </c>
      <c r="O1146" s="38" t="n">
        <f aca="false">YEAR(B1146)</f>
        <v>2026</v>
      </c>
      <c r="P1146" s="41" t="n">
        <f aca="false">DATE(YEAR(B1146),MONTH(B1146),1)</f>
        <v>46143</v>
      </c>
      <c r="Q1146" s="0" t="str">
        <f aca="false">INDEX(Products!$C$2:$C$16,MATCH(E1146,Products!$A$2:$A$16,0))</f>
        <v>Technology</v>
      </c>
      <c r="R1146" s="0" t="str">
        <f aca="false">INDEX(Customers!$F$2:$F$101,MATCH(D1146,Customers!$A$2:$A$101,0))</f>
        <v>South</v>
      </c>
      <c r="S1146" s="0" t="str">
        <f aca="false">INDEX(Customers!$C$2:$C$101,MATCH(D1146,Customers!$A$2:$A$101,0))</f>
        <v>Consumer</v>
      </c>
      <c r="T1146" s="0" t="str">
        <f aca="false">INDEX(Customers!$D$2:$D$101,MATCH(D1146,Customers!$A$2:$A$101,0))</f>
        <v>Chennai</v>
      </c>
    </row>
    <row r="1147" customFormat="false" ht="15" hidden="false" customHeight="false" outlineLevel="0" collapsed="false">
      <c r="A1147" s="0" t="s">
        <v>1418</v>
      </c>
      <c r="B1147" s="37" t="n">
        <v>45646</v>
      </c>
      <c r="C1147" s="37" t="n">
        <v>45653</v>
      </c>
      <c r="D1147" s="38" t="s">
        <v>175</v>
      </c>
      <c r="E1147" s="38" t="s">
        <v>126</v>
      </c>
      <c r="F1147" s="38" t="s">
        <v>102</v>
      </c>
      <c r="G1147" s="38" t="s">
        <v>178</v>
      </c>
      <c r="H1147" s="0" t="n">
        <v>10</v>
      </c>
      <c r="I1147" s="39" t="n">
        <v>1200</v>
      </c>
      <c r="J1147" s="40" t="n">
        <v>0.1</v>
      </c>
      <c r="K1147" s="39" t="n">
        <v>10800</v>
      </c>
      <c r="L1147" s="39" t="n">
        <v>7000</v>
      </c>
      <c r="M1147" s="39" t="n">
        <v>3800</v>
      </c>
      <c r="N1147" s="38" t="s">
        <v>66</v>
      </c>
      <c r="O1147" s="38" t="n">
        <f aca="false">YEAR(B1147)</f>
        <v>2024</v>
      </c>
      <c r="P1147" s="41" t="n">
        <f aca="false">DATE(YEAR(B1147),MONTH(B1147),1)</f>
        <v>45627</v>
      </c>
      <c r="Q1147" s="0" t="str">
        <f aca="false">INDEX(Products!$C$2:$C$16,MATCH(E1147,Products!$A$2:$A$16,0))</f>
        <v>Furniture</v>
      </c>
      <c r="R1147" s="0" t="str">
        <f aca="false">INDEX(Customers!$F$2:$F$101,MATCH(D1147,Customers!$A$2:$A$101,0))</f>
        <v>North</v>
      </c>
      <c r="S1147" s="0" t="str">
        <f aca="false">INDEX(Customers!$C$2:$C$101,MATCH(D1147,Customers!$A$2:$A$101,0))</f>
        <v>Corporate</v>
      </c>
      <c r="T1147" s="0" t="str">
        <f aca="false">INDEX(Customers!$D$2:$D$101,MATCH(D1147,Customers!$A$2:$A$101,0))</f>
        <v>Jaipur</v>
      </c>
    </row>
    <row r="1148" customFormat="false" ht="15" hidden="false" customHeight="false" outlineLevel="0" collapsed="false">
      <c r="A1148" s="0" t="s">
        <v>1419</v>
      </c>
      <c r="B1148" s="37" t="n">
        <v>46266</v>
      </c>
      <c r="C1148" s="37" t="n">
        <v>46268</v>
      </c>
      <c r="D1148" s="38" t="s">
        <v>447</v>
      </c>
      <c r="E1148" s="38" t="s">
        <v>125</v>
      </c>
      <c r="F1148" s="38" t="s">
        <v>100</v>
      </c>
      <c r="G1148" s="38" t="s">
        <v>173</v>
      </c>
      <c r="H1148" s="0" t="n">
        <v>5</v>
      </c>
      <c r="I1148" s="39" t="n">
        <v>600</v>
      </c>
      <c r="J1148" s="40" t="n">
        <v>0</v>
      </c>
      <c r="K1148" s="39" t="n">
        <v>3000</v>
      </c>
      <c r="L1148" s="39" t="n">
        <v>1750</v>
      </c>
      <c r="M1148" s="39" t="n">
        <v>1250</v>
      </c>
      <c r="N1148" s="38" t="s">
        <v>66</v>
      </c>
      <c r="O1148" s="38" t="n">
        <f aca="false">YEAR(B1148)</f>
        <v>2026</v>
      </c>
      <c r="P1148" s="41" t="n">
        <f aca="false">DATE(YEAR(B1148),MONTH(B1148),1)</f>
        <v>46266</v>
      </c>
      <c r="Q1148" s="0" t="str">
        <f aca="false">INDEX(Products!$C$2:$C$16,MATCH(E1148,Products!$A$2:$A$16,0))</f>
        <v>Office Supplies</v>
      </c>
      <c r="R1148" s="0" t="str">
        <f aca="false">INDEX(Customers!$F$2:$F$101,MATCH(D1148,Customers!$A$2:$A$101,0))</f>
        <v>North</v>
      </c>
      <c r="S1148" s="0" t="str">
        <f aca="false">INDEX(Customers!$C$2:$C$101,MATCH(D1148,Customers!$A$2:$A$101,0))</f>
        <v>Corporate</v>
      </c>
      <c r="T1148" s="0" t="str">
        <f aca="false">INDEX(Customers!$D$2:$D$101,MATCH(D1148,Customers!$A$2:$A$101,0))</f>
        <v>Jaipur</v>
      </c>
    </row>
    <row r="1149" customFormat="false" ht="15" hidden="false" customHeight="false" outlineLevel="0" collapsed="false">
      <c r="A1149" s="0" t="s">
        <v>1420</v>
      </c>
      <c r="B1149" s="37" t="n">
        <v>46096</v>
      </c>
      <c r="C1149" s="37" t="n">
        <v>46101</v>
      </c>
      <c r="D1149" s="38" t="s">
        <v>433</v>
      </c>
      <c r="E1149" s="38" t="s">
        <v>122</v>
      </c>
      <c r="F1149" s="38" t="s">
        <v>101</v>
      </c>
      <c r="G1149" s="38" t="s">
        <v>170</v>
      </c>
      <c r="H1149" s="0" t="n">
        <v>4</v>
      </c>
      <c r="I1149" s="39" t="n">
        <v>5500</v>
      </c>
      <c r="J1149" s="40" t="n">
        <v>0.2</v>
      </c>
      <c r="K1149" s="39" t="n">
        <v>17600</v>
      </c>
      <c r="L1149" s="39" t="n">
        <v>14800</v>
      </c>
      <c r="M1149" s="39" t="n">
        <v>2800</v>
      </c>
      <c r="N1149" s="38" t="s">
        <v>66</v>
      </c>
      <c r="O1149" s="38" t="n">
        <f aca="false">YEAR(B1149)</f>
        <v>2026</v>
      </c>
      <c r="P1149" s="41" t="n">
        <f aca="false">DATE(YEAR(B1149),MONTH(B1149),1)</f>
        <v>46082</v>
      </c>
      <c r="Q1149" s="0" t="str">
        <f aca="false">INDEX(Products!$C$2:$C$16,MATCH(E1149,Products!$A$2:$A$16,0))</f>
        <v>Furniture</v>
      </c>
      <c r="R1149" s="0" t="str">
        <f aca="false">INDEX(Customers!$F$2:$F$101,MATCH(D1149,Customers!$A$2:$A$101,0))</f>
        <v>North</v>
      </c>
      <c r="S1149" s="0" t="str">
        <f aca="false">INDEX(Customers!$C$2:$C$101,MATCH(D1149,Customers!$A$2:$A$101,0))</f>
        <v>Consumer</v>
      </c>
      <c r="T1149" s="0" t="str">
        <f aca="false">INDEX(Customers!$D$2:$D$101,MATCH(D1149,Customers!$A$2:$A$101,0))</f>
        <v>Delhi</v>
      </c>
    </row>
    <row r="1150" customFormat="false" ht="15" hidden="false" customHeight="false" outlineLevel="0" collapsed="false">
      <c r="A1150" s="0" t="s">
        <v>1421</v>
      </c>
      <c r="B1150" s="37" t="n">
        <v>45484</v>
      </c>
      <c r="C1150" s="37" t="n">
        <v>45488</v>
      </c>
      <c r="D1150" s="38" t="s">
        <v>298</v>
      </c>
      <c r="E1150" s="38" t="s">
        <v>126</v>
      </c>
      <c r="F1150" s="38" t="s">
        <v>101</v>
      </c>
      <c r="G1150" s="38" t="s">
        <v>173</v>
      </c>
      <c r="H1150" s="0" t="n">
        <v>4</v>
      </c>
      <c r="I1150" s="39" t="n">
        <v>1200</v>
      </c>
      <c r="J1150" s="40" t="n">
        <v>0.2</v>
      </c>
      <c r="K1150" s="39" t="n">
        <v>3840</v>
      </c>
      <c r="L1150" s="39" t="n">
        <v>2800</v>
      </c>
      <c r="M1150" s="39" t="n">
        <v>1040</v>
      </c>
      <c r="N1150" s="38" t="s">
        <v>66</v>
      </c>
      <c r="O1150" s="38" t="n">
        <f aca="false">YEAR(B1150)</f>
        <v>2024</v>
      </c>
      <c r="P1150" s="41" t="n">
        <f aca="false">DATE(YEAR(B1150),MONTH(B1150),1)</f>
        <v>45474</v>
      </c>
      <c r="Q1150" s="0" t="str">
        <f aca="false">INDEX(Products!$C$2:$C$16,MATCH(E1150,Products!$A$2:$A$16,0))</f>
        <v>Furniture</v>
      </c>
      <c r="R1150" s="0" t="str">
        <f aca="false">INDEX(Customers!$F$2:$F$101,MATCH(D1150,Customers!$A$2:$A$101,0))</f>
        <v>North</v>
      </c>
      <c r="S1150" s="0" t="str">
        <f aca="false">INDEX(Customers!$C$2:$C$101,MATCH(D1150,Customers!$A$2:$A$101,0))</f>
        <v>Consumer</v>
      </c>
      <c r="T1150" s="0" t="str">
        <f aca="false">INDEX(Customers!$D$2:$D$101,MATCH(D1150,Customers!$A$2:$A$101,0))</f>
        <v>Lucknow</v>
      </c>
    </row>
    <row r="1151" customFormat="false" ht="15" hidden="false" customHeight="false" outlineLevel="0" collapsed="false">
      <c r="A1151" s="0" t="s">
        <v>1422</v>
      </c>
      <c r="B1151" s="37" t="n">
        <v>45675</v>
      </c>
      <c r="C1151" s="37" t="n">
        <v>45677</v>
      </c>
      <c r="D1151" s="38" t="s">
        <v>322</v>
      </c>
      <c r="E1151" s="38" t="s">
        <v>113</v>
      </c>
      <c r="F1151" s="38" t="s">
        <v>101</v>
      </c>
      <c r="G1151" s="38" t="s">
        <v>178</v>
      </c>
      <c r="H1151" s="0" t="n">
        <v>3</v>
      </c>
      <c r="I1151" s="39" t="n">
        <v>45000</v>
      </c>
      <c r="J1151" s="40" t="n">
        <v>0</v>
      </c>
      <c r="K1151" s="39" t="n">
        <v>135000</v>
      </c>
      <c r="L1151" s="39" t="n">
        <v>108000</v>
      </c>
      <c r="M1151" s="39" t="n">
        <v>27000</v>
      </c>
      <c r="N1151" s="38" t="s">
        <v>66</v>
      </c>
      <c r="O1151" s="38" t="n">
        <f aca="false">YEAR(B1151)</f>
        <v>2025</v>
      </c>
      <c r="P1151" s="41" t="n">
        <f aca="false">DATE(YEAR(B1151),MONTH(B1151),1)</f>
        <v>45658</v>
      </c>
      <c r="Q1151" s="0" t="str">
        <f aca="false">INDEX(Products!$C$2:$C$16,MATCH(E1151,Products!$A$2:$A$16,0))</f>
        <v>Technology</v>
      </c>
      <c r="R1151" s="0" t="str">
        <f aca="false">INDEX(Customers!$F$2:$F$101,MATCH(D1151,Customers!$A$2:$A$101,0))</f>
        <v>North</v>
      </c>
      <c r="S1151" s="0" t="str">
        <f aca="false">INDEX(Customers!$C$2:$C$101,MATCH(D1151,Customers!$A$2:$A$101,0))</f>
        <v>Consumer</v>
      </c>
      <c r="T1151" s="0" t="str">
        <f aca="false">INDEX(Customers!$D$2:$D$101,MATCH(D1151,Customers!$A$2:$A$101,0))</f>
        <v>Jaipur</v>
      </c>
    </row>
    <row r="1152" customFormat="false" ht="15" hidden="false" customHeight="false" outlineLevel="0" collapsed="false">
      <c r="A1152" s="0" t="s">
        <v>1423</v>
      </c>
      <c r="B1152" s="37" t="n">
        <v>45655</v>
      </c>
      <c r="C1152" s="37" t="n">
        <v>45658</v>
      </c>
      <c r="D1152" s="38" t="s">
        <v>522</v>
      </c>
      <c r="E1152" s="38" t="s">
        <v>126</v>
      </c>
      <c r="F1152" s="38" t="s">
        <v>102</v>
      </c>
      <c r="G1152" s="38" t="s">
        <v>185</v>
      </c>
      <c r="H1152" s="0" t="n">
        <v>1</v>
      </c>
      <c r="I1152" s="39" t="n">
        <v>1200</v>
      </c>
      <c r="J1152" s="40" t="n">
        <v>0.1</v>
      </c>
      <c r="K1152" s="39" t="n">
        <v>1080</v>
      </c>
      <c r="L1152" s="39" t="n">
        <v>700</v>
      </c>
      <c r="M1152" s="39" t="n">
        <v>380</v>
      </c>
      <c r="N1152" s="38" t="s">
        <v>66</v>
      </c>
      <c r="O1152" s="38" t="n">
        <f aca="false">YEAR(B1152)</f>
        <v>2024</v>
      </c>
      <c r="P1152" s="41" t="n">
        <f aca="false">DATE(YEAR(B1152),MONTH(B1152),1)</f>
        <v>45627</v>
      </c>
      <c r="Q1152" s="0" t="str">
        <f aca="false">INDEX(Products!$C$2:$C$16,MATCH(E1152,Products!$A$2:$A$16,0))</f>
        <v>Furniture</v>
      </c>
      <c r="R1152" s="0" t="str">
        <f aca="false">INDEX(Customers!$F$2:$F$101,MATCH(D1152,Customers!$A$2:$A$101,0))</f>
        <v>West</v>
      </c>
      <c r="S1152" s="0" t="str">
        <f aca="false">INDEX(Customers!$C$2:$C$101,MATCH(D1152,Customers!$A$2:$A$101,0))</f>
        <v>Consumer</v>
      </c>
      <c r="T1152" s="0" t="str">
        <f aca="false">INDEX(Customers!$D$2:$D$101,MATCH(D1152,Customers!$A$2:$A$101,0))</f>
        <v>Ahmedabad</v>
      </c>
    </row>
    <row r="1153" customFormat="false" ht="15" hidden="false" customHeight="false" outlineLevel="0" collapsed="false">
      <c r="A1153" s="0" t="s">
        <v>1424</v>
      </c>
      <c r="B1153" s="37" t="n">
        <v>45598</v>
      </c>
      <c r="C1153" s="37" t="n">
        <v>45601</v>
      </c>
      <c r="D1153" s="38" t="s">
        <v>182</v>
      </c>
      <c r="E1153" s="38" t="s">
        <v>121</v>
      </c>
      <c r="F1153" s="38" t="s">
        <v>100</v>
      </c>
      <c r="G1153" s="38" t="s">
        <v>173</v>
      </c>
      <c r="H1153" s="0" t="n">
        <v>3</v>
      </c>
      <c r="I1153" s="39" t="n">
        <v>180</v>
      </c>
      <c r="J1153" s="40" t="n">
        <v>0.15</v>
      </c>
      <c r="K1153" s="39" t="n">
        <v>459</v>
      </c>
      <c r="L1153" s="39" t="n">
        <v>210</v>
      </c>
      <c r="M1153" s="39" t="n">
        <v>249</v>
      </c>
      <c r="N1153" s="38" t="s">
        <v>66</v>
      </c>
      <c r="O1153" s="38" t="n">
        <f aca="false">YEAR(B1153)</f>
        <v>2024</v>
      </c>
      <c r="P1153" s="41" t="n">
        <f aca="false">DATE(YEAR(B1153),MONTH(B1153),1)</f>
        <v>45597</v>
      </c>
      <c r="Q1153" s="0" t="str">
        <f aca="false">INDEX(Products!$C$2:$C$16,MATCH(E1153,Products!$A$2:$A$16,0))</f>
        <v>Office Supplies</v>
      </c>
      <c r="R1153" s="0" t="str">
        <f aca="false">INDEX(Customers!$F$2:$F$101,MATCH(D1153,Customers!$A$2:$A$101,0))</f>
        <v>North</v>
      </c>
      <c r="S1153" s="0" t="str">
        <f aca="false">INDEX(Customers!$C$2:$C$101,MATCH(D1153,Customers!$A$2:$A$101,0))</f>
        <v>Small Business</v>
      </c>
      <c r="T1153" s="0" t="str">
        <f aca="false">INDEX(Customers!$D$2:$D$101,MATCH(D1153,Customers!$A$2:$A$101,0))</f>
        <v>Gurugram</v>
      </c>
    </row>
    <row r="1154" customFormat="false" ht="15" hidden="false" customHeight="false" outlineLevel="0" collapsed="false">
      <c r="A1154" s="0" t="s">
        <v>1425</v>
      </c>
      <c r="B1154" s="37" t="n">
        <v>45936</v>
      </c>
      <c r="C1154" s="37" t="n">
        <v>45943</v>
      </c>
      <c r="D1154" s="38" t="s">
        <v>498</v>
      </c>
      <c r="E1154" s="38" t="s">
        <v>122</v>
      </c>
      <c r="F1154" s="38" t="s">
        <v>102</v>
      </c>
      <c r="G1154" s="38" t="s">
        <v>185</v>
      </c>
      <c r="H1154" s="0" t="n">
        <v>3</v>
      </c>
      <c r="I1154" s="39" t="n">
        <v>5500</v>
      </c>
      <c r="J1154" s="40" t="n">
        <v>0.15</v>
      </c>
      <c r="K1154" s="39" t="n">
        <v>14025</v>
      </c>
      <c r="L1154" s="39" t="n">
        <v>11100</v>
      </c>
      <c r="M1154" s="39" t="n">
        <v>2925</v>
      </c>
      <c r="N1154" s="38" t="s">
        <v>147</v>
      </c>
      <c r="O1154" s="38" t="n">
        <f aca="false">YEAR(B1154)</f>
        <v>2025</v>
      </c>
      <c r="P1154" s="41" t="n">
        <f aca="false">DATE(YEAR(B1154),MONTH(B1154),1)</f>
        <v>45931</v>
      </c>
      <c r="Q1154" s="0" t="str">
        <f aca="false">INDEX(Products!$C$2:$C$16,MATCH(E1154,Products!$A$2:$A$16,0))</f>
        <v>Furniture</v>
      </c>
      <c r="R1154" s="0" t="str">
        <f aca="false">INDEX(Customers!$F$2:$F$101,MATCH(D1154,Customers!$A$2:$A$101,0))</f>
        <v>East</v>
      </c>
      <c r="S1154" s="0" t="str">
        <f aca="false">INDEX(Customers!$C$2:$C$101,MATCH(D1154,Customers!$A$2:$A$101,0))</f>
        <v>Consumer</v>
      </c>
      <c r="T1154" s="0" t="str">
        <f aca="false">INDEX(Customers!$D$2:$D$101,MATCH(D1154,Customers!$A$2:$A$101,0))</f>
        <v>Bhubaneswar</v>
      </c>
    </row>
    <row r="1155" customFormat="false" ht="15" hidden="false" customHeight="false" outlineLevel="0" collapsed="false">
      <c r="A1155" s="0" t="s">
        <v>1426</v>
      </c>
      <c r="B1155" s="37" t="n">
        <v>45357</v>
      </c>
      <c r="C1155" s="37" t="n">
        <v>45362</v>
      </c>
      <c r="D1155" s="38" t="s">
        <v>280</v>
      </c>
      <c r="E1155" s="38" t="s">
        <v>119</v>
      </c>
      <c r="F1155" s="38" t="s">
        <v>100</v>
      </c>
      <c r="G1155" s="38" t="s">
        <v>170</v>
      </c>
      <c r="H1155" s="0" t="n">
        <v>2</v>
      </c>
      <c r="I1155" s="39" t="n">
        <v>250</v>
      </c>
      <c r="J1155" s="40" t="n">
        <v>0.1</v>
      </c>
      <c r="K1155" s="39" t="n">
        <v>450</v>
      </c>
      <c r="L1155" s="39" t="n">
        <v>240</v>
      </c>
      <c r="M1155" s="39" t="n">
        <v>210</v>
      </c>
      <c r="N1155" s="38" t="s">
        <v>66</v>
      </c>
      <c r="O1155" s="38" t="n">
        <f aca="false">YEAR(B1155)</f>
        <v>2024</v>
      </c>
      <c r="P1155" s="41" t="n">
        <f aca="false">DATE(YEAR(B1155),MONTH(B1155),1)</f>
        <v>45352</v>
      </c>
      <c r="Q1155" s="0" t="str">
        <f aca="false">INDEX(Products!$C$2:$C$16,MATCH(E1155,Products!$A$2:$A$16,0))</f>
        <v>Office Supplies</v>
      </c>
      <c r="R1155" s="0" t="str">
        <f aca="false">INDEX(Customers!$F$2:$F$101,MATCH(D1155,Customers!$A$2:$A$101,0))</f>
        <v>North</v>
      </c>
      <c r="S1155" s="0" t="str">
        <f aca="false">INDEX(Customers!$C$2:$C$101,MATCH(D1155,Customers!$A$2:$A$101,0))</f>
        <v>Corporate</v>
      </c>
      <c r="T1155" s="0" t="str">
        <f aca="false">INDEX(Customers!$D$2:$D$101,MATCH(D1155,Customers!$A$2:$A$101,0))</f>
        <v>Jaipur</v>
      </c>
    </row>
    <row r="1156" customFormat="false" ht="15" hidden="false" customHeight="false" outlineLevel="0" collapsed="false">
      <c r="A1156" s="0" t="s">
        <v>1427</v>
      </c>
      <c r="B1156" s="37" t="n">
        <v>46208</v>
      </c>
      <c r="C1156" s="37" t="n">
        <v>46211</v>
      </c>
      <c r="D1156" s="38" t="s">
        <v>260</v>
      </c>
      <c r="E1156" s="38" t="s">
        <v>123</v>
      </c>
      <c r="F1156" s="38" t="s">
        <v>102</v>
      </c>
      <c r="G1156" s="38" t="s">
        <v>188</v>
      </c>
      <c r="H1156" s="0" t="n">
        <v>1</v>
      </c>
      <c r="I1156" s="39" t="n">
        <v>2200</v>
      </c>
      <c r="J1156" s="40" t="n">
        <v>0</v>
      </c>
      <c r="K1156" s="39" t="n">
        <v>2200</v>
      </c>
      <c r="L1156" s="39" t="n">
        <v>1300</v>
      </c>
      <c r="M1156" s="39" t="n">
        <v>900</v>
      </c>
      <c r="N1156" s="38" t="s">
        <v>66</v>
      </c>
      <c r="O1156" s="38" t="n">
        <f aca="false">YEAR(B1156)</f>
        <v>2026</v>
      </c>
      <c r="P1156" s="41" t="n">
        <f aca="false">DATE(YEAR(B1156),MONTH(B1156),1)</f>
        <v>46204</v>
      </c>
      <c r="Q1156" s="0" t="str">
        <f aca="false">INDEX(Products!$C$2:$C$16,MATCH(E1156,Products!$A$2:$A$16,0))</f>
        <v>Technology</v>
      </c>
      <c r="R1156" s="0" t="str">
        <f aca="false">INDEX(Customers!$F$2:$F$101,MATCH(D1156,Customers!$A$2:$A$101,0))</f>
        <v>West</v>
      </c>
      <c r="S1156" s="0" t="str">
        <f aca="false">INDEX(Customers!$C$2:$C$101,MATCH(D1156,Customers!$A$2:$A$101,0))</f>
        <v>Small Business</v>
      </c>
      <c r="T1156" s="0" t="str">
        <f aca="false">INDEX(Customers!$D$2:$D$101,MATCH(D1156,Customers!$A$2:$A$101,0))</f>
        <v>Mumbai</v>
      </c>
    </row>
    <row r="1157" customFormat="false" ht="15" hidden="false" customHeight="false" outlineLevel="0" collapsed="false">
      <c r="A1157" s="0" t="s">
        <v>1428</v>
      </c>
      <c r="B1157" s="37" t="n">
        <v>45792</v>
      </c>
      <c r="C1157" s="37" t="n">
        <v>45793</v>
      </c>
      <c r="D1157" s="38" t="s">
        <v>182</v>
      </c>
      <c r="E1157" s="38" t="s">
        <v>122</v>
      </c>
      <c r="F1157" s="38" t="s">
        <v>101</v>
      </c>
      <c r="G1157" s="38" t="s">
        <v>170</v>
      </c>
      <c r="H1157" s="0" t="n">
        <v>1</v>
      </c>
      <c r="I1157" s="39" t="n">
        <v>5500</v>
      </c>
      <c r="J1157" s="40" t="n">
        <v>0</v>
      </c>
      <c r="K1157" s="39" t="n">
        <v>5500</v>
      </c>
      <c r="L1157" s="39" t="n">
        <v>3700</v>
      </c>
      <c r="M1157" s="39" t="n">
        <v>1800</v>
      </c>
      <c r="N1157" s="38" t="s">
        <v>66</v>
      </c>
      <c r="O1157" s="38" t="n">
        <f aca="false">YEAR(B1157)</f>
        <v>2025</v>
      </c>
      <c r="P1157" s="41" t="n">
        <f aca="false">DATE(YEAR(B1157),MONTH(B1157),1)</f>
        <v>45778</v>
      </c>
      <c r="Q1157" s="0" t="str">
        <f aca="false">INDEX(Products!$C$2:$C$16,MATCH(E1157,Products!$A$2:$A$16,0))</f>
        <v>Furniture</v>
      </c>
      <c r="R1157" s="0" t="str">
        <f aca="false">INDEX(Customers!$F$2:$F$101,MATCH(D1157,Customers!$A$2:$A$101,0))</f>
        <v>North</v>
      </c>
      <c r="S1157" s="0" t="str">
        <f aca="false">INDEX(Customers!$C$2:$C$101,MATCH(D1157,Customers!$A$2:$A$101,0))</f>
        <v>Small Business</v>
      </c>
      <c r="T1157" s="0" t="str">
        <f aca="false">INDEX(Customers!$D$2:$D$101,MATCH(D1157,Customers!$A$2:$A$101,0))</f>
        <v>Gurugram</v>
      </c>
    </row>
    <row r="1158" customFormat="false" ht="15" hidden="false" customHeight="false" outlineLevel="0" collapsed="false">
      <c r="A1158" s="0" t="s">
        <v>1429</v>
      </c>
      <c r="B1158" s="37" t="n">
        <v>45828</v>
      </c>
      <c r="C1158" s="37" t="n">
        <v>45829</v>
      </c>
      <c r="D1158" s="38" t="s">
        <v>310</v>
      </c>
      <c r="E1158" s="38" t="s">
        <v>123</v>
      </c>
      <c r="F1158" s="38" t="s">
        <v>102</v>
      </c>
      <c r="G1158" s="38" t="s">
        <v>178</v>
      </c>
      <c r="H1158" s="0" t="n">
        <v>2</v>
      </c>
      <c r="I1158" s="39" t="n">
        <v>2200</v>
      </c>
      <c r="J1158" s="40" t="n">
        <v>0.05</v>
      </c>
      <c r="K1158" s="39" t="n">
        <v>4180</v>
      </c>
      <c r="L1158" s="39" t="n">
        <v>2600</v>
      </c>
      <c r="M1158" s="39" t="n">
        <v>1580</v>
      </c>
      <c r="N1158" s="38" t="s">
        <v>66</v>
      </c>
      <c r="O1158" s="38" t="n">
        <f aca="false">YEAR(B1158)</f>
        <v>2025</v>
      </c>
      <c r="P1158" s="41" t="n">
        <f aca="false">DATE(YEAR(B1158),MONTH(B1158),1)</f>
        <v>45809</v>
      </c>
      <c r="Q1158" s="0" t="str">
        <f aca="false">INDEX(Products!$C$2:$C$16,MATCH(E1158,Products!$A$2:$A$16,0))</f>
        <v>Technology</v>
      </c>
      <c r="R1158" s="0" t="str">
        <f aca="false">INDEX(Customers!$F$2:$F$101,MATCH(D1158,Customers!$A$2:$A$101,0))</f>
        <v>South</v>
      </c>
      <c r="S1158" s="0" t="str">
        <f aca="false">INDEX(Customers!$C$2:$C$101,MATCH(D1158,Customers!$A$2:$A$101,0))</f>
        <v>Small Business</v>
      </c>
      <c r="T1158" s="0" t="str">
        <f aca="false">INDEX(Customers!$D$2:$D$101,MATCH(D1158,Customers!$A$2:$A$101,0))</f>
        <v>Hyderabad</v>
      </c>
    </row>
    <row r="1159" customFormat="false" ht="15" hidden="false" customHeight="false" outlineLevel="0" collapsed="false">
      <c r="A1159" s="0" t="s">
        <v>1430</v>
      </c>
      <c r="B1159" s="37" t="n">
        <v>45452</v>
      </c>
      <c r="C1159" s="37" t="n">
        <v>45453</v>
      </c>
      <c r="D1159" s="38" t="s">
        <v>198</v>
      </c>
      <c r="E1159" s="38" t="s">
        <v>119</v>
      </c>
      <c r="F1159" s="38" t="s">
        <v>101</v>
      </c>
      <c r="G1159" s="38" t="s">
        <v>178</v>
      </c>
      <c r="H1159" s="0" t="n">
        <v>1</v>
      </c>
      <c r="I1159" s="39" t="n">
        <v>250</v>
      </c>
      <c r="J1159" s="40" t="n">
        <v>0.1</v>
      </c>
      <c r="K1159" s="39" t="n">
        <v>225</v>
      </c>
      <c r="L1159" s="39" t="n">
        <v>120</v>
      </c>
      <c r="M1159" s="39" t="n">
        <v>105</v>
      </c>
      <c r="N1159" s="38" t="s">
        <v>66</v>
      </c>
      <c r="O1159" s="38" t="n">
        <f aca="false">YEAR(B1159)</f>
        <v>2024</v>
      </c>
      <c r="P1159" s="41" t="n">
        <f aca="false">DATE(YEAR(B1159),MONTH(B1159),1)</f>
        <v>45444</v>
      </c>
      <c r="Q1159" s="0" t="str">
        <f aca="false">INDEX(Products!$C$2:$C$16,MATCH(E1159,Products!$A$2:$A$16,0))</f>
        <v>Office Supplies</v>
      </c>
      <c r="R1159" s="0" t="str">
        <f aca="false">INDEX(Customers!$F$2:$F$101,MATCH(D1159,Customers!$A$2:$A$101,0))</f>
        <v>North</v>
      </c>
      <c r="S1159" s="0" t="str">
        <f aca="false">INDEX(Customers!$C$2:$C$101,MATCH(D1159,Customers!$A$2:$A$101,0))</f>
        <v>Consumer</v>
      </c>
      <c r="T1159" s="0" t="str">
        <f aca="false">INDEX(Customers!$D$2:$D$101,MATCH(D1159,Customers!$A$2:$A$101,0))</f>
        <v>Gurugram</v>
      </c>
    </row>
    <row r="1160" customFormat="false" ht="15" hidden="false" customHeight="false" outlineLevel="0" collapsed="false">
      <c r="A1160" s="0" t="s">
        <v>1431</v>
      </c>
      <c r="B1160" s="37" t="n">
        <v>46183</v>
      </c>
      <c r="C1160" s="37" t="n">
        <v>46185</v>
      </c>
      <c r="D1160" s="38" t="s">
        <v>280</v>
      </c>
      <c r="E1160" s="38" t="s">
        <v>115</v>
      </c>
      <c r="F1160" s="38" t="s">
        <v>102</v>
      </c>
      <c r="G1160" s="38" t="s">
        <v>185</v>
      </c>
      <c r="H1160" s="0" t="n">
        <v>2</v>
      </c>
      <c r="I1160" s="39" t="n">
        <v>1500</v>
      </c>
      <c r="J1160" s="40" t="n">
        <v>0.25</v>
      </c>
      <c r="K1160" s="39" t="n">
        <v>2250</v>
      </c>
      <c r="L1160" s="39" t="n">
        <v>1700</v>
      </c>
      <c r="M1160" s="39" t="n">
        <v>550</v>
      </c>
      <c r="N1160" s="38" t="s">
        <v>66</v>
      </c>
      <c r="O1160" s="38" t="n">
        <f aca="false">YEAR(B1160)</f>
        <v>2026</v>
      </c>
      <c r="P1160" s="41" t="n">
        <f aca="false">DATE(YEAR(B1160),MONTH(B1160),1)</f>
        <v>46174</v>
      </c>
      <c r="Q1160" s="0" t="str">
        <f aca="false">INDEX(Products!$C$2:$C$16,MATCH(E1160,Products!$A$2:$A$16,0))</f>
        <v>Technology</v>
      </c>
      <c r="R1160" s="0" t="str">
        <f aca="false">INDEX(Customers!$F$2:$F$101,MATCH(D1160,Customers!$A$2:$A$101,0))</f>
        <v>North</v>
      </c>
      <c r="S1160" s="0" t="str">
        <f aca="false">INDEX(Customers!$C$2:$C$101,MATCH(D1160,Customers!$A$2:$A$101,0))</f>
        <v>Corporate</v>
      </c>
      <c r="T1160" s="0" t="str">
        <f aca="false">INDEX(Customers!$D$2:$D$101,MATCH(D1160,Customers!$A$2:$A$101,0))</f>
        <v>Jaipur</v>
      </c>
    </row>
    <row r="1161" customFormat="false" ht="15" hidden="false" customHeight="false" outlineLevel="0" collapsed="false">
      <c r="A1161" s="0" t="s">
        <v>1432</v>
      </c>
      <c r="B1161" s="37" t="n">
        <v>45893</v>
      </c>
      <c r="C1161" s="37" t="n">
        <v>45895</v>
      </c>
      <c r="D1161" s="38" t="s">
        <v>409</v>
      </c>
      <c r="E1161" s="38" t="s">
        <v>117</v>
      </c>
      <c r="F1161" s="38" t="s">
        <v>101</v>
      </c>
      <c r="G1161" s="38" t="s">
        <v>170</v>
      </c>
      <c r="H1161" s="0" t="n">
        <v>2</v>
      </c>
      <c r="I1161" s="39" t="n">
        <v>6500</v>
      </c>
      <c r="J1161" s="40" t="n">
        <v>0.2</v>
      </c>
      <c r="K1161" s="39" t="n">
        <v>10400</v>
      </c>
      <c r="L1161" s="39" t="n">
        <v>8400</v>
      </c>
      <c r="M1161" s="39" t="n">
        <v>2000</v>
      </c>
      <c r="N1161" s="38" t="s">
        <v>66</v>
      </c>
      <c r="O1161" s="38" t="n">
        <f aca="false">YEAR(B1161)</f>
        <v>2025</v>
      </c>
      <c r="P1161" s="41" t="n">
        <f aca="false">DATE(YEAR(B1161),MONTH(B1161),1)</f>
        <v>45870</v>
      </c>
      <c r="Q1161" s="0" t="str">
        <f aca="false">INDEX(Products!$C$2:$C$16,MATCH(E1161,Products!$A$2:$A$16,0))</f>
        <v>Furniture</v>
      </c>
      <c r="R1161" s="0" t="str">
        <f aca="false">INDEX(Customers!$F$2:$F$101,MATCH(D1161,Customers!$A$2:$A$101,0))</f>
        <v>East</v>
      </c>
      <c r="S1161" s="0" t="str">
        <f aca="false">INDEX(Customers!$C$2:$C$101,MATCH(D1161,Customers!$A$2:$A$101,0))</f>
        <v>Small Business</v>
      </c>
      <c r="T1161" s="0" t="str">
        <f aca="false">INDEX(Customers!$D$2:$D$101,MATCH(D1161,Customers!$A$2:$A$101,0))</f>
        <v>Bhubaneswar</v>
      </c>
    </row>
    <row r="1162" customFormat="false" ht="15" hidden="false" customHeight="false" outlineLevel="0" collapsed="false">
      <c r="A1162" s="0" t="s">
        <v>1433</v>
      </c>
      <c r="B1162" s="37" t="n">
        <v>45357</v>
      </c>
      <c r="C1162" s="37" t="n">
        <v>45364</v>
      </c>
      <c r="D1162" s="38" t="s">
        <v>338</v>
      </c>
      <c r="E1162" s="38" t="s">
        <v>120</v>
      </c>
      <c r="F1162" s="38" t="s">
        <v>100</v>
      </c>
      <c r="G1162" s="38" t="s">
        <v>188</v>
      </c>
      <c r="H1162" s="0" t="n">
        <v>2</v>
      </c>
      <c r="I1162" s="39" t="n">
        <v>400</v>
      </c>
      <c r="J1162" s="40" t="n">
        <v>0.25</v>
      </c>
      <c r="K1162" s="39" t="n">
        <v>600</v>
      </c>
      <c r="L1162" s="39" t="n">
        <v>520</v>
      </c>
      <c r="M1162" s="39" t="n">
        <v>80</v>
      </c>
      <c r="N1162" s="38" t="s">
        <v>66</v>
      </c>
      <c r="O1162" s="38" t="n">
        <f aca="false">YEAR(B1162)</f>
        <v>2024</v>
      </c>
      <c r="P1162" s="41" t="n">
        <f aca="false">DATE(YEAR(B1162),MONTH(B1162),1)</f>
        <v>45352</v>
      </c>
      <c r="Q1162" s="0" t="str">
        <f aca="false">INDEX(Products!$C$2:$C$16,MATCH(E1162,Products!$A$2:$A$16,0))</f>
        <v>Office Supplies</v>
      </c>
      <c r="R1162" s="0" t="str">
        <f aca="false">INDEX(Customers!$F$2:$F$101,MATCH(D1162,Customers!$A$2:$A$101,0))</f>
        <v>East</v>
      </c>
      <c r="S1162" s="0" t="str">
        <f aca="false">INDEX(Customers!$C$2:$C$101,MATCH(D1162,Customers!$A$2:$A$101,0))</f>
        <v>Small Business</v>
      </c>
      <c r="T1162" s="0" t="str">
        <f aca="false">INDEX(Customers!$D$2:$D$101,MATCH(D1162,Customers!$A$2:$A$101,0))</f>
        <v>Bhubaneswar</v>
      </c>
    </row>
    <row r="1163" customFormat="false" ht="15" hidden="false" customHeight="false" outlineLevel="0" collapsed="false">
      <c r="A1163" s="0" t="s">
        <v>1434</v>
      </c>
      <c r="B1163" s="37" t="n">
        <v>45794</v>
      </c>
      <c r="C1163" s="37" t="n">
        <v>45798</v>
      </c>
      <c r="D1163" s="38" t="s">
        <v>224</v>
      </c>
      <c r="E1163" s="38" t="s">
        <v>127</v>
      </c>
      <c r="F1163" s="38" t="s">
        <v>102</v>
      </c>
      <c r="G1163" s="38" t="s">
        <v>178</v>
      </c>
      <c r="H1163" s="0" t="n">
        <v>2</v>
      </c>
      <c r="I1163" s="39" t="n">
        <v>18000</v>
      </c>
      <c r="J1163" s="40" t="n">
        <v>0</v>
      </c>
      <c r="K1163" s="39" t="n">
        <v>36000</v>
      </c>
      <c r="L1163" s="39" t="n">
        <v>28000</v>
      </c>
      <c r="M1163" s="39" t="n">
        <v>8000</v>
      </c>
      <c r="N1163" s="38" t="s">
        <v>66</v>
      </c>
      <c r="O1163" s="38" t="n">
        <f aca="false">YEAR(B1163)</f>
        <v>2025</v>
      </c>
      <c r="P1163" s="41" t="n">
        <f aca="false">DATE(YEAR(B1163),MONTH(B1163),1)</f>
        <v>45778</v>
      </c>
      <c r="Q1163" s="0" t="str">
        <f aca="false">INDEX(Products!$C$2:$C$16,MATCH(E1163,Products!$A$2:$A$16,0))</f>
        <v>Technology</v>
      </c>
      <c r="R1163" s="0" t="str">
        <f aca="false">INDEX(Customers!$F$2:$F$101,MATCH(D1163,Customers!$A$2:$A$101,0))</f>
        <v>North</v>
      </c>
      <c r="S1163" s="0" t="str">
        <f aca="false">INDEX(Customers!$C$2:$C$101,MATCH(D1163,Customers!$A$2:$A$101,0))</f>
        <v>Small Business</v>
      </c>
      <c r="T1163" s="0" t="str">
        <f aca="false">INDEX(Customers!$D$2:$D$101,MATCH(D1163,Customers!$A$2:$A$101,0))</f>
        <v>Jaipur</v>
      </c>
    </row>
    <row r="1164" customFormat="false" ht="15" hidden="false" customHeight="false" outlineLevel="0" collapsed="false">
      <c r="A1164" s="0" t="s">
        <v>1435</v>
      </c>
      <c r="B1164" s="37" t="n">
        <v>46009</v>
      </c>
      <c r="C1164" s="37" t="n">
        <v>46016</v>
      </c>
      <c r="D1164" s="38" t="s">
        <v>227</v>
      </c>
      <c r="E1164" s="38" t="s">
        <v>118</v>
      </c>
      <c r="F1164" s="38" t="s">
        <v>101</v>
      </c>
      <c r="G1164" s="38" t="s">
        <v>188</v>
      </c>
      <c r="H1164" s="0" t="n">
        <v>4</v>
      </c>
      <c r="I1164" s="39" t="n">
        <v>9000</v>
      </c>
      <c r="J1164" s="40" t="n">
        <v>0.05</v>
      </c>
      <c r="K1164" s="39" t="n">
        <v>34200</v>
      </c>
      <c r="L1164" s="39" t="n">
        <v>26000</v>
      </c>
      <c r="M1164" s="39" t="n">
        <v>8200</v>
      </c>
      <c r="N1164" s="38" t="s">
        <v>66</v>
      </c>
      <c r="O1164" s="38" t="n">
        <f aca="false">YEAR(B1164)</f>
        <v>2025</v>
      </c>
      <c r="P1164" s="41" t="n">
        <f aca="false">DATE(YEAR(B1164),MONTH(B1164),1)</f>
        <v>45992</v>
      </c>
      <c r="Q1164" s="0" t="str">
        <f aca="false">INDEX(Products!$C$2:$C$16,MATCH(E1164,Products!$A$2:$A$16,0))</f>
        <v>Furniture</v>
      </c>
      <c r="R1164" s="0" t="str">
        <f aca="false">INDEX(Customers!$F$2:$F$101,MATCH(D1164,Customers!$A$2:$A$101,0))</f>
        <v>North</v>
      </c>
      <c r="S1164" s="0" t="str">
        <f aca="false">INDEX(Customers!$C$2:$C$101,MATCH(D1164,Customers!$A$2:$A$101,0))</f>
        <v>Consumer</v>
      </c>
      <c r="T1164" s="0" t="str">
        <f aca="false">INDEX(Customers!$D$2:$D$101,MATCH(D1164,Customers!$A$2:$A$101,0))</f>
        <v>Delhi</v>
      </c>
    </row>
    <row r="1165" customFormat="false" ht="15" hidden="false" customHeight="false" outlineLevel="0" collapsed="false">
      <c r="A1165" s="0" t="s">
        <v>1436</v>
      </c>
      <c r="B1165" s="37" t="n">
        <v>45547</v>
      </c>
      <c r="C1165" s="37" t="n">
        <v>45549</v>
      </c>
      <c r="D1165" s="38" t="s">
        <v>246</v>
      </c>
      <c r="E1165" s="38" t="s">
        <v>119</v>
      </c>
      <c r="F1165" s="38" t="s">
        <v>101</v>
      </c>
      <c r="G1165" s="38" t="s">
        <v>185</v>
      </c>
      <c r="H1165" s="0" t="n">
        <v>6</v>
      </c>
      <c r="I1165" s="39" t="n">
        <v>250</v>
      </c>
      <c r="J1165" s="40" t="n">
        <v>0.2</v>
      </c>
      <c r="K1165" s="39" t="n">
        <v>1200</v>
      </c>
      <c r="L1165" s="39" t="n">
        <v>720</v>
      </c>
      <c r="M1165" s="39" t="n">
        <v>480</v>
      </c>
      <c r="N1165" s="38" t="s">
        <v>66</v>
      </c>
      <c r="O1165" s="38" t="n">
        <f aca="false">YEAR(B1165)</f>
        <v>2024</v>
      </c>
      <c r="P1165" s="41" t="n">
        <f aca="false">DATE(YEAR(B1165),MONTH(B1165),1)</f>
        <v>45536</v>
      </c>
      <c r="Q1165" s="0" t="str">
        <f aca="false">INDEX(Products!$C$2:$C$16,MATCH(E1165,Products!$A$2:$A$16,0))</f>
        <v>Office Supplies</v>
      </c>
      <c r="R1165" s="0" t="str">
        <f aca="false">INDEX(Customers!$F$2:$F$101,MATCH(D1165,Customers!$A$2:$A$101,0))</f>
        <v>North</v>
      </c>
      <c r="S1165" s="0" t="str">
        <f aca="false">INDEX(Customers!$C$2:$C$101,MATCH(D1165,Customers!$A$2:$A$101,0))</f>
        <v>Consumer</v>
      </c>
      <c r="T1165" s="0" t="str">
        <f aca="false">INDEX(Customers!$D$2:$D$101,MATCH(D1165,Customers!$A$2:$A$101,0))</f>
        <v>Jaipur</v>
      </c>
    </row>
    <row r="1166" customFormat="false" ht="15" hidden="false" customHeight="false" outlineLevel="0" collapsed="false">
      <c r="A1166" s="0" t="s">
        <v>1437</v>
      </c>
      <c r="B1166" s="37" t="n">
        <v>46007</v>
      </c>
      <c r="C1166" s="37" t="n">
        <v>46012</v>
      </c>
      <c r="D1166" s="38" t="s">
        <v>522</v>
      </c>
      <c r="E1166" s="38" t="s">
        <v>115</v>
      </c>
      <c r="F1166" s="38" t="s">
        <v>100</v>
      </c>
      <c r="G1166" s="38" t="s">
        <v>173</v>
      </c>
      <c r="H1166" s="0" t="n">
        <v>1</v>
      </c>
      <c r="I1166" s="39" t="n">
        <v>1500</v>
      </c>
      <c r="J1166" s="40" t="n">
        <v>0.2</v>
      </c>
      <c r="K1166" s="39" t="n">
        <v>1200</v>
      </c>
      <c r="L1166" s="39" t="n">
        <v>850</v>
      </c>
      <c r="M1166" s="39" t="n">
        <v>350</v>
      </c>
      <c r="N1166" s="38" t="s">
        <v>66</v>
      </c>
      <c r="O1166" s="38" t="n">
        <f aca="false">YEAR(B1166)</f>
        <v>2025</v>
      </c>
      <c r="P1166" s="41" t="n">
        <f aca="false">DATE(YEAR(B1166),MONTH(B1166),1)</f>
        <v>45992</v>
      </c>
      <c r="Q1166" s="0" t="str">
        <f aca="false">INDEX(Products!$C$2:$C$16,MATCH(E1166,Products!$A$2:$A$16,0))</f>
        <v>Technology</v>
      </c>
      <c r="R1166" s="0" t="str">
        <f aca="false">INDEX(Customers!$F$2:$F$101,MATCH(D1166,Customers!$A$2:$A$101,0))</f>
        <v>West</v>
      </c>
      <c r="S1166" s="0" t="str">
        <f aca="false">INDEX(Customers!$C$2:$C$101,MATCH(D1166,Customers!$A$2:$A$101,0))</f>
        <v>Consumer</v>
      </c>
      <c r="T1166" s="0" t="str">
        <f aca="false">INDEX(Customers!$D$2:$D$101,MATCH(D1166,Customers!$A$2:$A$101,0))</f>
        <v>Ahmedabad</v>
      </c>
    </row>
    <row r="1167" customFormat="false" ht="15" hidden="false" customHeight="false" outlineLevel="0" collapsed="false">
      <c r="A1167" s="0" t="s">
        <v>1438</v>
      </c>
      <c r="B1167" s="37" t="n">
        <v>46195</v>
      </c>
      <c r="C1167" s="37" t="n">
        <v>46201</v>
      </c>
      <c r="D1167" s="38" t="s">
        <v>404</v>
      </c>
      <c r="E1167" s="38" t="s">
        <v>117</v>
      </c>
      <c r="F1167" s="38" t="s">
        <v>100</v>
      </c>
      <c r="G1167" s="38" t="s">
        <v>173</v>
      </c>
      <c r="H1167" s="0" t="n">
        <v>2</v>
      </c>
      <c r="I1167" s="39" t="n">
        <v>6500</v>
      </c>
      <c r="J1167" s="40" t="n">
        <v>0.2</v>
      </c>
      <c r="K1167" s="39" t="n">
        <v>10400</v>
      </c>
      <c r="L1167" s="39" t="n">
        <v>8400</v>
      </c>
      <c r="M1167" s="39" t="n">
        <v>2000</v>
      </c>
      <c r="N1167" s="38" t="s">
        <v>66</v>
      </c>
      <c r="O1167" s="38" t="n">
        <f aca="false">YEAR(B1167)</f>
        <v>2026</v>
      </c>
      <c r="P1167" s="41" t="n">
        <f aca="false">DATE(YEAR(B1167),MONTH(B1167),1)</f>
        <v>46174</v>
      </c>
      <c r="Q1167" s="0" t="str">
        <f aca="false">INDEX(Products!$C$2:$C$16,MATCH(E1167,Products!$A$2:$A$16,0))</f>
        <v>Furniture</v>
      </c>
      <c r="R1167" s="0" t="str">
        <f aca="false">INDEX(Customers!$F$2:$F$101,MATCH(D1167,Customers!$A$2:$A$101,0))</f>
        <v>West</v>
      </c>
      <c r="S1167" s="0" t="str">
        <f aca="false">INDEX(Customers!$C$2:$C$101,MATCH(D1167,Customers!$A$2:$A$101,0))</f>
        <v>Small Business</v>
      </c>
      <c r="T1167" s="0" t="str">
        <f aca="false">INDEX(Customers!$D$2:$D$101,MATCH(D1167,Customers!$A$2:$A$101,0))</f>
        <v>Mumbai</v>
      </c>
    </row>
    <row r="1168" customFormat="false" ht="15" hidden="false" customHeight="false" outlineLevel="0" collapsed="false">
      <c r="A1168" s="0" t="s">
        <v>1439</v>
      </c>
      <c r="B1168" s="37" t="n">
        <v>45858</v>
      </c>
      <c r="C1168" s="37" t="n">
        <v>45859</v>
      </c>
      <c r="D1168" s="38" t="s">
        <v>198</v>
      </c>
      <c r="E1168" s="38" t="s">
        <v>125</v>
      </c>
      <c r="F1168" s="38" t="s">
        <v>100</v>
      </c>
      <c r="G1168" s="38" t="s">
        <v>188</v>
      </c>
      <c r="H1168" s="0" t="n">
        <v>10</v>
      </c>
      <c r="I1168" s="39" t="n">
        <v>600</v>
      </c>
      <c r="J1168" s="40" t="n">
        <v>0</v>
      </c>
      <c r="K1168" s="39" t="n">
        <v>6000</v>
      </c>
      <c r="L1168" s="39" t="n">
        <v>3500</v>
      </c>
      <c r="M1168" s="39" t="n">
        <v>2500</v>
      </c>
      <c r="N1168" s="38" t="s">
        <v>66</v>
      </c>
      <c r="O1168" s="38" t="n">
        <f aca="false">YEAR(B1168)</f>
        <v>2025</v>
      </c>
      <c r="P1168" s="41" t="n">
        <f aca="false">DATE(YEAR(B1168),MONTH(B1168),1)</f>
        <v>45839</v>
      </c>
      <c r="Q1168" s="0" t="str">
        <f aca="false">INDEX(Products!$C$2:$C$16,MATCH(E1168,Products!$A$2:$A$16,0))</f>
        <v>Office Supplies</v>
      </c>
      <c r="R1168" s="0" t="str">
        <f aca="false">INDEX(Customers!$F$2:$F$101,MATCH(D1168,Customers!$A$2:$A$101,0))</f>
        <v>North</v>
      </c>
      <c r="S1168" s="0" t="str">
        <f aca="false">INDEX(Customers!$C$2:$C$101,MATCH(D1168,Customers!$A$2:$A$101,0))</f>
        <v>Consumer</v>
      </c>
      <c r="T1168" s="0" t="str">
        <f aca="false">INDEX(Customers!$D$2:$D$101,MATCH(D1168,Customers!$A$2:$A$101,0))</f>
        <v>Gurugram</v>
      </c>
    </row>
    <row r="1169" customFormat="false" ht="15" hidden="false" customHeight="false" outlineLevel="0" collapsed="false">
      <c r="A1169" s="0" t="s">
        <v>1440</v>
      </c>
      <c r="B1169" s="37" t="n">
        <v>45753</v>
      </c>
      <c r="C1169" s="37" t="n">
        <v>45755</v>
      </c>
      <c r="D1169" s="38" t="s">
        <v>390</v>
      </c>
      <c r="E1169" s="38" t="s">
        <v>119</v>
      </c>
      <c r="F1169" s="38" t="s">
        <v>100</v>
      </c>
      <c r="G1169" s="38" t="s">
        <v>185</v>
      </c>
      <c r="H1169" s="0" t="n">
        <v>1</v>
      </c>
      <c r="I1169" s="39" t="n">
        <v>250</v>
      </c>
      <c r="J1169" s="40" t="n">
        <v>0.15</v>
      </c>
      <c r="K1169" s="39" t="n">
        <v>212.5</v>
      </c>
      <c r="L1169" s="39" t="n">
        <v>120</v>
      </c>
      <c r="M1169" s="39" t="n">
        <v>92.5</v>
      </c>
      <c r="N1169" s="38" t="s">
        <v>66</v>
      </c>
      <c r="O1169" s="38" t="n">
        <f aca="false">YEAR(B1169)</f>
        <v>2025</v>
      </c>
      <c r="P1169" s="41" t="n">
        <f aca="false">DATE(YEAR(B1169),MONTH(B1169),1)</f>
        <v>45748</v>
      </c>
      <c r="Q1169" s="0" t="str">
        <f aca="false">INDEX(Products!$C$2:$C$16,MATCH(E1169,Products!$A$2:$A$16,0))</f>
        <v>Office Supplies</v>
      </c>
      <c r="R1169" s="0" t="str">
        <f aca="false">INDEX(Customers!$F$2:$F$101,MATCH(D1169,Customers!$A$2:$A$101,0))</f>
        <v>South</v>
      </c>
      <c r="S1169" s="0" t="str">
        <f aca="false">INDEX(Customers!$C$2:$C$101,MATCH(D1169,Customers!$A$2:$A$101,0))</f>
        <v>Consumer</v>
      </c>
      <c r="T1169" s="0" t="str">
        <f aca="false">INDEX(Customers!$D$2:$D$101,MATCH(D1169,Customers!$A$2:$A$101,0))</f>
        <v>Chennai</v>
      </c>
    </row>
    <row r="1170" customFormat="false" ht="15" hidden="false" customHeight="false" outlineLevel="0" collapsed="false">
      <c r="A1170" s="0" t="s">
        <v>1441</v>
      </c>
      <c r="B1170" s="37" t="n">
        <v>45983</v>
      </c>
      <c r="C1170" s="37" t="n">
        <v>45989</v>
      </c>
      <c r="D1170" s="38" t="s">
        <v>348</v>
      </c>
      <c r="E1170" s="38" t="s">
        <v>124</v>
      </c>
      <c r="F1170" s="38" t="s">
        <v>102</v>
      </c>
      <c r="G1170" s="38" t="s">
        <v>185</v>
      </c>
      <c r="H1170" s="0" t="n">
        <v>2</v>
      </c>
      <c r="I1170" s="39" t="n">
        <v>3000</v>
      </c>
      <c r="J1170" s="40" t="n">
        <v>0.05</v>
      </c>
      <c r="K1170" s="39" t="n">
        <v>5700</v>
      </c>
      <c r="L1170" s="39" t="n">
        <v>3800</v>
      </c>
      <c r="M1170" s="39" t="n">
        <v>1900</v>
      </c>
      <c r="N1170" s="38" t="s">
        <v>66</v>
      </c>
      <c r="O1170" s="38" t="n">
        <f aca="false">YEAR(B1170)</f>
        <v>2025</v>
      </c>
      <c r="P1170" s="41" t="n">
        <f aca="false">DATE(YEAR(B1170),MONTH(B1170),1)</f>
        <v>45962</v>
      </c>
      <c r="Q1170" s="0" t="str">
        <f aca="false">INDEX(Products!$C$2:$C$16,MATCH(E1170,Products!$A$2:$A$16,0))</f>
        <v>Technology</v>
      </c>
      <c r="R1170" s="0" t="str">
        <f aca="false">INDEX(Customers!$F$2:$F$101,MATCH(D1170,Customers!$A$2:$A$101,0))</f>
        <v>East</v>
      </c>
      <c r="S1170" s="0" t="str">
        <f aca="false">INDEX(Customers!$C$2:$C$101,MATCH(D1170,Customers!$A$2:$A$101,0))</f>
        <v>Corporate</v>
      </c>
      <c r="T1170" s="0" t="str">
        <f aca="false">INDEX(Customers!$D$2:$D$101,MATCH(D1170,Customers!$A$2:$A$101,0))</f>
        <v>Kolkata</v>
      </c>
    </row>
    <row r="1171" customFormat="false" ht="15" hidden="false" customHeight="false" outlineLevel="0" collapsed="false">
      <c r="A1171" s="0" t="s">
        <v>1442</v>
      </c>
      <c r="B1171" s="37" t="n">
        <v>45302</v>
      </c>
      <c r="C1171" s="37" t="n">
        <v>45305</v>
      </c>
      <c r="D1171" s="38" t="s">
        <v>371</v>
      </c>
      <c r="E1171" s="38" t="s">
        <v>113</v>
      </c>
      <c r="F1171" s="38" t="s">
        <v>101</v>
      </c>
      <c r="G1171" s="38" t="s">
        <v>185</v>
      </c>
      <c r="H1171" s="0" t="n">
        <v>1</v>
      </c>
      <c r="I1171" s="39" t="n">
        <v>45000</v>
      </c>
      <c r="J1171" s="40" t="n">
        <v>0</v>
      </c>
      <c r="K1171" s="39" t="n">
        <v>45000</v>
      </c>
      <c r="L1171" s="39" t="n">
        <v>36000</v>
      </c>
      <c r="M1171" s="39" t="n">
        <v>9000</v>
      </c>
      <c r="N1171" s="38" t="s">
        <v>66</v>
      </c>
      <c r="O1171" s="38" t="n">
        <f aca="false">YEAR(B1171)</f>
        <v>2024</v>
      </c>
      <c r="P1171" s="41" t="n">
        <f aca="false">DATE(YEAR(B1171),MONTH(B1171),1)</f>
        <v>45292</v>
      </c>
      <c r="Q1171" s="0" t="str">
        <f aca="false">INDEX(Products!$C$2:$C$16,MATCH(E1171,Products!$A$2:$A$16,0))</f>
        <v>Technology</v>
      </c>
      <c r="R1171" s="0" t="str">
        <f aca="false">INDEX(Customers!$F$2:$F$101,MATCH(D1171,Customers!$A$2:$A$101,0))</f>
        <v>South</v>
      </c>
      <c r="S1171" s="0" t="str">
        <f aca="false">INDEX(Customers!$C$2:$C$101,MATCH(D1171,Customers!$A$2:$A$101,0))</f>
        <v>Consumer</v>
      </c>
      <c r="T1171" s="0" t="str">
        <f aca="false">INDEX(Customers!$D$2:$D$101,MATCH(D1171,Customers!$A$2:$A$101,0))</f>
        <v>Bengaluru</v>
      </c>
    </row>
    <row r="1172" customFormat="false" ht="15" hidden="false" customHeight="false" outlineLevel="0" collapsed="false">
      <c r="A1172" s="0" t="s">
        <v>1443</v>
      </c>
      <c r="B1172" s="37" t="n">
        <v>45853</v>
      </c>
      <c r="C1172" s="37" t="n">
        <v>45859</v>
      </c>
      <c r="D1172" s="38" t="s">
        <v>326</v>
      </c>
      <c r="E1172" s="38" t="s">
        <v>114</v>
      </c>
      <c r="F1172" s="38" t="s">
        <v>100</v>
      </c>
      <c r="G1172" s="38" t="s">
        <v>185</v>
      </c>
      <c r="H1172" s="0" t="n">
        <v>1</v>
      </c>
      <c r="I1172" s="39" t="n">
        <v>800</v>
      </c>
      <c r="J1172" s="40" t="n">
        <v>0.1</v>
      </c>
      <c r="K1172" s="39" t="n">
        <v>720</v>
      </c>
      <c r="L1172" s="39" t="n">
        <v>420</v>
      </c>
      <c r="M1172" s="39" t="n">
        <v>300</v>
      </c>
      <c r="N1172" s="38" t="s">
        <v>66</v>
      </c>
      <c r="O1172" s="38" t="n">
        <f aca="false">YEAR(B1172)</f>
        <v>2025</v>
      </c>
      <c r="P1172" s="41" t="n">
        <f aca="false">DATE(YEAR(B1172),MONTH(B1172),1)</f>
        <v>45839</v>
      </c>
      <c r="Q1172" s="0" t="str">
        <f aca="false">INDEX(Products!$C$2:$C$16,MATCH(E1172,Products!$A$2:$A$16,0))</f>
        <v>Technology</v>
      </c>
      <c r="R1172" s="0" t="str">
        <f aca="false">INDEX(Customers!$F$2:$F$101,MATCH(D1172,Customers!$A$2:$A$101,0))</f>
        <v>North</v>
      </c>
      <c r="S1172" s="0" t="str">
        <f aca="false">INDEX(Customers!$C$2:$C$101,MATCH(D1172,Customers!$A$2:$A$101,0))</f>
        <v>Consumer</v>
      </c>
      <c r="T1172" s="0" t="str">
        <f aca="false">INDEX(Customers!$D$2:$D$101,MATCH(D1172,Customers!$A$2:$A$101,0))</f>
        <v>Gurugram</v>
      </c>
    </row>
    <row r="1173" customFormat="false" ht="15" hidden="false" customHeight="false" outlineLevel="0" collapsed="false">
      <c r="A1173" s="0" t="s">
        <v>1444</v>
      </c>
      <c r="B1173" s="37" t="n">
        <v>46150</v>
      </c>
      <c r="C1173" s="37" t="n">
        <v>46151</v>
      </c>
      <c r="D1173" s="38" t="s">
        <v>404</v>
      </c>
      <c r="E1173" s="38" t="s">
        <v>115</v>
      </c>
      <c r="F1173" s="38" t="s">
        <v>101</v>
      </c>
      <c r="G1173" s="38" t="s">
        <v>178</v>
      </c>
      <c r="H1173" s="0" t="n">
        <v>3</v>
      </c>
      <c r="I1173" s="39" t="n">
        <v>1500</v>
      </c>
      <c r="J1173" s="40" t="n">
        <v>0</v>
      </c>
      <c r="K1173" s="39" t="n">
        <v>4500</v>
      </c>
      <c r="L1173" s="39" t="n">
        <v>2550</v>
      </c>
      <c r="M1173" s="39" t="n">
        <v>1950</v>
      </c>
      <c r="N1173" s="38" t="s">
        <v>66</v>
      </c>
      <c r="O1173" s="38" t="n">
        <f aca="false">YEAR(B1173)</f>
        <v>2026</v>
      </c>
      <c r="P1173" s="41" t="n">
        <f aca="false">DATE(YEAR(B1173),MONTH(B1173),1)</f>
        <v>46143</v>
      </c>
      <c r="Q1173" s="0" t="str">
        <f aca="false">INDEX(Products!$C$2:$C$16,MATCH(E1173,Products!$A$2:$A$16,0))</f>
        <v>Technology</v>
      </c>
      <c r="R1173" s="0" t="str">
        <f aca="false">INDEX(Customers!$F$2:$F$101,MATCH(D1173,Customers!$A$2:$A$101,0))</f>
        <v>West</v>
      </c>
      <c r="S1173" s="0" t="str">
        <f aca="false">INDEX(Customers!$C$2:$C$101,MATCH(D1173,Customers!$A$2:$A$101,0))</f>
        <v>Small Business</v>
      </c>
      <c r="T1173" s="0" t="str">
        <f aca="false">INDEX(Customers!$D$2:$D$101,MATCH(D1173,Customers!$A$2:$A$101,0))</f>
        <v>Mumbai</v>
      </c>
    </row>
    <row r="1174" customFormat="false" ht="15" hidden="false" customHeight="false" outlineLevel="0" collapsed="false">
      <c r="A1174" s="0" t="s">
        <v>1445</v>
      </c>
      <c r="B1174" s="37" t="n">
        <v>45371</v>
      </c>
      <c r="C1174" s="37" t="n">
        <v>45377</v>
      </c>
      <c r="D1174" s="38" t="s">
        <v>371</v>
      </c>
      <c r="E1174" s="38" t="s">
        <v>115</v>
      </c>
      <c r="F1174" s="38" t="s">
        <v>101</v>
      </c>
      <c r="G1174" s="38" t="s">
        <v>173</v>
      </c>
      <c r="H1174" s="0" t="n">
        <v>4</v>
      </c>
      <c r="I1174" s="39" t="n">
        <v>1500</v>
      </c>
      <c r="J1174" s="40" t="n">
        <v>0.2</v>
      </c>
      <c r="K1174" s="39" t="n">
        <v>4800</v>
      </c>
      <c r="L1174" s="39" t="n">
        <v>3400</v>
      </c>
      <c r="M1174" s="39" t="n">
        <v>1400</v>
      </c>
      <c r="N1174" s="38" t="s">
        <v>66</v>
      </c>
      <c r="O1174" s="38" t="n">
        <f aca="false">YEAR(B1174)</f>
        <v>2024</v>
      </c>
      <c r="P1174" s="41" t="n">
        <f aca="false">DATE(YEAR(B1174),MONTH(B1174),1)</f>
        <v>45352</v>
      </c>
      <c r="Q1174" s="0" t="str">
        <f aca="false">INDEX(Products!$C$2:$C$16,MATCH(E1174,Products!$A$2:$A$16,0))</f>
        <v>Technology</v>
      </c>
      <c r="R1174" s="0" t="str">
        <f aca="false">INDEX(Customers!$F$2:$F$101,MATCH(D1174,Customers!$A$2:$A$101,0))</f>
        <v>South</v>
      </c>
      <c r="S1174" s="0" t="str">
        <f aca="false">INDEX(Customers!$C$2:$C$101,MATCH(D1174,Customers!$A$2:$A$101,0))</f>
        <v>Consumer</v>
      </c>
      <c r="T1174" s="0" t="str">
        <f aca="false">INDEX(Customers!$D$2:$D$101,MATCH(D1174,Customers!$A$2:$A$101,0))</f>
        <v>Bengaluru</v>
      </c>
    </row>
    <row r="1175" customFormat="false" ht="15" hidden="false" customHeight="false" outlineLevel="0" collapsed="false">
      <c r="A1175" s="0" t="s">
        <v>1446</v>
      </c>
      <c r="B1175" s="37" t="n">
        <v>46023</v>
      </c>
      <c r="C1175" s="37" t="n">
        <v>46024</v>
      </c>
      <c r="D1175" s="38" t="s">
        <v>246</v>
      </c>
      <c r="E1175" s="38" t="s">
        <v>116</v>
      </c>
      <c r="F1175" s="38" t="s">
        <v>100</v>
      </c>
      <c r="G1175" s="38" t="s">
        <v>185</v>
      </c>
      <c r="H1175" s="0" t="n">
        <v>6</v>
      </c>
      <c r="I1175" s="39" t="n">
        <v>12000</v>
      </c>
      <c r="J1175" s="40" t="n">
        <v>0.15</v>
      </c>
      <c r="K1175" s="39" t="n">
        <v>61200</v>
      </c>
      <c r="L1175" s="39" t="n">
        <v>54000</v>
      </c>
      <c r="M1175" s="39" t="n">
        <v>7200</v>
      </c>
      <c r="N1175" s="38" t="s">
        <v>66</v>
      </c>
      <c r="O1175" s="38" t="n">
        <f aca="false">YEAR(B1175)</f>
        <v>2026</v>
      </c>
      <c r="P1175" s="41" t="n">
        <f aca="false">DATE(YEAR(B1175),MONTH(B1175),1)</f>
        <v>46023</v>
      </c>
      <c r="Q1175" s="0" t="str">
        <f aca="false">INDEX(Products!$C$2:$C$16,MATCH(E1175,Products!$A$2:$A$16,0))</f>
        <v>Technology</v>
      </c>
      <c r="R1175" s="0" t="str">
        <f aca="false">INDEX(Customers!$F$2:$F$101,MATCH(D1175,Customers!$A$2:$A$101,0))</f>
        <v>North</v>
      </c>
      <c r="S1175" s="0" t="str">
        <f aca="false">INDEX(Customers!$C$2:$C$101,MATCH(D1175,Customers!$A$2:$A$101,0))</f>
        <v>Consumer</v>
      </c>
      <c r="T1175" s="0" t="str">
        <f aca="false">INDEX(Customers!$D$2:$D$101,MATCH(D1175,Customers!$A$2:$A$101,0))</f>
        <v>Jaipur</v>
      </c>
    </row>
    <row r="1176" customFormat="false" ht="15" hidden="false" customHeight="false" outlineLevel="0" collapsed="false">
      <c r="A1176" s="0" t="s">
        <v>1447</v>
      </c>
      <c r="B1176" s="37" t="n">
        <v>45827</v>
      </c>
      <c r="C1176" s="37" t="n">
        <v>45833</v>
      </c>
      <c r="D1176" s="38" t="s">
        <v>348</v>
      </c>
      <c r="E1176" s="38" t="s">
        <v>125</v>
      </c>
      <c r="F1176" s="38" t="s">
        <v>100</v>
      </c>
      <c r="G1176" s="38" t="s">
        <v>185</v>
      </c>
      <c r="H1176" s="0" t="n">
        <v>3</v>
      </c>
      <c r="I1176" s="39" t="n">
        <v>600</v>
      </c>
      <c r="J1176" s="40" t="n">
        <v>0.2</v>
      </c>
      <c r="K1176" s="39" t="n">
        <v>1440</v>
      </c>
      <c r="L1176" s="39" t="n">
        <v>1050</v>
      </c>
      <c r="M1176" s="39" t="n">
        <v>390</v>
      </c>
      <c r="N1176" s="38" t="s">
        <v>66</v>
      </c>
      <c r="O1176" s="38" t="n">
        <f aca="false">YEAR(B1176)</f>
        <v>2025</v>
      </c>
      <c r="P1176" s="41" t="n">
        <f aca="false">DATE(YEAR(B1176),MONTH(B1176),1)</f>
        <v>45809</v>
      </c>
      <c r="Q1176" s="0" t="str">
        <f aca="false">INDEX(Products!$C$2:$C$16,MATCH(E1176,Products!$A$2:$A$16,0))</f>
        <v>Office Supplies</v>
      </c>
      <c r="R1176" s="0" t="str">
        <f aca="false">INDEX(Customers!$F$2:$F$101,MATCH(D1176,Customers!$A$2:$A$101,0))</f>
        <v>East</v>
      </c>
      <c r="S1176" s="0" t="str">
        <f aca="false">INDEX(Customers!$C$2:$C$101,MATCH(D1176,Customers!$A$2:$A$101,0))</f>
        <v>Corporate</v>
      </c>
      <c r="T1176" s="0" t="str">
        <f aca="false">INDEX(Customers!$D$2:$D$101,MATCH(D1176,Customers!$A$2:$A$101,0))</f>
        <v>Kolkata</v>
      </c>
    </row>
    <row r="1177" customFormat="false" ht="15" hidden="false" customHeight="false" outlineLevel="0" collapsed="false">
      <c r="A1177" s="0" t="s">
        <v>1448</v>
      </c>
      <c r="B1177" s="37" t="n">
        <v>45904</v>
      </c>
      <c r="C1177" s="37" t="n">
        <v>45905</v>
      </c>
      <c r="D1177" s="38" t="s">
        <v>172</v>
      </c>
      <c r="E1177" s="38" t="s">
        <v>113</v>
      </c>
      <c r="F1177" s="38" t="s">
        <v>100</v>
      </c>
      <c r="G1177" s="38" t="s">
        <v>173</v>
      </c>
      <c r="H1177" s="0" t="n">
        <v>1</v>
      </c>
      <c r="I1177" s="39" t="n">
        <v>45000</v>
      </c>
      <c r="J1177" s="40" t="n">
        <v>0.1</v>
      </c>
      <c r="K1177" s="39" t="n">
        <v>40500</v>
      </c>
      <c r="L1177" s="39" t="n">
        <v>36000</v>
      </c>
      <c r="M1177" s="39" t="n">
        <v>4500</v>
      </c>
      <c r="N1177" s="38" t="s">
        <v>66</v>
      </c>
      <c r="O1177" s="38" t="n">
        <f aca="false">YEAR(B1177)</f>
        <v>2025</v>
      </c>
      <c r="P1177" s="41" t="n">
        <f aca="false">DATE(YEAR(B1177),MONTH(B1177),1)</f>
        <v>45901</v>
      </c>
      <c r="Q1177" s="0" t="str">
        <f aca="false">INDEX(Products!$C$2:$C$16,MATCH(E1177,Products!$A$2:$A$16,0))</f>
        <v>Technology</v>
      </c>
      <c r="R1177" s="0" t="str">
        <f aca="false">INDEX(Customers!$F$2:$F$101,MATCH(D1177,Customers!$A$2:$A$101,0))</f>
        <v>East</v>
      </c>
      <c r="S1177" s="0" t="str">
        <f aca="false">INDEX(Customers!$C$2:$C$101,MATCH(D1177,Customers!$A$2:$A$101,0))</f>
        <v>Consumer</v>
      </c>
      <c r="T1177" s="0" t="str">
        <f aca="false">INDEX(Customers!$D$2:$D$101,MATCH(D1177,Customers!$A$2:$A$101,0))</f>
        <v>Bhubaneswar</v>
      </c>
    </row>
    <row r="1178" customFormat="false" ht="15" hidden="false" customHeight="false" outlineLevel="0" collapsed="false">
      <c r="A1178" s="0" t="s">
        <v>1449</v>
      </c>
      <c r="B1178" s="37" t="n">
        <v>45385</v>
      </c>
      <c r="C1178" s="37" t="n">
        <v>45386</v>
      </c>
      <c r="D1178" s="38" t="s">
        <v>407</v>
      </c>
      <c r="E1178" s="38" t="s">
        <v>116</v>
      </c>
      <c r="F1178" s="38" t="s">
        <v>101</v>
      </c>
      <c r="G1178" s="38" t="s">
        <v>173</v>
      </c>
      <c r="H1178" s="0" t="n">
        <v>2</v>
      </c>
      <c r="I1178" s="39" t="n">
        <v>12000</v>
      </c>
      <c r="J1178" s="40" t="n">
        <v>0</v>
      </c>
      <c r="K1178" s="39" t="n">
        <v>24000</v>
      </c>
      <c r="L1178" s="39" t="n">
        <v>18000</v>
      </c>
      <c r="M1178" s="39" t="n">
        <v>6000</v>
      </c>
      <c r="N1178" s="38" t="s">
        <v>66</v>
      </c>
      <c r="O1178" s="38" t="n">
        <f aca="false">YEAR(B1178)</f>
        <v>2024</v>
      </c>
      <c r="P1178" s="41" t="n">
        <f aca="false">DATE(YEAR(B1178),MONTH(B1178),1)</f>
        <v>45383</v>
      </c>
      <c r="Q1178" s="0" t="str">
        <f aca="false">INDEX(Products!$C$2:$C$16,MATCH(E1178,Products!$A$2:$A$16,0))</f>
        <v>Technology</v>
      </c>
      <c r="R1178" s="0" t="str">
        <f aca="false">INDEX(Customers!$F$2:$F$101,MATCH(D1178,Customers!$A$2:$A$101,0))</f>
        <v>North</v>
      </c>
      <c r="S1178" s="0" t="str">
        <f aca="false">INDEX(Customers!$C$2:$C$101,MATCH(D1178,Customers!$A$2:$A$101,0))</f>
        <v>Small Business</v>
      </c>
      <c r="T1178" s="0" t="str">
        <f aca="false">INDEX(Customers!$D$2:$D$101,MATCH(D1178,Customers!$A$2:$A$101,0))</f>
        <v>Delhi</v>
      </c>
    </row>
    <row r="1179" customFormat="false" ht="15" hidden="false" customHeight="false" outlineLevel="0" collapsed="false">
      <c r="A1179" s="0" t="s">
        <v>1450</v>
      </c>
      <c r="B1179" s="37" t="n">
        <v>46273</v>
      </c>
      <c r="C1179" s="37" t="n">
        <v>46274</v>
      </c>
      <c r="D1179" s="38" t="s">
        <v>326</v>
      </c>
      <c r="E1179" s="38" t="s">
        <v>116</v>
      </c>
      <c r="F1179" s="38" t="s">
        <v>102</v>
      </c>
      <c r="G1179" s="38" t="s">
        <v>173</v>
      </c>
      <c r="H1179" s="0" t="n">
        <v>4</v>
      </c>
      <c r="I1179" s="39" t="n">
        <v>12000</v>
      </c>
      <c r="J1179" s="40" t="n">
        <v>0.25</v>
      </c>
      <c r="K1179" s="39" t="n">
        <v>36000</v>
      </c>
      <c r="L1179" s="39" t="n">
        <v>36000</v>
      </c>
      <c r="M1179" s="39" t="n">
        <v>0</v>
      </c>
      <c r="N1179" s="38" t="s">
        <v>66</v>
      </c>
      <c r="O1179" s="38" t="n">
        <f aca="false">YEAR(B1179)</f>
        <v>2026</v>
      </c>
      <c r="P1179" s="41" t="n">
        <f aca="false">DATE(YEAR(B1179),MONTH(B1179),1)</f>
        <v>46266</v>
      </c>
      <c r="Q1179" s="0" t="str">
        <f aca="false">INDEX(Products!$C$2:$C$16,MATCH(E1179,Products!$A$2:$A$16,0))</f>
        <v>Technology</v>
      </c>
      <c r="R1179" s="0" t="str">
        <f aca="false">INDEX(Customers!$F$2:$F$101,MATCH(D1179,Customers!$A$2:$A$101,0))</f>
        <v>North</v>
      </c>
      <c r="S1179" s="0" t="str">
        <f aca="false">INDEX(Customers!$C$2:$C$101,MATCH(D1179,Customers!$A$2:$A$101,0))</f>
        <v>Consumer</v>
      </c>
      <c r="T1179" s="0" t="str">
        <f aca="false">INDEX(Customers!$D$2:$D$101,MATCH(D1179,Customers!$A$2:$A$101,0))</f>
        <v>Gurugram</v>
      </c>
    </row>
    <row r="1180" customFormat="false" ht="15" hidden="false" customHeight="false" outlineLevel="0" collapsed="false">
      <c r="A1180" s="0" t="s">
        <v>1451</v>
      </c>
      <c r="B1180" s="37" t="n">
        <v>45816</v>
      </c>
      <c r="C1180" s="37" t="n">
        <v>45817</v>
      </c>
      <c r="D1180" s="38" t="s">
        <v>302</v>
      </c>
      <c r="E1180" s="38" t="s">
        <v>119</v>
      </c>
      <c r="F1180" s="38" t="s">
        <v>102</v>
      </c>
      <c r="G1180" s="38" t="s">
        <v>173</v>
      </c>
      <c r="H1180" s="0" t="n">
        <v>5</v>
      </c>
      <c r="I1180" s="39" t="n">
        <v>250</v>
      </c>
      <c r="J1180" s="40" t="n">
        <v>0.05</v>
      </c>
      <c r="K1180" s="39" t="n">
        <v>1187.5</v>
      </c>
      <c r="L1180" s="39" t="n">
        <v>600</v>
      </c>
      <c r="M1180" s="39" t="n">
        <v>587.5</v>
      </c>
      <c r="N1180" s="38" t="s">
        <v>66</v>
      </c>
      <c r="O1180" s="38" t="n">
        <f aca="false">YEAR(B1180)</f>
        <v>2025</v>
      </c>
      <c r="P1180" s="41" t="n">
        <f aca="false">DATE(YEAR(B1180),MONTH(B1180),1)</f>
        <v>45809</v>
      </c>
      <c r="Q1180" s="0" t="str">
        <f aca="false">INDEX(Products!$C$2:$C$16,MATCH(E1180,Products!$A$2:$A$16,0))</f>
        <v>Office Supplies</v>
      </c>
      <c r="R1180" s="0" t="str">
        <f aca="false">INDEX(Customers!$F$2:$F$101,MATCH(D1180,Customers!$A$2:$A$101,0))</f>
        <v>East</v>
      </c>
      <c r="S1180" s="0" t="str">
        <f aca="false">INDEX(Customers!$C$2:$C$101,MATCH(D1180,Customers!$A$2:$A$101,0))</f>
        <v>Consumer</v>
      </c>
      <c r="T1180" s="0" t="str">
        <f aca="false">INDEX(Customers!$D$2:$D$101,MATCH(D1180,Customers!$A$2:$A$101,0))</f>
        <v>Bhubaneswar</v>
      </c>
    </row>
    <row r="1181" customFormat="false" ht="15" hidden="false" customHeight="false" outlineLevel="0" collapsed="false">
      <c r="A1181" s="0" t="s">
        <v>1452</v>
      </c>
      <c r="B1181" s="37" t="n">
        <v>46253</v>
      </c>
      <c r="C1181" s="37" t="n">
        <v>46257</v>
      </c>
      <c r="D1181" s="38" t="s">
        <v>204</v>
      </c>
      <c r="E1181" s="38" t="s">
        <v>119</v>
      </c>
      <c r="F1181" s="38" t="s">
        <v>100</v>
      </c>
      <c r="G1181" s="38" t="s">
        <v>170</v>
      </c>
      <c r="H1181" s="0" t="n">
        <v>1</v>
      </c>
      <c r="I1181" s="39" t="n">
        <v>250</v>
      </c>
      <c r="J1181" s="40" t="n">
        <v>0</v>
      </c>
      <c r="K1181" s="39" t="n">
        <v>250</v>
      </c>
      <c r="L1181" s="39" t="n">
        <v>120</v>
      </c>
      <c r="M1181" s="39" t="n">
        <v>130</v>
      </c>
      <c r="N1181" s="38" t="s">
        <v>66</v>
      </c>
      <c r="O1181" s="38" t="n">
        <f aca="false">YEAR(B1181)</f>
        <v>2026</v>
      </c>
      <c r="P1181" s="41" t="n">
        <f aca="false">DATE(YEAR(B1181),MONTH(B1181),1)</f>
        <v>46235</v>
      </c>
      <c r="Q1181" s="0" t="str">
        <f aca="false">INDEX(Products!$C$2:$C$16,MATCH(E1181,Products!$A$2:$A$16,0))</f>
        <v>Office Supplies</v>
      </c>
      <c r="R1181" s="0" t="str">
        <f aca="false">INDEX(Customers!$F$2:$F$101,MATCH(D1181,Customers!$A$2:$A$101,0))</f>
        <v>South</v>
      </c>
      <c r="S1181" s="0" t="str">
        <f aca="false">INDEX(Customers!$C$2:$C$101,MATCH(D1181,Customers!$A$2:$A$101,0))</f>
        <v>Small Business</v>
      </c>
      <c r="T1181" s="0" t="str">
        <f aca="false">INDEX(Customers!$D$2:$D$101,MATCH(D1181,Customers!$A$2:$A$101,0))</f>
        <v>Bengaluru</v>
      </c>
    </row>
    <row r="1182" customFormat="false" ht="15" hidden="false" customHeight="false" outlineLevel="0" collapsed="false">
      <c r="A1182" s="0" t="s">
        <v>1453</v>
      </c>
      <c r="B1182" s="37" t="n">
        <v>45961</v>
      </c>
      <c r="C1182" s="37" t="n">
        <v>45964</v>
      </c>
      <c r="D1182" s="38" t="s">
        <v>470</v>
      </c>
      <c r="E1182" s="38" t="s">
        <v>119</v>
      </c>
      <c r="F1182" s="38" t="s">
        <v>101</v>
      </c>
      <c r="G1182" s="38" t="s">
        <v>173</v>
      </c>
      <c r="H1182" s="0" t="n">
        <v>1</v>
      </c>
      <c r="I1182" s="39" t="n">
        <v>250</v>
      </c>
      <c r="J1182" s="40" t="n">
        <v>0</v>
      </c>
      <c r="K1182" s="39" t="n">
        <v>250</v>
      </c>
      <c r="L1182" s="39" t="n">
        <v>120</v>
      </c>
      <c r="M1182" s="39" t="n">
        <v>130</v>
      </c>
      <c r="N1182" s="38" t="s">
        <v>66</v>
      </c>
      <c r="O1182" s="38" t="n">
        <f aca="false">YEAR(B1182)</f>
        <v>2025</v>
      </c>
      <c r="P1182" s="41" t="n">
        <f aca="false">DATE(YEAR(B1182),MONTH(B1182),1)</f>
        <v>45931</v>
      </c>
      <c r="Q1182" s="0" t="str">
        <f aca="false">INDEX(Products!$C$2:$C$16,MATCH(E1182,Products!$A$2:$A$16,0))</f>
        <v>Office Supplies</v>
      </c>
      <c r="R1182" s="0" t="str">
        <f aca="false">INDEX(Customers!$F$2:$F$101,MATCH(D1182,Customers!$A$2:$A$101,0))</f>
        <v>North</v>
      </c>
      <c r="S1182" s="0" t="str">
        <f aca="false">INDEX(Customers!$C$2:$C$101,MATCH(D1182,Customers!$A$2:$A$101,0))</f>
        <v>Small Business</v>
      </c>
      <c r="T1182" s="0" t="str">
        <f aca="false">INDEX(Customers!$D$2:$D$101,MATCH(D1182,Customers!$A$2:$A$101,0))</f>
        <v>Lucknow</v>
      </c>
    </row>
    <row r="1183" customFormat="false" ht="15" hidden="false" customHeight="false" outlineLevel="0" collapsed="false">
      <c r="A1183" s="0" t="s">
        <v>1454</v>
      </c>
      <c r="B1183" s="37" t="n">
        <v>45930</v>
      </c>
      <c r="C1183" s="37" t="n">
        <v>45933</v>
      </c>
      <c r="D1183" s="38" t="s">
        <v>194</v>
      </c>
      <c r="E1183" s="38" t="s">
        <v>123</v>
      </c>
      <c r="F1183" s="38" t="s">
        <v>101</v>
      </c>
      <c r="G1183" s="38" t="s">
        <v>170</v>
      </c>
      <c r="H1183" s="0" t="n">
        <v>1</v>
      </c>
      <c r="I1183" s="39" t="n">
        <v>2200</v>
      </c>
      <c r="J1183" s="40" t="n">
        <v>0</v>
      </c>
      <c r="K1183" s="39" t="n">
        <v>2200</v>
      </c>
      <c r="L1183" s="39" t="n">
        <v>1300</v>
      </c>
      <c r="M1183" s="39" t="n">
        <v>900</v>
      </c>
      <c r="N1183" s="38" t="s">
        <v>66</v>
      </c>
      <c r="O1183" s="38" t="n">
        <f aca="false">YEAR(B1183)</f>
        <v>2025</v>
      </c>
      <c r="P1183" s="41" t="n">
        <f aca="false">DATE(YEAR(B1183),MONTH(B1183),1)</f>
        <v>45901</v>
      </c>
      <c r="Q1183" s="0" t="str">
        <f aca="false">INDEX(Products!$C$2:$C$16,MATCH(E1183,Products!$A$2:$A$16,0))</f>
        <v>Technology</v>
      </c>
      <c r="R1183" s="0" t="str">
        <f aca="false">INDEX(Customers!$F$2:$F$101,MATCH(D1183,Customers!$A$2:$A$101,0))</f>
        <v>North</v>
      </c>
      <c r="S1183" s="0" t="str">
        <f aca="false">INDEX(Customers!$C$2:$C$101,MATCH(D1183,Customers!$A$2:$A$101,0))</f>
        <v>Small Business</v>
      </c>
      <c r="T1183" s="0" t="str">
        <f aca="false">INDEX(Customers!$D$2:$D$101,MATCH(D1183,Customers!$A$2:$A$101,0))</f>
        <v>Gurugram</v>
      </c>
    </row>
    <row r="1184" customFormat="false" ht="15" hidden="false" customHeight="false" outlineLevel="0" collapsed="false">
      <c r="A1184" s="0" t="s">
        <v>1455</v>
      </c>
      <c r="B1184" s="37" t="n">
        <v>46021</v>
      </c>
      <c r="C1184" s="37" t="n">
        <v>46026</v>
      </c>
      <c r="D1184" s="38" t="s">
        <v>467</v>
      </c>
      <c r="E1184" s="38" t="s">
        <v>114</v>
      </c>
      <c r="F1184" s="38" t="s">
        <v>102</v>
      </c>
      <c r="G1184" s="38" t="s">
        <v>173</v>
      </c>
      <c r="H1184" s="0" t="n">
        <v>4</v>
      </c>
      <c r="I1184" s="39" t="n">
        <v>800</v>
      </c>
      <c r="J1184" s="40" t="n">
        <v>0.25</v>
      </c>
      <c r="K1184" s="39" t="n">
        <v>2400</v>
      </c>
      <c r="L1184" s="39" t="n">
        <v>1680</v>
      </c>
      <c r="M1184" s="39" t="n">
        <v>720</v>
      </c>
      <c r="N1184" s="38" t="s">
        <v>66</v>
      </c>
      <c r="O1184" s="38" t="n">
        <f aca="false">YEAR(B1184)</f>
        <v>2025</v>
      </c>
      <c r="P1184" s="41" t="n">
        <f aca="false">DATE(YEAR(B1184),MONTH(B1184),1)</f>
        <v>45992</v>
      </c>
      <c r="Q1184" s="0" t="str">
        <f aca="false">INDEX(Products!$C$2:$C$16,MATCH(E1184,Products!$A$2:$A$16,0))</f>
        <v>Technology</v>
      </c>
      <c r="R1184" s="0" t="str">
        <f aca="false">INDEX(Customers!$F$2:$F$101,MATCH(D1184,Customers!$A$2:$A$101,0))</f>
        <v>West</v>
      </c>
      <c r="S1184" s="0" t="str">
        <f aca="false">INDEX(Customers!$C$2:$C$101,MATCH(D1184,Customers!$A$2:$A$101,0))</f>
        <v>Corporate</v>
      </c>
      <c r="T1184" s="0" t="str">
        <f aca="false">INDEX(Customers!$D$2:$D$101,MATCH(D1184,Customers!$A$2:$A$101,0))</f>
        <v>Ahmedabad</v>
      </c>
    </row>
    <row r="1185" customFormat="false" ht="15" hidden="false" customHeight="false" outlineLevel="0" collapsed="false">
      <c r="A1185" s="0" t="s">
        <v>1456</v>
      </c>
      <c r="B1185" s="37" t="n">
        <v>45624</v>
      </c>
      <c r="C1185" s="37" t="n">
        <v>45630</v>
      </c>
      <c r="D1185" s="38" t="s">
        <v>354</v>
      </c>
      <c r="E1185" s="38" t="s">
        <v>122</v>
      </c>
      <c r="F1185" s="38" t="s">
        <v>102</v>
      </c>
      <c r="G1185" s="38" t="s">
        <v>173</v>
      </c>
      <c r="H1185" s="0" t="n">
        <v>3</v>
      </c>
      <c r="I1185" s="39" t="n">
        <v>5500</v>
      </c>
      <c r="J1185" s="40" t="n">
        <v>0.2</v>
      </c>
      <c r="K1185" s="39" t="n">
        <v>13200</v>
      </c>
      <c r="L1185" s="39" t="n">
        <v>11100</v>
      </c>
      <c r="M1185" s="39" t="n">
        <v>2100</v>
      </c>
      <c r="N1185" s="38" t="s">
        <v>66</v>
      </c>
      <c r="O1185" s="38" t="n">
        <f aca="false">YEAR(B1185)</f>
        <v>2024</v>
      </c>
      <c r="P1185" s="41" t="n">
        <f aca="false">DATE(YEAR(B1185),MONTH(B1185),1)</f>
        <v>45597</v>
      </c>
      <c r="Q1185" s="0" t="str">
        <f aca="false">INDEX(Products!$C$2:$C$16,MATCH(E1185,Products!$A$2:$A$16,0))</f>
        <v>Furniture</v>
      </c>
      <c r="R1185" s="0" t="str">
        <f aca="false">INDEX(Customers!$F$2:$F$101,MATCH(D1185,Customers!$A$2:$A$101,0))</f>
        <v>East</v>
      </c>
      <c r="S1185" s="0" t="str">
        <f aca="false">INDEX(Customers!$C$2:$C$101,MATCH(D1185,Customers!$A$2:$A$101,0))</f>
        <v>Small Business</v>
      </c>
      <c r="T1185" s="0" t="str">
        <f aca="false">INDEX(Customers!$D$2:$D$101,MATCH(D1185,Customers!$A$2:$A$101,0))</f>
        <v>Bhubaneswar</v>
      </c>
    </row>
    <row r="1186" customFormat="false" ht="15" hidden="false" customHeight="false" outlineLevel="0" collapsed="false">
      <c r="A1186" s="0" t="s">
        <v>1457</v>
      </c>
      <c r="B1186" s="37" t="n">
        <v>46197</v>
      </c>
      <c r="C1186" s="37" t="n">
        <v>46203</v>
      </c>
      <c r="D1186" s="38" t="s">
        <v>348</v>
      </c>
      <c r="E1186" s="38" t="s">
        <v>125</v>
      </c>
      <c r="F1186" s="38" t="s">
        <v>102</v>
      </c>
      <c r="G1186" s="38" t="s">
        <v>185</v>
      </c>
      <c r="H1186" s="0" t="n">
        <v>2</v>
      </c>
      <c r="I1186" s="39" t="n">
        <v>600</v>
      </c>
      <c r="J1186" s="40" t="n">
        <v>0.25</v>
      </c>
      <c r="K1186" s="39" t="n">
        <v>900</v>
      </c>
      <c r="L1186" s="39" t="n">
        <v>700</v>
      </c>
      <c r="M1186" s="39" t="n">
        <v>200</v>
      </c>
      <c r="N1186" s="38" t="s">
        <v>66</v>
      </c>
      <c r="O1186" s="38" t="n">
        <f aca="false">YEAR(B1186)</f>
        <v>2026</v>
      </c>
      <c r="P1186" s="41" t="n">
        <f aca="false">DATE(YEAR(B1186),MONTH(B1186),1)</f>
        <v>46174</v>
      </c>
      <c r="Q1186" s="0" t="str">
        <f aca="false">INDEX(Products!$C$2:$C$16,MATCH(E1186,Products!$A$2:$A$16,0))</f>
        <v>Office Supplies</v>
      </c>
      <c r="R1186" s="0" t="str">
        <f aca="false">INDEX(Customers!$F$2:$F$101,MATCH(D1186,Customers!$A$2:$A$101,0))</f>
        <v>East</v>
      </c>
      <c r="S1186" s="0" t="str">
        <f aca="false">INDEX(Customers!$C$2:$C$101,MATCH(D1186,Customers!$A$2:$A$101,0))</f>
        <v>Corporate</v>
      </c>
      <c r="T1186" s="0" t="str">
        <f aca="false">INDEX(Customers!$D$2:$D$101,MATCH(D1186,Customers!$A$2:$A$101,0))</f>
        <v>Kolkata</v>
      </c>
    </row>
    <row r="1187" customFormat="false" ht="15" hidden="false" customHeight="false" outlineLevel="0" collapsed="false">
      <c r="A1187" s="0" t="s">
        <v>1458</v>
      </c>
      <c r="B1187" s="37" t="n">
        <v>46225</v>
      </c>
      <c r="C1187" s="37" t="n">
        <v>46230</v>
      </c>
      <c r="D1187" s="38" t="s">
        <v>675</v>
      </c>
      <c r="E1187" s="38" t="s">
        <v>122</v>
      </c>
      <c r="F1187" s="38" t="s">
        <v>102</v>
      </c>
      <c r="G1187" s="38" t="s">
        <v>173</v>
      </c>
      <c r="H1187" s="0" t="n">
        <v>2</v>
      </c>
      <c r="I1187" s="39" t="n">
        <v>5500</v>
      </c>
      <c r="J1187" s="40" t="n">
        <v>0.15</v>
      </c>
      <c r="K1187" s="39" t="n">
        <v>9350</v>
      </c>
      <c r="L1187" s="39" t="n">
        <v>7400</v>
      </c>
      <c r="M1187" s="39" t="n">
        <v>1950</v>
      </c>
      <c r="N1187" s="38" t="s">
        <v>66</v>
      </c>
      <c r="O1187" s="38" t="n">
        <f aca="false">YEAR(B1187)</f>
        <v>2026</v>
      </c>
      <c r="P1187" s="41" t="n">
        <f aca="false">DATE(YEAR(B1187),MONTH(B1187),1)</f>
        <v>46204</v>
      </c>
      <c r="Q1187" s="0" t="str">
        <f aca="false">INDEX(Products!$C$2:$C$16,MATCH(E1187,Products!$A$2:$A$16,0))</f>
        <v>Furniture</v>
      </c>
      <c r="R1187" s="0" t="str">
        <f aca="false">INDEX(Customers!$F$2:$F$101,MATCH(D1187,Customers!$A$2:$A$101,0))</f>
        <v>East</v>
      </c>
      <c r="S1187" s="0" t="str">
        <f aca="false">INDEX(Customers!$C$2:$C$101,MATCH(D1187,Customers!$A$2:$A$101,0))</f>
        <v>Small Business</v>
      </c>
      <c r="T1187" s="0" t="str">
        <f aca="false">INDEX(Customers!$D$2:$D$101,MATCH(D1187,Customers!$A$2:$A$101,0))</f>
        <v>Kolkata</v>
      </c>
    </row>
    <row r="1188" customFormat="false" ht="15" hidden="false" customHeight="false" outlineLevel="0" collapsed="false">
      <c r="A1188" s="0" t="s">
        <v>1459</v>
      </c>
      <c r="B1188" s="37" t="n">
        <v>45530</v>
      </c>
      <c r="C1188" s="37" t="n">
        <v>45531</v>
      </c>
      <c r="D1188" s="38" t="s">
        <v>397</v>
      </c>
      <c r="E1188" s="38" t="s">
        <v>113</v>
      </c>
      <c r="F1188" s="38" t="s">
        <v>101</v>
      </c>
      <c r="G1188" s="38" t="s">
        <v>173</v>
      </c>
      <c r="H1188" s="0" t="n">
        <v>3</v>
      </c>
      <c r="I1188" s="39" t="n">
        <v>45000</v>
      </c>
      <c r="J1188" s="40" t="n">
        <v>0</v>
      </c>
      <c r="K1188" s="39" t="n">
        <v>135000</v>
      </c>
      <c r="L1188" s="39" t="n">
        <v>108000</v>
      </c>
      <c r="M1188" s="39" t="n">
        <v>27000</v>
      </c>
      <c r="N1188" s="38" t="s">
        <v>66</v>
      </c>
      <c r="O1188" s="38" t="n">
        <f aca="false">YEAR(B1188)</f>
        <v>2024</v>
      </c>
      <c r="P1188" s="41" t="n">
        <f aca="false">DATE(YEAR(B1188),MONTH(B1188),1)</f>
        <v>45505</v>
      </c>
      <c r="Q1188" s="0" t="str">
        <f aca="false">INDEX(Products!$C$2:$C$16,MATCH(E1188,Products!$A$2:$A$16,0))</f>
        <v>Technology</v>
      </c>
      <c r="R1188" s="0" t="str">
        <f aca="false">INDEX(Customers!$F$2:$F$101,MATCH(D1188,Customers!$A$2:$A$101,0))</f>
        <v>West</v>
      </c>
      <c r="S1188" s="0" t="str">
        <f aca="false">INDEX(Customers!$C$2:$C$101,MATCH(D1188,Customers!$A$2:$A$101,0))</f>
        <v>Consumer</v>
      </c>
      <c r="T1188" s="0" t="str">
        <f aca="false">INDEX(Customers!$D$2:$D$101,MATCH(D1188,Customers!$A$2:$A$101,0))</f>
        <v>Mumbai</v>
      </c>
    </row>
    <row r="1189" customFormat="false" ht="15" hidden="false" customHeight="false" outlineLevel="0" collapsed="false">
      <c r="A1189" s="0" t="s">
        <v>1460</v>
      </c>
      <c r="B1189" s="37" t="n">
        <v>45926</v>
      </c>
      <c r="C1189" s="37" t="n">
        <v>45927</v>
      </c>
      <c r="D1189" s="38" t="s">
        <v>192</v>
      </c>
      <c r="E1189" s="38" t="s">
        <v>116</v>
      </c>
      <c r="F1189" s="38" t="s">
        <v>101</v>
      </c>
      <c r="G1189" s="38" t="s">
        <v>170</v>
      </c>
      <c r="H1189" s="0" t="n">
        <v>1</v>
      </c>
      <c r="I1189" s="39" t="n">
        <v>12000</v>
      </c>
      <c r="J1189" s="40" t="n">
        <v>0.05</v>
      </c>
      <c r="K1189" s="39" t="n">
        <v>11400</v>
      </c>
      <c r="L1189" s="39" t="n">
        <v>9000</v>
      </c>
      <c r="M1189" s="39" t="n">
        <v>2400</v>
      </c>
      <c r="N1189" s="38" t="s">
        <v>66</v>
      </c>
      <c r="O1189" s="38" t="n">
        <f aca="false">YEAR(B1189)</f>
        <v>2025</v>
      </c>
      <c r="P1189" s="41" t="n">
        <f aca="false">DATE(YEAR(B1189),MONTH(B1189),1)</f>
        <v>45901</v>
      </c>
      <c r="Q1189" s="0" t="str">
        <f aca="false">INDEX(Products!$C$2:$C$16,MATCH(E1189,Products!$A$2:$A$16,0))</f>
        <v>Technology</v>
      </c>
      <c r="R1189" s="0" t="str">
        <f aca="false">INDEX(Customers!$F$2:$F$101,MATCH(D1189,Customers!$A$2:$A$101,0))</f>
        <v>East</v>
      </c>
      <c r="S1189" s="0" t="str">
        <f aca="false">INDEX(Customers!$C$2:$C$101,MATCH(D1189,Customers!$A$2:$A$101,0))</f>
        <v>Small Business</v>
      </c>
      <c r="T1189" s="0" t="str">
        <f aca="false">INDEX(Customers!$D$2:$D$101,MATCH(D1189,Customers!$A$2:$A$101,0))</f>
        <v>Bhubaneswar</v>
      </c>
    </row>
    <row r="1190" customFormat="false" ht="15" hidden="false" customHeight="false" outlineLevel="0" collapsed="false">
      <c r="A1190" s="0" t="s">
        <v>1461</v>
      </c>
      <c r="B1190" s="37" t="n">
        <v>45949</v>
      </c>
      <c r="C1190" s="37" t="n">
        <v>45950</v>
      </c>
      <c r="D1190" s="38" t="s">
        <v>517</v>
      </c>
      <c r="E1190" s="38" t="s">
        <v>116</v>
      </c>
      <c r="F1190" s="38" t="s">
        <v>102</v>
      </c>
      <c r="G1190" s="38" t="s">
        <v>185</v>
      </c>
      <c r="H1190" s="0" t="n">
        <v>1</v>
      </c>
      <c r="I1190" s="39" t="n">
        <v>12000</v>
      </c>
      <c r="J1190" s="40" t="n">
        <v>0.2</v>
      </c>
      <c r="K1190" s="39" t="n">
        <v>9600</v>
      </c>
      <c r="L1190" s="39" t="n">
        <v>9000</v>
      </c>
      <c r="M1190" s="39" t="n">
        <v>600</v>
      </c>
      <c r="N1190" s="38" t="s">
        <v>66</v>
      </c>
      <c r="O1190" s="38" t="n">
        <f aca="false">YEAR(B1190)</f>
        <v>2025</v>
      </c>
      <c r="P1190" s="41" t="n">
        <f aca="false">DATE(YEAR(B1190),MONTH(B1190),1)</f>
        <v>45931</v>
      </c>
      <c r="Q1190" s="0" t="str">
        <f aca="false">INDEX(Products!$C$2:$C$16,MATCH(E1190,Products!$A$2:$A$16,0))</f>
        <v>Technology</v>
      </c>
      <c r="R1190" s="0" t="str">
        <f aca="false">INDEX(Customers!$F$2:$F$101,MATCH(D1190,Customers!$A$2:$A$101,0))</f>
        <v>East</v>
      </c>
      <c r="S1190" s="0" t="str">
        <f aca="false">INDEX(Customers!$C$2:$C$101,MATCH(D1190,Customers!$A$2:$A$101,0))</f>
        <v>Corporate</v>
      </c>
      <c r="T1190" s="0" t="str">
        <f aca="false">INDEX(Customers!$D$2:$D$101,MATCH(D1190,Customers!$A$2:$A$101,0))</f>
        <v>Kolkata</v>
      </c>
    </row>
    <row r="1191" customFormat="false" ht="15" hidden="false" customHeight="false" outlineLevel="0" collapsed="false">
      <c r="A1191" s="0" t="s">
        <v>1462</v>
      </c>
      <c r="B1191" s="37" t="n">
        <v>45576</v>
      </c>
      <c r="C1191" s="37" t="n">
        <v>45579</v>
      </c>
      <c r="D1191" s="38" t="s">
        <v>498</v>
      </c>
      <c r="E1191" s="38" t="s">
        <v>115</v>
      </c>
      <c r="F1191" s="38" t="s">
        <v>100</v>
      </c>
      <c r="G1191" s="38" t="s">
        <v>188</v>
      </c>
      <c r="H1191" s="0" t="n">
        <v>3</v>
      </c>
      <c r="I1191" s="39" t="n">
        <v>1500</v>
      </c>
      <c r="J1191" s="40" t="n">
        <v>0.25</v>
      </c>
      <c r="K1191" s="39" t="n">
        <v>3375</v>
      </c>
      <c r="L1191" s="39" t="n">
        <v>2550</v>
      </c>
      <c r="M1191" s="39" t="n">
        <v>825</v>
      </c>
      <c r="N1191" s="38" t="s">
        <v>66</v>
      </c>
      <c r="O1191" s="38" t="n">
        <f aca="false">YEAR(B1191)</f>
        <v>2024</v>
      </c>
      <c r="P1191" s="41" t="n">
        <f aca="false">DATE(YEAR(B1191),MONTH(B1191),1)</f>
        <v>45566</v>
      </c>
      <c r="Q1191" s="0" t="str">
        <f aca="false">INDEX(Products!$C$2:$C$16,MATCH(E1191,Products!$A$2:$A$16,0))</f>
        <v>Technology</v>
      </c>
      <c r="R1191" s="0" t="str">
        <f aca="false">INDEX(Customers!$F$2:$F$101,MATCH(D1191,Customers!$A$2:$A$101,0))</f>
        <v>East</v>
      </c>
      <c r="S1191" s="0" t="str">
        <f aca="false">INDEX(Customers!$C$2:$C$101,MATCH(D1191,Customers!$A$2:$A$101,0))</f>
        <v>Consumer</v>
      </c>
      <c r="T1191" s="0" t="str">
        <f aca="false">INDEX(Customers!$D$2:$D$101,MATCH(D1191,Customers!$A$2:$A$101,0))</f>
        <v>Bhubaneswar</v>
      </c>
    </row>
    <row r="1192" customFormat="false" ht="15" hidden="false" customHeight="false" outlineLevel="0" collapsed="false">
      <c r="A1192" s="0" t="s">
        <v>1463</v>
      </c>
      <c r="B1192" s="37" t="n">
        <v>46124</v>
      </c>
      <c r="C1192" s="37" t="n">
        <v>46127</v>
      </c>
      <c r="D1192" s="38" t="s">
        <v>364</v>
      </c>
      <c r="E1192" s="38" t="s">
        <v>123</v>
      </c>
      <c r="F1192" s="38" t="s">
        <v>102</v>
      </c>
      <c r="G1192" s="38" t="s">
        <v>170</v>
      </c>
      <c r="H1192" s="0" t="n">
        <v>4</v>
      </c>
      <c r="I1192" s="39" t="n">
        <v>2200</v>
      </c>
      <c r="J1192" s="40" t="n">
        <v>0</v>
      </c>
      <c r="K1192" s="39" t="n">
        <v>8800</v>
      </c>
      <c r="L1192" s="39" t="n">
        <v>5200</v>
      </c>
      <c r="M1192" s="39" t="n">
        <v>3600</v>
      </c>
      <c r="N1192" s="38" t="s">
        <v>66</v>
      </c>
      <c r="O1192" s="38" t="n">
        <f aca="false">YEAR(B1192)</f>
        <v>2026</v>
      </c>
      <c r="P1192" s="41" t="n">
        <f aca="false">DATE(YEAR(B1192),MONTH(B1192),1)</f>
        <v>46113</v>
      </c>
      <c r="Q1192" s="0" t="str">
        <f aca="false">INDEX(Products!$C$2:$C$16,MATCH(E1192,Products!$A$2:$A$16,0))</f>
        <v>Technology</v>
      </c>
      <c r="R1192" s="0" t="str">
        <f aca="false">INDEX(Customers!$F$2:$F$101,MATCH(D1192,Customers!$A$2:$A$101,0))</f>
        <v>North</v>
      </c>
      <c r="S1192" s="0" t="str">
        <f aca="false">INDEX(Customers!$C$2:$C$101,MATCH(D1192,Customers!$A$2:$A$101,0))</f>
        <v>Corporate</v>
      </c>
      <c r="T1192" s="0" t="str">
        <f aca="false">INDEX(Customers!$D$2:$D$101,MATCH(D1192,Customers!$A$2:$A$101,0))</f>
        <v>Jaipur</v>
      </c>
    </row>
    <row r="1193" customFormat="false" ht="15" hidden="false" customHeight="false" outlineLevel="0" collapsed="false">
      <c r="A1193" s="0" t="s">
        <v>1464</v>
      </c>
      <c r="B1193" s="37" t="n">
        <v>45347</v>
      </c>
      <c r="C1193" s="37" t="n">
        <v>45353</v>
      </c>
      <c r="D1193" s="38" t="s">
        <v>280</v>
      </c>
      <c r="E1193" s="38" t="s">
        <v>121</v>
      </c>
      <c r="F1193" s="38" t="s">
        <v>102</v>
      </c>
      <c r="G1193" s="38" t="s">
        <v>173</v>
      </c>
      <c r="H1193" s="0" t="n">
        <v>10</v>
      </c>
      <c r="I1193" s="39" t="n">
        <v>180</v>
      </c>
      <c r="J1193" s="40" t="n">
        <v>0.25</v>
      </c>
      <c r="K1193" s="39" t="n">
        <v>1350</v>
      </c>
      <c r="L1193" s="39" t="n">
        <v>700</v>
      </c>
      <c r="M1193" s="39" t="n">
        <v>650</v>
      </c>
      <c r="N1193" s="38" t="s">
        <v>66</v>
      </c>
      <c r="O1193" s="38" t="n">
        <f aca="false">YEAR(B1193)</f>
        <v>2024</v>
      </c>
      <c r="P1193" s="41" t="n">
        <f aca="false">DATE(YEAR(B1193),MONTH(B1193),1)</f>
        <v>45323</v>
      </c>
      <c r="Q1193" s="0" t="str">
        <f aca="false">INDEX(Products!$C$2:$C$16,MATCH(E1193,Products!$A$2:$A$16,0))</f>
        <v>Office Supplies</v>
      </c>
      <c r="R1193" s="0" t="str">
        <f aca="false">INDEX(Customers!$F$2:$F$101,MATCH(D1193,Customers!$A$2:$A$101,0))</f>
        <v>North</v>
      </c>
      <c r="S1193" s="0" t="str">
        <f aca="false">INDEX(Customers!$C$2:$C$101,MATCH(D1193,Customers!$A$2:$A$101,0))</f>
        <v>Corporate</v>
      </c>
      <c r="T1193" s="0" t="str">
        <f aca="false">INDEX(Customers!$D$2:$D$101,MATCH(D1193,Customers!$A$2:$A$101,0))</f>
        <v>Jaipur</v>
      </c>
    </row>
    <row r="1194" customFormat="false" ht="15" hidden="false" customHeight="false" outlineLevel="0" collapsed="false">
      <c r="A1194" s="0" t="s">
        <v>1465</v>
      </c>
      <c r="B1194" s="37" t="n">
        <v>45621</v>
      </c>
      <c r="C1194" s="37" t="n">
        <v>45623</v>
      </c>
      <c r="D1194" s="38" t="s">
        <v>517</v>
      </c>
      <c r="E1194" s="38" t="s">
        <v>121</v>
      </c>
      <c r="F1194" s="38" t="s">
        <v>100</v>
      </c>
      <c r="G1194" s="38" t="s">
        <v>185</v>
      </c>
      <c r="H1194" s="0" t="n">
        <v>2</v>
      </c>
      <c r="I1194" s="39" t="n">
        <v>180</v>
      </c>
      <c r="J1194" s="40" t="n">
        <v>0</v>
      </c>
      <c r="K1194" s="39" t="n">
        <v>360</v>
      </c>
      <c r="L1194" s="39" t="n">
        <v>140</v>
      </c>
      <c r="M1194" s="39" t="n">
        <v>220</v>
      </c>
      <c r="N1194" s="38" t="s">
        <v>66</v>
      </c>
      <c r="O1194" s="38" t="n">
        <f aca="false">YEAR(B1194)</f>
        <v>2024</v>
      </c>
      <c r="P1194" s="41" t="n">
        <f aca="false">DATE(YEAR(B1194),MONTH(B1194),1)</f>
        <v>45597</v>
      </c>
      <c r="Q1194" s="0" t="str">
        <f aca="false">INDEX(Products!$C$2:$C$16,MATCH(E1194,Products!$A$2:$A$16,0))</f>
        <v>Office Supplies</v>
      </c>
      <c r="R1194" s="0" t="str">
        <f aca="false">INDEX(Customers!$F$2:$F$101,MATCH(D1194,Customers!$A$2:$A$101,0))</f>
        <v>East</v>
      </c>
      <c r="S1194" s="0" t="str">
        <f aca="false">INDEX(Customers!$C$2:$C$101,MATCH(D1194,Customers!$A$2:$A$101,0))</f>
        <v>Corporate</v>
      </c>
      <c r="T1194" s="0" t="str">
        <f aca="false">INDEX(Customers!$D$2:$D$101,MATCH(D1194,Customers!$A$2:$A$101,0))</f>
        <v>Kolkata</v>
      </c>
    </row>
    <row r="1195" customFormat="false" ht="15" hidden="false" customHeight="false" outlineLevel="0" collapsed="false">
      <c r="A1195" s="0" t="s">
        <v>1466</v>
      </c>
      <c r="B1195" s="37" t="n">
        <v>45941</v>
      </c>
      <c r="C1195" s="37" t="n">
        <v>45943</v>
      </c>
      <c r="D1195" s="38" t="s">
        <v>236</v>
      </c>
      <c r="E1195" s="38" t="s">
        <v>113</v>
      </c>
      <c r="F1195" s="38" t="s">
        <v>100</v>
      </c>
      <c r="G1195" s="38" t="s">
        <v>173</v>
      </c>
      <c r="H1195" s="0" t="n">
        <v>6</v>
      </c>
      <c r="I1195" s="39" t="n">
        <v>45000</v>
      </c>
      <c r="J1195" s="40" t="n">
        <v>0</v>
      </c>
      <c r="K1195" s="39" t="n">
        <v>270000</v>
      </c>
      <c r="L1195" s="39" t="n">
        <v>216000</v>
      </c>
      <c r="M1195" s="39" t="n">
        <v>54000</v>
      </c>
      <c r="N1195" s="38" t="s">
        <v>66</v>
      </c>
      <c r="O1195" s="38" t="n">
        <f aca="false">YEAR(B1195)</f>
        <v>2025</v>
      </c>
      <c r="P1195" s="41" t="n">
        <f aca="false">DATE(YEAR(B1195),MONTH(B1195),1)</f>
        <v>45931</v>
      </c>
      <c r="Q1195" s="0" t="str">
        <f aca="false">INDEX(Products!$C$2:$C$16,MATCH(E1195,Products!$A$2:$A$16,0))</f>
        <v>Technology</v>
      </c>
      <c r="R1195" s="0" t="str">
        <f aca="false">INDEX(Customers!$F$2:$F$101,MATCH(D1195,Customers!$A$2:$A$101,0))</f>
        <v>West</v>
      </c>
      <c r="S1195" s="0" t="str">
        <f aca="false">INDEX(Customers!$C$2:$C$101,MATCH(D1195,Customers!$A$2:$A$101,0))</f>
        <v>Small Business</v>
      </c>
      <c r="T1195" s="0" t="str">
        <f aca="false">INDEX(Customers!$D$2:$D$101,MATCH(D1195,Customers!$A$2:$A$101,0))</f>
        <v>Pune</v>
      </c>
    </row>
    <row r="1196" customFormat="false" ht="15" hidden="false" customHeight="false" outlineLevel="0" collapsed="false">
      <c r="A1196" s="0" t="s">
        <v>1467</v>
      </c>
      <c r="B1196" s="37" t="n">
        <v>45811</v>
      </c>
      <c r="C1196" s="37" t="n">
        <v>45812</v>
      </c>
      <c r="D1196" s="38" t="s">
        <v>280</v>
      </c>
      <c r="E1196" s="38" t="s">
        <v>116</v>
      </c>
      <c r="F1196" s="38" t="s">
        <v>101</v>
      </c>
      <c r="G1196" s="38" t="s">
        <v>173</v>
      </c>
      <c r="H1196" s="0" t="n">
        <v>2</v>
      </c>
      <c r="I1196" s="39" t="n">
        <v>12000</v>
      </c>
      <c r="J1196" s="40" t="n">
        <v>0.1</v>
      </c>
      <c r="K1196" s="39" t="n">
        <v>21600</v>
      </c>
      <c r="L1196" s="39" t="n">
        <v>18000</v>
      </c>
      <c r="M1196" s="39" t="n">
        <v>3600</v>
      </c>
      <c r="N1196" s="38" t="s">
        <v>66</v>
      </c>
      <c r="O1196" s="38" t="n">
        <f aca="false">YEAR(B1196)</f>
        <v>2025</v>
      </c>
      <c r="P1196" s="41" t="n">
        <f aca="false">DATE(YEAR(B1196),MONTH(B1196),1)</f>
        <v>45809</v>
      </c>
      <c r="Q1196" s="0" t="str">
        <f aca="false">INDEX(Products!$C$2:$C$16,MATCH(E1196,Products!$A$2:$A$16,0))</f>
        <v>Technology</v>
      </c>
      <c r="R1196" s="0" t="str">
        <f aca="false">INDEX(Customers!$F$2:$F$101,MATCH(D1196,Customers!$A$2:$A$101,0))</f>
        <v>North</v>
      </c>
      <c r="S1196" s="0" t="str">
        <f aca="false">INDEX(Customers!$C$2:$C$101,MATCH(D1196,Customers!$A$2:$A$101,0))</f>
        <v>Corporate</v>
      </c>
      <c r="T1196" s="0" t="str">
        <f aca="false">INDEX(Customers!$D$2:$D$101,MATCH(D1196,Customers!$A$2:$A$101,0))</f>
        <v>Jaipur</v>
      </c>
    </row>
    <row r="1197" customFormat="false" ht="15" hidden="false" customHeight="false" outlineLevel="0" collapsed="false">
      <c r="A1197" s="0" t="s">
        <v>1468</v>
      </c>
      <c r="B1197" s="37" t="n">
        <v>45472</v>
      </c>
      <c r="C1197" s="37" t="n">
        <v>45477</v>
      </c>
      <c r="D1197" s="38" t="s">
        <v>230</v>
      </c>
      <c r="E1197" s="38" t="s">
        <v>119</v>
      </c>
      <c r="F1197" s="38" t="s">
        <v>102</v>
      </c>
      <c r="G1197" s="38" t="s">
        <v>185</v>
      </c>
      <c r="H1197" s="0" t="n">
        <v>1</v>
      </c>
      <c r="I1197" s="39" t="n">
        <v>250</v>
      </c>
      <c r="J1197" s="40" t="n">
        <v>0.05</v>
      </c>
      <c r="K1197" s="39" t="n">
        <v>237.5</v>
      </c>
      <c r="L1197" s="39" t="n">
        <v>120</v>
      </c>
      <c r="M1197" s="39" t="n">
        <v>117.5</v>
      </c>
      <c r="N1197" s="38" t="s">
        <v>146</v>
      </c>
      <c r="O1197" s="38" t="n">
        <f aca="false">YEAR(B1197)</f>
        <v>2024</v>
      </c>
      <c r="P1197" s="41" t="n">
        <f aca="false">DATE(YEAR(B1197),MONTH(B1197),1)</f>
        <v>45444</v>
      </c>
      <c r="Q1197" s="0" t="str">
        <f aca="false">INDEX(Products!$C$2:$C$16,MATCH(E1197,Products!$A$2:$A$16,0))</f>
        <v>Office Supplies</v>
      </c>
      <c r="R1197" s="0" t="str">
        <f aca="false">INDEX(Customers!$F$2:$F$101,MATCH(D1197,Customers!$A$2:$A$101,0))</f>
        <v>East</v>
      </c>
      <c r="S1197" s="0" t="str">
        <f aca="false">INDEX(Customers!$C$2:$C$101,MATCH(D1197,Customers!$A$2:$A$101,0))</f>
        <v>Consumer</v>
      </c>
      <c r="T1197" s="0" t="str">
        <f aca="false">INDEX(Customers!$D$2:$D$101,MATCH(D1197,Customers!$A$2:$A$101,0))</f>
        <v>Kolkata</v>
      </c>
    </row>
    <row r="1198" customFormat="false" ht="15" hidden="false" customHeight="false" outlineLevel="0" collapsed="false">
      <c r="A1198" s="0" t="s">
        <v>1469</v>
      </c>
      <c r="B1198" s="37" t="n">
        <v>46175</v>
      </c>
      <c r="C1198" s="37" t="n">
        <v>46182</v>
      </c>
      <c r="D1198" s="38" t="s">
        <v>177</v>
      </c>
      <c r="E1198" s="38" t="s">
        <v>117</v>
      </c>
      <c r="F1198" s="38" t="s">
        <v>101</v>
      </c>
      <c r="G1198" s="38" t="s">
        <v>185</v>
      </c>
      <c r="H1198" s="0" t="n">
        <v>2</v>
      </c>
      <c r="I1198" s="39" t="n">
        <v>6500</v>
      </c>
      <c r="J1198" s="40" t="n">
        <v>0.05</v>
      </c>
      <c r="K1198" s="39" t="n">
        <v>12350</v>
      </c>
      <c r="L1198" s="39" t="n">
        <v>8400</v>
      </c>
      <c r="M1198" s="39" t="n">
        <v>3950</v>
      </c>
      <c r="N1198" s="38" t="s">
        <v>66</v>
      </c>
      <c r="O1198" s="38" t="n">
        <f aca="false">YEAR(B1198)</f>
        <v>2026</v>
      </c>
      <c r="P1198" s="41" t="n">
        <f aca="false">DATE(YEAR(B1198),MONTH(B1198),1)</f>
        <v>46174</v>
      </c>
      <c r="Q1198" s="0" t="str">
        <f aca="false">INDEX(Products!$C$2:$C$16,MATCH(E1198,Products!$A$2:$A$16,0))</f>
        <v>Furniture</v>
      </c>
      <c r="R1198" s="0" t="str">
        <f aca="false">INDEX(Customers!$F$2:$F$101,MATCH(D1198,Customers!$A$2:$A$101,0))</f>
        <v>North</v>
      </c>
      <c r="S1198" s="0" t="str">
        <f aca="false">INDEX(Customers!$C$2:$C$101,MATCH(D1198,Customers!$A$2:$A$101,0))</f>
        <v>Consumer</v>
      </c>
      <c r="T1198" s="0" t="str">
        <f aca="false">INDEX(Customers!$D$2:$D$101,MATCH(D1198,Customers!$A$2:$A$101,0))</f>
        <v>Gurugram</v>
      </c>
    </row>
    <row r="1199" customFormat="false" ht="15" hidden="false" customHeight="false" outlineLevel="0" collapsed="false">
      <c r="A1199" s="0" t="s">
        <v>1470</v>
      </c>
      <c r="B1199" s="37" t="n">
        <v>45809</v>
      </c>
      <c r="C1199" s="37" t="n">
        <v>45814</v>
      </c>
      <c r="D1199" s="38" t="s">
        <v>172</v>
      </c>
      <c r="E1199" s="38" t="s">
        <v>119</v>
      </c>
      <c r="F1199" s="38" t="s">
        <v>100</v>
      </c>
      <c r="G1199" s="38" t="s">
        <v>185</v>
      </c>
      <c r="H1199" s="0" t="n">
        <v>4</v>
      </c>
      <c r="I1199" s="39" t="n">
        <v>250</v>
      </c>
      <c r="J1199" s="40" t="n">
        <v>0.25</v>
      </c>
      <c r="K1199" s="39" t="n">
        <v>750</v>
      </c>
      <c r="L1199" s="39" t="n">
        <v>480</v>
      </c>
      <c r="M1199" s="39" t="n">
        <v>270</v>
      </c>
      <c r="N1199" s="38" t="s">
        <v>66</v>
      </c>
      <c r="O1199" s="38" t="n">
        <f aca="false">YEAR(B1199)</f>
        <v>2025</v>
      </c>
      <c r="P1199" s="41" t="n">
        <f aca="false">DATE(YEAR(B1199),MONTH(B1199),1)</f>
        <v>45809</v>
      </c>
      <c r="Q1199" s="0" t="str">
        <f aca="false">INDEX(Products!$C$2:$C$16,MATCH(E1199,Products!$A$2:$A$16,0))</f>
        <v>Office Supplies</v>
      </c>
      <c r="R1199" s="0" t="str">
        <f aca="false">INDEX(Customers!$F$2:$F$101,MATCH(D1199,Customers!$A$2:$A$101,0))</f>
        <v>East</v>
      </c>
      <c r="S1199" s="0" t="str">
        <f aca="false">INDEX(Customers!$C$2:$C$101,MATCH(D1199,Customers!$A$2:$A$101,0))</f>
        <v>Consumer</v>
      </c>
      <c r="T1199" s="0" t="str">
        <f aca="false">INDEX(Customers!$D$2:$D$101,MATCH(D1199,Customers!$A$2:$A$101,0))</f>
        <v>Bhubaneswar</v>
      </c>
    </row>
    <row r="1200" customFormat="false" ht="15" hidden="false" customHeight="false" outlineLevel="0" collapsed="false">
      <c r="A1200" s="0" t="s">
        <v>1471</v>
      </c>
      <c r="B1200" s="37" t="n">
        <v>46166</v>
      </c>
      <c r="C1200" s="37" t="n">
        <v>46167</v>
      </c>
      <c r="D1200" s="38" t="s">
        <v>517</v>
      </c>
      <c r="E1200" s="38" t="s">
        <v>119</v>
      </c>
      <c r="F1200" s="38" t="s">
        <v>102</v>
      </c>
      <c r="G1200" s="38" t="s">
        <v>188</v>
      </c>
      <c r="H1200" s="0" t="n">
        <v>4</v>
      </c>
      <c r="I1200" s="39" t="n">
        <v>250</v>
      </c>
      <c r="J1200" s="40" t="n">
        <v>0.05</v>
      </c>
      <c r="K1200" s="39" t="n">
        <v>950</v>
      </c>
      <c r="L1200" s="39" t="n">
        <v>480</v>
      </c>
      <c r="M1200" s="39" t="n">
        <v>470</v>
      </c>
      <c r="N1200" s="38" t="s">
        <v>66</v>
      </c>
      <c r="O1200" s="38" t="n">
        <f aca="false">YEAR(B1200)</f>
        <v>2026</v>
      </c>
      <c r="P1200" s="41" t="n">
        <f aca="false">DATE(YEAR(B1200),MONTH(B1200),1)</f>
        <v>46143</v>
      </c>
      <c r="Q1200" s="0" t="str">
        <f aca="false">INDEX(Products!$C$2:$C$16,MATCH(E1200,Products!$A$2:$A$16,0))</f>
        <v>Office Supplies</v>
      </c>
      <c r="R1200" s="0" t="str">
        <f aca="false">INDEX(Customers!$F$2:$F$101,MATCH(D1200,Customers!$A$2:$A$101,0))</f>
        <v>East</v>
      </c>
      <c r="S1200" s="0" t="str">
        <f aca="false">INDEX(Customers!$C$2:$C$101,MATCH(D1200,Customers!$A$2:$A$101,0))</f>
        <v>Corporate</v>
      </c>
      <c r="T1200" s="0" t="str">
        <f aca="false">INDEX(Customers!$D$2:$D$101,MATCH(D1200,Customers!$A$2:$A$101,0))</f>
        <v>Kolkata</v>
      </c>
    </row>
    <row r="1201" customFormat="false" ht="15" hidden="false" customHeight="false" outlineLevel="0" collapsed="false">
      <c r="A1201" s="0" t="s">
        <v>1472</v>
      </c>
      <c r="B1201" s="37" t="n">
        <v>45555</v>
      </c>
      <c r="C1201" s="37" t="n">
        <v>45559</v>
      </c>
      <c r="D1201" s="38" t="s">
        <v>425</v>
      </c>
      <c r="E1201" s="38" t="s">
        <v>115</v>
      </c>
      <c r="F1201" s="38" t="s">
        <v>101</v>
      </c>
      <c r="G1201" s="38" t="s">
        <v>185</v>
      </c>
      <c r="H1201" s="0" t="n">
        <v>2</v>
      </c>
      <c r="I1201" s="39" t="n">
        <v>1500</v>
      </c>
      <c r="J1201" s="40" t="n">
        <v>0.1</v>
      </c>
      <c r="K1201" s="39" t="n">
        <v>2700</v>
      </c>
      <c r="L1201" s="39" t="n">
        <v>1700</v>
      </c>
      <c r="M1201" s="39" t="n">
        <v>1000</v>
      </c>
      <c r="N1201" s="38" t="s">
        <v>66</v>
      </c>
      <c r="O1201" s="38" t="n">
        <f aca="false">YEAR(B1201)</f>
        <v>2024</v>
      </c>
      <c r="P1201" s="41" t="n">
        <f aca="false">DATE(YEAR(B1201),MONTH(B1201),1)</f>
        <v>45536</v>
      </c>
      <c r="Q1201" s="0" t="str">
        <f aca="false">INDEX(Products!$C$2:$C$16,MATCH(E1201,Products!$A$2:$A$16,0))</f>
        <v>Technology</v>
      </c>
      <c r="R1201" s="0" t="str">
        <f aca="false">INDEX(Customers!$F$2:$F$101,MATCH(D1201,Customers!$A$2:$A$101,0))</f>
        <v>North</v>
      </c>
      <c r="S1201" s="0" t="str">
        <f aca="false">INDEX(Customers!$C$2:$C$101,MATCH(D1201,Customers!$A$2:$A$101,0))</f>
        <v>Small Business</v>
      </c>
      <c r="T1201" s="0" t="str">
        <f aca="false">INDEX(Customers!$D$2:$D$101,MATCH(D1201,Customers!$A$2:$A$101,0))</f>
        <v>Lucknow</v>
      </c>
    </row>
  </sheetData>
  <autoFilter ref="A1:T120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17"/>
    <col collapsed="false" customWidth="true" hidden="false" outlineLevel="0" max="3" min="3" style="0" width="16"/>
    <col collapsed="false" customWidth="true" hidden="false" outlineLevel="0" max="4" min="4" style="0" width="13"/>
    <col collapsed="false" customWidth="true" hidden="false" outlineLevel="0" max="5" min="5" style="0" width="15"/>
    <col collapsed="false" customWidth="true" hidden="false" outlineLevel="0" max="6" min="6" style="0" width="12"/>
    <col collapsed="false" customWidth="true" hidden="false" outlineLevel="0" max="7" min="7" style="0" width="21"/>
  </cols>
  <sheetData>
    <row r="1" customFormat="false" ht="15" hidden="false" customHeight="false" outlineLevel="0" collapsed="false">
      <c r="A1" s="35" t="s">
        <v>151</v>
      </c>
      <c r="B1" s="35" t="s">
        <v>1473</v>
      </c>
      <c r="C1" s="35" t="s">
        <v>166</v>
      </c>
      <c r="D1" s="35" t="s">
        <v>167</v>
      </c>
      <c r="E1" s="35" t="s">
        <v>1474</v>
      </c>
      <c r="F1" s="35" t="s">
        <v>165</v>
      </c>
      <c r="G1" s="35" t="s">
        <v>1475</v>
      </c>
    </row>
    <row r="2" customFormat="false" ht="15" hidden="false" customHeight="false" outlineLevel="0" collapsed="false">
      <c r="A2" s="0" t="s">
        <v>169</v>
      </c>
      <c r="B2" s="0" t="s">
        <v>1476</v>
      </c>
      <c r="C2" s="0" t="s">
        <v>105</v>
      </c>
      <c r="D2" s="0" t="s">
        <v>139</v>
      </c>
      <c r="E2" s="0" t="s">
        <v>1477</v>
      </c>
      <c r="F2" s="0" t="s">
        <v>97</v>
      </c>
      <c r="G2" s="37" t="n">
        <v>45125</v>
      </c>
    </row>
    <row r="3" customFormat="false" ht="15" hidden="false" customHeight="false" outlineLevel="0" collapsed="false">
      <c r="A3" s="0" t="s">
        <v>470</v>
      </c>
      <c r="B3" s="0" t="s">
        <v>1478</v>
      </c>
      <c r="C3" s="0" t="s">
        <v>105</v>
      </c>
      <c r="D3" s="0" t="s">
        <v>140</v>
      </c>
      <c r="E3" s="0" t="s">
        <v>1479</v>
      </c>
      <c r="F3" s="0" t="s">
        <v>95</v>
      </c>
      <c r="G3" s="37" t="n">
        <v>44771</v>
      </c>
    </row>
    <row r="4" customFormat="false" ht="15" hidden="false" customHeight="false" outlineLevel="0" collapsed="false">
      <c r="A4" s="0" t="s">
        <v>675</v>
      </c>
      <c r="B4" s="0" t="s">
        <v>1480</v>
      </c>
      <c r="C4" s="0" t="s">
        <v>105</v>
      </c>
      <c r="D4" s="0" t="s">
        <v>139</v>
      </c>
      <c r="E4" s="0" t="s">
        <v>1477</v>
      </c>
      <c r="F4" s="0" t="s">
        <v>97</v>
      </c>
      <c r="G4" s="37" t="n">
        <v>45426</v>
      </c>
    </row>
    <row r="5" customFormat="false" ht="15" hidden="false" customHeight="false" outlineLevel="0" collapsed="false">
      <c r="A5" s="0" t="s">
        <v>221</v>
      </c>
      <c r="B5" s="0" t="s">
        <v>1481</v>
      </c>
      <c r="C5" s="0" t="s">
        <v>104</v>
      </c>
      <c r="D5" s="0" t="s">
        <v>135</v>
      </c>
      <c r="E5" s="0" t="s">
        <v>135</v>
      </c>
      <c r="F5" s="0" t="s">
        <v>95</v>
      </c>
      <c r="G5" s="37" t="n">
        <v>45038</v>
      </c>
    </row>
    <row r="6" customFormat="false" ht="15" hidden="false" customHeight="false" outlineLevel="0" collapsed="false">
      <c r="A6" s="0" t="s">
        <v>294</v>
      </c>
      <c r="B6" s="0" t="s">
        <v>1482</v>
      </c>
      <c r="C6" s="0" t="s">
        <v>105</v>
      </c>
      <c r="D6" s="0" t="s">
        <v>134</v>
      </c>
      <c r="E6" s="0" t="s">
        <v>1483</v>
      </c>
      <c r="F6" s="0" t="s">
        <v>96</v>
      </c>
      <c r="G6" s="37" t="n">
        <v>44969</v>
      </c>
    </row>
    <row r="7" customFormat="false" ht="15" hidden="false" customHeight="false" outlineLevel="0" collapsed="false">
      <c r="A7" s="0" t="s">
        <v>302</v>
      </c>
      <c r="B7" s="0" t="s">
        <v>1484</v>
      </c>
      <c r="C7" s="0" t="s">
        <v>104</v>
      </c>
      <c r="D7" s="0" t="s">
        <v>133</v>
      </c>
      <c r="E7" s="0" t="s">
        <v>1485</v>
      </c>
      <c r="F7" s="0" t="s">
        <v>97</v>
      </c>
      <c r="G7" s="37" t="n">
        <v>45481</v>
      </c>
    </row>
    <row r="8" customFormat="false" ht="15" hidden="false" customHeight="false" outlineLevel="0" collapsed="false">
      <c r="A8" s="0" t="s">
        <v>278</v>
      </c>
      <c r="B8" s="0" t="s">
        <v>1486</v>
      </c>
      <c r="C8" s="0" t="s">
        <v>104</v>
      </c>
      <c r="D8" s="0" t="s">
        <v>137</v>
      </c>
      <c r="E8" s="0" t="s">
        <v>1487</v>
      </c>
      <c r="F8" s="0" t="s">
        <v>96</v>
      </c>
      <c r="G8" s="37" t="n">
        <v>45427</v>
      </c>
    </row>
    <row r="9" customFormat="false" ht="15" hidden="false" customHeight="false" outlineLevel="0" collapsed="false">
      <c r="A9" s="0" t="s">
        <v>454</v>
      </c>
      <c r="B9" s="0" t="s">
        <v>1488</v>
      </c>
      <c r="C9" s="0" t="s">
        <v>104</v>
      </c>
      <c r="D9" s="0" t="s">
        <v>142</v>
      </c>
      <c r="E9" s="0" t="s">
        <v>1489</v>
      </c>
      <c r="F9" s="0" t="s">
        <v>98</v>
      </c>
      <c r="G9" s="37" t="n">
        <v>45251</v>
      </c>
    </row>
    <row r="10" customFormat="false" ht="15" hidden="false" customHeight="false" outlineLevel="0" collapsed="false">
      <c r="A10" s="0" t="s">
        <v>326</v>
      </c>
      <c r="B10" s="0" t="s">
        <v>1490</v>
      </c>
      <c r="C10" s="0" t="s">
        <v>104</v>
      </c>
      <c r="D10" s="0" t="s">
        <v>136</v>
      </c>
      <c r="E10" s="0" t="s">
        <v>1491</v>
      </c>
      <c r="F10" s="0" t="s">
        <v>95</v>
      </c>
      <c r="G10" s="37" t="n">
        <v>45297</v>
      </c>
    </row>
    <row r="11" customFormat="false" ht="15" hidden="false" customHeight="false" outlineLevel="0" collapsed="false">
      <c r="A11" s="0" t="s">
        <v>381</v>
      </c>
      <c r="B11" s="0" t="s">
        <v>1492</v>
      </c>
      <c r="C11" s="0" t="s">
        <v>104</v>
      </c>
      <c r="D11" s="0" t="s">
        <v>142</v>
      </c>
      <c r="E11" s="0" t="s">
        <v>1489</v>
      </c>
      <c r="F11" s="0" t="s">
        <v>98</v>
      </c>
      <c r="G11" s="37" t="n">
        <v>45502</v>
      </c>
    </row>
    <row r="12" customFormat="false" ht="15" hidden="false" customHeight="false" outlineLevel="0" collapsed="false">
      <c r="A12" s="0" t="s">
        <v>196</v>
      </c>
      <c r="B12" s="0" t="s">
        <v>1493</v>
      </c>
      <c r="C12" s="0" t="s">
        <v>104</v>
      </c>
      <c r="D12" s="0" t="s">
        <v>134</v>
      </c>
      <c r="E12" s="0" t="s">
        <v>1483</v>
      </c>
      <c r="F12" s="0" t="s">
        <v>96</v>
      </c>
      <c r="G12" s="37" t="n">
        <v>45692</v>
      </c>
    </row>
    <row r="13" customFormat="false" ht="15" hidden="false" customHeight="false" outlineLevel="0" collapsed="false">
      <c r="A13" s="0" t="s">
        <v>283</v>
      </c>
      <c r="B13" s="0" t="s">
        <v>1494</v>
      </c>
      <c r="C13" s="0" t="s">
        <v>105</v>
      </c>
      <c r="D13" s="0" t="s">
        <v>141</v>
      </c>
      <c r="E13" s="0" t="s">
        <v>1489</v>
      </c>
      <c r="F13" s="0" t="s">
        <v>98</v>
      </c>
      <c r="G13" s="37" t="n">
        <v>44955</v>
      </c>
    </row>
    <row r="14" customFormat="false" ht="15" hidden="false" customHeight="false" outlineLevel="0" collapsed="false">
      <c r="A14" s="0" t="s">
        <v>354</v>
      </c>
      <c r="B14" s="0" t="s">
        <v>1495</v>
      </c>
      <c r="C14" s="0" t="s">
        <v>105</v>
      </c>
      <c r="D14" s="0" t="s">
        <v>133</v>
      </c>
      <c r="E14" s="0" t="s">
        <v>1485</v>
      </c>
      <c r="F14" s="0" t="s">
        <v>97</v>
      </c>
      <c r="G14" s="37" t="n">
        <v>45028</v>
      </c>
    </row>
    <row r="15" customFormat="false" ht="15" hidden="false" customHeight="false" outlineLevel="0" collapsed="false">
      <c r="A15" s="0" t="s">
        <v>343</v>
      </c>
      <c r="B15" s="0" t="s">
        <v>1496</v>
      </c>
      <c r="C15" s="0" t="s">
        <v>104</v>
      </c>
      <c r="D15" s="0" t="s">
        <v>141</v>
      </c>
      <c r="E15" s="0" t="s">
        <v>1489</v>
      </c>
      <c r="F15" s="0" t="s">
        <v>98</v>
      </c>
      <c r="G15" s="37" t="n">
        <v>45340</v>
      </c>
    </row>
    <row r="16" customFormat="false" ht="15" hidden="false" customHeight="false" outlineLevel="0" collapsed="false">
      <c r="A16" s="0" t="s">
        <v>369</v>
      </c>
      <c r="B16" s="0" t="s">
        <v>1497</v>
      </c>
      <c r="C16" s="0" t="s">
        <v>104</v>
      </c>
      <c r="D16" s="0" t="s">
        <v>141</v>
      </c>
      <c r="E16" s="0" t="s">
        <v>1489</v>
      </c>
      <c r="F16" s="0" t="s">
        <v>98</v>
      </c>
      <c r="G16" s="37" t="n">
        <v>45320</v>
      </c>
    </row>
    <row r="17" customFormat="false" ht="15" hidden="false" customHeight="false" outlineLevel="0" collapsed="false">
      <c r="A17" s="0" t="s">
        <v>373</v>
      </c>
      <c r="B17" s="0" t="s">
        <v>1498</v>
      </c>
      <c r="C17" s="0" t="s">
        <v>105</v>
      </c>
      <c r="D17" s="0" t="s">
        <v>142</v>
      </c>
      <c r="E17" s="0" t="s">
        <v>1489</v>
      </c>
      <c r="F17" s="0" t="s">
        <v>98</v>
      </c>
      <c r="G17" s="37" t="n">
        <v>45961</v>
      </c>
    </row>
    <row r="18" customFormat="false" ht="15" hidden="false" customHeight="false" outlineLevel="0" collapsed="false">
      <c r="A18" s="0" t="s">
        <v>217</v>
      </c>
      <c r="B18" s="0" t="s">
        <v>1499</v>
      </c>
      <c r="C18" s="0" t="s">
        <v>105</v>
      </c>
      <c r="D18" s="0" t="s">
        <v>139</v>
      </c>
      <c r="E18" s="0" t="s">
        <v>1477</v>
      </c>
      <c r="F18" s="0" t="s">
        <v>97</v>
      </c>
      <c r="G18" s="37" t="n">
        <v>45063</v>
      </c>
    </row>
    <row r="19" customFormat="false" ht="15" hidden="false" customHeight="false" outlineLevel="0" collapsed="false">
      <c r="A19" s="0" t="s">
        <v>210</v>
      </c>
      <c r="B19" s="0" t="s">
        <v>1500</v>
      </c>
      <c r="C19" s="0" t="s">
        <v>106</v>
      </c>
      <c r="D19" s="0" t="s">
        <v>138</v>
      </c>
      <c r="E19" s="0" t="s">
        <v>1501</v>
      </c>
      <c r="F19" s="0" t="s">
        <v>95</v>
      </c>
      <c r="G19" s="37" t="n">
        <v>45872</v>
      </c>
    </row>
    <row r="20" customFormat="false" ht="15" hidden="false" customHeight="false" outlineLevel="0" collapsed="false">
      <c r="A20" s="0" t="s">
        <v>338</v>
      </c>
      <c r="B20" s="0" t="s">
        <v>1502</v>
      </c>
      <c r="C20" s="0" t="s">
        <v>105</v>
      </c>
      <c r="D20" s="0" t="s">
        <v>133</v>
      </c>
      <c r="E20" s="0" t="s">
        <v>1485</v>
      </c>
      <c r="F20" s="0" t="s">
        <v>97</v>
      </c>
      <c r="G20" s="37" t="n">
        <v>45226</v>
      </c>
    </row>
    <row r="21" customFormat="false" ht="15" hidden="false" customHeight="false" outlineLevel="0" collapsed="false">
      <c r="A21" s="0" t="s">
        <v>331</v>
      </c>
      <c r="B21" s="0" t="s">
        <v>1503</v>
      </c>
      <c r="C21" s="0" t="s">
        <v>106</v>
      </c>
      <c r="D21" s="0" t="s">
        <v>135</v>
      </c>
      <c r="E21" s="0" t="s">
        <v>135</v>
      </c>
      <c r="F21" s="0" t="s">
        <v>95</v>
      </c>
      <c r="G21" s="37" t="n">
        <v>45383</v>
      </c>
    </row>
    <row r="22" customFormat="false" ht="15" hidden="false" customHeight="false" outlineLevel="0" collapsed="false">
      <c r="A22" s="0" t="s">
        <v>404</v>
      </c>
      <c r="B22" s="0" t="s">
        <v>1504</v>
      </c>
      <c r="C22" s="0" t="s">
        <v>105</v>
      </c>
      <c r="D22" s="0" t="s">
        <v>141</v>
      </c>
      <c r="E22" s="0" t="s">
        <v>1489</v>
      </c>
      <c r="F22" s="0" t="s">
        <v>98</v>
      </c>
      <c r="G22" s="37" t="n">
        <v>45206</v>
      </c>
    </row>
    <row r="23" customFormat="false" ht="15" hidden="false" customHeight="false" outlineLevel="0" collapsed="false">
      <c r="A23" s="0" t="s">
        <v>219</v>
      </c>
      <c r="B23" s="0" t="s">
        <v>1505</v>
      </c>
      <c r="C23" s="0" t="s">
        <v>105</v>
      </c>
      <c r="D23" s="0" t="s">
        <v>140</v>
      </c>
      <c r="E23" s="0" t="s">
        <v>1479</v>
      </c>
      <c r="F23" s="0" t="s">
        <v>95</v>
      </c>
      <c r="G23" s="37" t="n">
        <v>45501</v>
      </c>
    </row>
    <row r="24" customFormat="false" ht="15" hidden="false" customHeight="false" outlineLevel="0" collapsed="false">
      <c r="A24" s="0" t="s">
        <v>246</v>
      </c>
      <c r="B24" s="0" t="s">
        <v>1488</v>
      </c>
      <c r="C24" s="0" t="s">
        <v>104</v>
      </c>
      <c r="D24" s="0" t="s">
        <v>138</v>
      </c>
      <c r="E24" s="0" t="s">
        <v>1501</v>
      </c>
      <c r="F24" s="0" t="s">
        <v>95</v>
      </c>
      <c r="G24" s="37" t="n">
        <v>45711</v>
      </c>
    </row>
    <row r="25" customFormat="false" ht="15" hidden="false" customHeight="false" outlineLevel="0" collapsed="false">
      <c r="A25" s="0" t="s">
        <v>435</v>
      </c>
      <c r="B25" s="0" t="s">
        <v>1506</v>
      </c>
      <c r="C25" s="0" t="s">
        <v>105</v>
      </c>
      <c r="D25" s="0" t="s">
        <v>134</v>
      </c>
      <c r="E25" s="0" t="s">
        <v>1483</v>
      </c>
      <c r="F25" s="0" t="s">
        <v>96</v>
      </c>
      <c r="G25" s="37" t="n">
        <v>45379</v>
      </c>
    </row>
    <row r="26" customFormat="false" ht="15" hidden="false" customHeight="false" outlineLevel="0" collapsed="false">
      <c r="A26" s="0" t="s">
        <v>236</v>
      </c>
      <c r="B26" s="0" t="s">
        <v>1478</v>
      </c>
      <c r="C26" s="0" t="s">
        <v>105</v>
      </c>
      <c r="D26" s="0" t="s">
        <v>142</v>
      </c>
      <c r="E26" s="0" t="s">
        <v>1489</v>
      </c>
      <c r="F26" s="0" t="s">
        <v>98</v>
      </c>
      <c r="G26" s="37" t="n">
        <v>45572</v>
      </c>
    </row>
    <row r="27" customFormat="false" ht="15" hidden="false" customHeight="false" outlineLevel="0" collapsed="false">
      <c r="A27" s="0" t="s">
        <v>177</v>
      </c>
      <c r="B27" s="0" t="s">
        <v>1507</v>
      </c>
      <c r="C27" s="0" t="s">
        <v>104</v>
      </c>
      <c r="D27" s="0" t="s">
        <v>136</v>
      </c>
      <c r="E27" s="0" t="s">
        <v>1491</v>
      </c>
      <c r="F27" s="0" t="s">
        <v>95</v>
      </c>
      <c r="G27" s="37" t="n">
        <v>45847</v>
      </c>
    </row>
    <row r="28" customFormat="false" ht="15" hidden="false" customHeight="false" outlineLevel="0" collapsed="false">
      <c r="A28" s="0" t="s">
        <v>280</v>
      </c>
      <c r="B28" s="0" t="s">
        <v>1508</v>
      </c>
      <c r="C28" s="0" t="s">
        <v>106</v>
      </c>
      <c r="D28" s="0" t="s">
        <v>138</v>
      </c>
      <c r="E28" s="0" t="s">
        <v>1501</v>
      </c>
      <c r="F28" s="0" t="s">
        <v>95</v>
      </c>
      <c r="G28" s="37" t="n">
        <v>45343</v>
      </c>
    </row>
    <row r="29" customFormat="false" ht="15" hidden="false" customHeight="false" outlineLevel="0" collapsed="false">
      <c r="A29" s="0" t="s">
        <v>352</v>
      </c>
      <c r="B29" s="0" t="s">
        <v>1509</v>
      </c>
      <c r="C29" s="0" t="s">
        <v>105</v>
      </c>
      <c r="D29" s="0" t="s">
        <v>137</v>
      </c>
      <c r="E29" s="0" t="s">
        <v>1487</v>
      </c>
      <c r="F29" s="0" t="s">
        <v>96</v>
      </c>
      <c r="G29" s="37" t="n">
        <v>44585</v>
      </c>
    </row>
    <row r="30" customFormat="false" ht="15" hidden="false" customHeight="false" outlineLevel="0" collapsed="false">
      <c r="A30" s="0" t="s">
        <v>255</v>
      </c>
      <c r="B30" s="0" t="s">
        <v>1510</v>
      </c>
      <c r="C30" s="0" t="s">
        <v>105</v>
      </c>
      <c r="D30" s="0" t="s">
        <v>139</v>
      </c>
      <c r="E30" s="0" t="s">
        <v>1477</v>
      </c>
      <c r="F30" s="0" t="s">
        <v>97</v>
      </c>
      <c r="G30" s="37" t="n">
        <v>45258</v>
      </c>
    </row>
    <row r="31" customFormat="false" ht="15" hidden="false" customHeight="false" outlineLevel="0" collapsed="false">
      <c r="A31" s="0" t="s">
        <v>314</v>
      </c>
      <c r="B31" s="0" t="s">
        <v>1511</v>
      </c>
      <c r="C31" s="0" t="s">
        <v>104</v>
      </c>
      <c r="D31" s="0" t="s">
        <v>136</v>
      </c>
      <c r="E31" s="0" t="s">
        <v>1491</v>
      </c>
      <c r="F31" s="0" t="s">
        <v>95</v>
      </c>
      <c r="G31" s="37" t="n">
        <v>45491</v>
      </c>
    </row>
    <row r="32" customFormat="false" ht="15" hidden="false" customHeight="false" outlineLevel="0" collapsed="false">
      <c r="A32" s="0" t="s">
        <v>407</v>
      </c>
      <c r="B32" s="0" t="s">
        <v>1512</v>
      </c>
      <c r="C32" s="0" t="s">
        <v>105</v>
      </c>
      <c r="D32" s="0" t="s">
        <v>135</v>
      </c>
      <c r="E32" s="0" t="s">
        <v>135</v>
      </c>
      <c r="F32" s="0" t="s">
        <v>95</v>
      </c>
      <c r="G32" s="37" t="n">
        <v>44779</v>
      </c>
    </row>
    <row r="33" customFormat="false" ht="15" hidden="false" customHeight="false" outlineLevel="0" collapsed="false">
      <c r="A33" s="0" t="s">
        <v>230</v>
      </c>
      <c r="B33" s="0" t="s">
        <v>1513</v>
      </c>
      <c r="C33" s="0" t="s">
        <v>104</v>
      </c>
      <c r="D33" s="0" t="s">
        <v>139</v>
      </c>
      <c r="E33" s="0" t="s">
        <v>1477</v>
      </c>
      <c r="F33" s="0" t="s">
        <v>97</v>
      </c>
      <c r="G33" s="37" t="n">
        <v>45327</v>
      </c>
    </row>
    <row r="34" customFormat="false" ht="15" hidden="false" customHeight="false" outlineLevel="0" collapsed="false">
      <c r="A34" s="0" t="s">
        <v>793</v>
      </c>
      <c r="B34" s="0" t="s">
        <v>1514</v>
      </c>
      <c r="C34" s="0" t="s">
        <v>105</v>
      </c>
      <c r="D34" s="0" t="s">
        <v>138</v>
      </c>
      <c r="E34" s="0" t="s">
        <v>1501</v>
      </c>
      <c r="F34" s="0" t="s">
        <v>95</v>
      </c>
      <c r="G34" s="37" t="n">
        <v>45225</v>
      </c>
    </row>
    <row r="35" customFormat="false" ht="15" hidden="false" customHeight="false" outlineLevel="0" collapsed="false">
      <c r="A35" s="0" t="s">
        <v>234</v>
      </c>
      <c r="B35" s="0" t="s">
        <v>1515</v>
      </c>
      <c r="C35" s="0" t="s">
        <v>106</v>
      </c>
      <c r="D35" s="0" t="s">
        <v>132</v>
      </c>
      <c r="E35" s="0" t="s">
        <v>1516</v>
      </c>
      <c r="F35" s="0" t="s">
        <v>96</v>
      </c>
      <c r="G35" s="37" t="n">
        <v>45191</v>
      </c>
    </row>
    <row r="36" customFormat="false" ht="15" hidden="false" customHeight="false" outlineLevel="0" collapsed="false">
      <c r="A36" s="0" t="s">
        <v>638</v>
      </c>
      <c r="B36" s="0" t="s">
        <v>1517</v>
      </c>
      <c r="C36" s="0" t="s">
        <v>105</v>
      </c>
      <c r="D36" s="0" t="s">
        <v>140</v>
      </c>
      <c r="E36" s="0" t="s">
        <v>1479</v>
      </c>
      <c r="F36" s="0" t="s">
        <v>95</v>
      </c>
      <c r="G36" s="37" t="n">
        <v>44723</v>
      </c>
    </row>
    <row r="37" customFormat="false" ht="15" hidden="false" customHeight="false" outlineLevel="0" collapsed="false">
      <c r="A37" s="0" t="s">
        <v>194</v>
      </c>
      <c r="B37" s="0" t="s">
        <v>1518</v>
      </c>
      <c r="C37" s="0" t="s">
        <v>105</v>
      </c>
      <c r="D37" s="0" t="s">
        <v>136</v>
      </c>
      <c r="E37" s="0" t="s">
        <v>1491</v>
      </c>
      <c r="F37" s="0" t="s">
        <v>95</v>
      </c>
      <c r="G37" s="37" t="n">
        <v>44819</v>
      </c>
    </row>
    <row r="38" customFormat="false" ht="15" hidden="false" customHeight="false" outlineLevel="0" collapsed="false">
      <c r="A38" s="0" t="s">
        <v>175</v>
      </c>
      <c r="B38" s="0" t="s">
        <v>1519</v>
      </c>
      <c r="C38" s="0" t="s">
        <v>106</v>
      </c>
      <c r="D38" s="0" t="s">
        <v>138</v>
      </c>
      <c r="E38" s="0" t="s">
        <v>1501</v>
      </c>
      <c r="F38" s="0" t="s">
        <v>95</v>
      </c>
      <c r="G38" s="37" t="n">
        <v>45642</v>
      </c>
    </row>
    <row r="39" customFormat="false" ht="15" hidden="false" customHeight="false" outlineLevel="0" collapsed="false">
      <c r="A39" s="0" t="s">
        <v>310</v>
      </c>
      <c r="B39" s="0" t="s">
        <v>1520</v>
      </c>
      <c r="C39" s="0" t="s">
        <v>105</v>
      </c>
      <c r="D39" s="0" t="s">
        <v>137</v>
      </c>
      <c r="E39" s="0" t="s">
        <v>1487</v>
      </c>
      <c r="F39" s="0" t="s">
        <v>96</v>
      </c>
      <c r="G39" s="37" t="n">
        <v>44973</v>
      </c>
    </row>
    <row r="40" customFormat="false" ht="15" hidden="false" customHeight="false" outlineLevel="0" collapsed="false">
      <c r="A40" s="0" t="s">
        <v>253</v>
      </c>
      <c r="B40" s="0" t="s">
        <v>1521</v>
      </c>
      <c r="C40" s="0" t="s">
        <v>105</v>
      </c>
      <c r="D40" s="0" t="s">
        <v>133</v>
      </c>
      <c r="E40" s="0" t="s">
        <v>1485</v>
      </c>
      <c r="F40" s="0" t="s">
        <v>97</v>
      </c>
      <c r="G40" s="37" t="n">
        <v>45892</v>
      </c>
    </row>
    <row r="41" customFormat="false" ht="15" hidden="false" customHeight="false" outlineLevel="0" collapsed="false">
      <c r="A41" s="0" t="s">
        <v>257</v>
      </c>
      <c r="B41" s="0" t="s">
        <v>1522</v>
      </c>
      <c r="C41" s="0" t="s">
        <v>104</v>
      </c>
      <c r="D41" s="0" t="s">
        <v>142</v>
      </c>
      <c r="E41" s="0" t="s">
        <v>1489</v>
      </c>
      <c r="F41" s="0" t="s">
        <v>98</v>
      </c>
      <c r="G41" s="37" t="n">
        <v>45069</v>
      </c>
    </row>
    <row r="42" customFormat="false" ht="15" hidden="false" customHeight="false" outlineLevel="0" collapsed="false">
      <c r="A42" s="0" t="s">
        <v>298</v>
      </c>
      <c r="B42" s="0" t="s">
        <v>1523</v>
      </c>
      <c r="C42" s="0" t="s">
        <v>104</v>
      </c>
      <c r="D42" s="0" t="s">
        <v>140</v>
      </c>
      <c r="E42" s="0" t="s">
        <v>1479</v>
      </c>
      <c r="F42" s="0" t="s">
        <v>95</v>
      </c>
      <c r="G42" s="37" t="n">
        <v>45766</v>
      </c>
    </row>
    <row r="43" customFormat="false" ht="15" hidden="false" customHeight="false" outlineLevel="0" collapsed="false">
      <c r="A43" s="0" t="s">
        <v>390</v>
      </c>
      <c r="B43" s="0" t="s">
        <v>1524</v>
      </c>
      <c r="C43" s="0" t="s">
        <v>104</v>
      </c>
      <c r="D43" s="0" t="s">
        <v>134</v>
      </c>
      <c r="E43" s="0" t="s">
        <v>1483</v>
      </c>
      <c r="F43" s="0" t="s">
        <v>96</v>
      </c>
      <c r="G43" s="37" t="n">
        <v>44707</v>
      </c>
    </row>
    <row r="44" customFormat="false" ht="15" hidden="false" customHeight="false" outlineLevel="0" collapsed="false">
      <c r="A44" s="0" t="s">
        <v>498</v>
      </c>
      <c r="B44" s="0" t="s">
        <v>1517</v>
      </c>
      <c r="C44" s="0" t="s">
        <v>104</v>
      </c>
      <c r="D44" s="0" t="s">
        <v>133</v>
      </c>
      <c r="E44" s="0" t="s">
        <v>1485</v>
      </c>
      <c r="F44" s="0" t="s">
        <v>97</v>
      </c>
      <c r="G44" s="37" t="n">
        <v>44626</v>
      </c>
    </row>
    <row r="45" customFormat="false" ht="15" hidden="false" customHeight="false" outlineLevel="0" collapsed="false">
      <c r="A45" s="0" t="s">
        <v>206</v>
      </c>
      <c r="B45" s="0" t="s">
        <v>1496</v>
      </c>
      <c r="C45" s="0" t="s">
        <v>106</v>
      </c>
      <c r="D45" s="0" t="s">
        <v>142</v>
      </c>
      <c r="E45" s="0" t="s">
        <v>1489</v>
      </c>
      <c r="F45" s="0" t="s">
        <v>98</v>
      </c>
      <c r="G45" s="37" t="n">
        <v>45932</v>
      </c>
    </row>
    <row r="46" customFormat="false" ht="15" hidden="false" customHeight="false" outlineLevel="0" collapsed="false">
      <c r="A46" s="0" t="s">
        <v>414</v>
      </c>
      <c r="B46" s="0" t="s">
        <v>1525</v>
      </c>
      <c r="C46" s="0" t="s">
        <v>105</v>
      </c>
      <c r="D46" s="0" t="s">
        <v>132</v>
      </c>
      <c r="E46" s="0" t="s">
        <v>1516</v>
      </c>
      <c r="F46" s="0" t="s">
        <v>96</v>
      </c>
      <c r="G46" s="37" t="n">
        <v>45731</v>
      </c>
    </row>
    <row r="47" customFormat="false" ht="15" hidden="false" customHeight="false" outlineLevel="0" collapsed="false">
      <c r="A47" s="0" t="s">
        <v>202</v>
      </c>
      <c r="B47" s="0" t="s">
        <v>1526</v>
      </c>
      <c r="C47" s="0" t="s">
        <v>106</v>
      </c>
      <c r="D47" s="0" t="s">
        <v>137</v>
      </c>
      <c r="E47" s="0" t="s">
        <v>1487</v>
      </c>
      <c r="F47" s="0" t="s">
        <v>96</v>
      </c>
      <c r="G47" s="37" t="n">
        <v>45395</v>
      </c>
    </row>
    <row r="48" customFormat="false" ht="15" hidden="false" customHeight="false" outlineLevel="0" collapsed="false">
      <c r="A48" s="0" t="s">
        <v>400</v>
      </c>
      <c r="B48" s="0" t="s">
        <v>1527</v>
      </c>
      <c r="C48" s="0" t="s">
        <v>105</v>
      </c>
      <c r="D48" s="0" t="s">
        <v>140</v>
      </c>
      <c r="E48" s="0" t="s">
        <v>1479</v>
      </c>
      <c r="F48" s="0" t="s">
        <v>95</v>
      </c>
      <c r="G48" s="37" t="n">
        <v>45444</v>
      </c>
    </row>
    <row r="49" customFormat="false" ht="15" hidden="false" customHeight="false" outlineLevel="0" collapsed="false">
      <c r="A49" s="0" t="s">
        <v>329</v>
      </c>
      <c r="B49" s="0" t="s">
        <v>1528</v>
      </c>
      <c r="C49" s="0" t="s">
        <v>106</v>
      </c>
      <c r="D49" s="0" t="s">
        <v>142</v>
      </c>
      <c r="E49" s="0" t="s">
        <v>1489</v>
      </c>
      <c r="F49" s="0" t="s">
        <v>98</v>
      </c>
      <c r="G49" s="37" t="n">
        <v>44672</v>
      </c>
    </row>
    <row r="50" customFormat="false" ht="15" hidden="false" customHeight="false" outlineLevel="0" collapsed="false">
      <c r="A50" s="0" t="s">
        <v>517</v>
      </c>
      <c r="B50" s="0" t="s">
        <v>1529</v>
      </c>
      <c r="C50" s="0" t="s">
        <v>106</v>
      </c>
      <c r="D50" s="0" t="s">
        <v>139</v>
      </c>
      <c r="E50" s="0" t="s">
        <v>1477</v>
      </c>
      <c r="F50" s="0" t="s">
        <v>97</v>
      </c>
      <c r="G50" s="37" t="n">
        <v>45256</v>
      </c>
    </row>
    <row r="51" customFormat="false" ht="15" hidden="false" customHeight="false" outlineLevel="0" collapsed="false">
      <c r="A51" s="0" t="s">
        <v>473</v>
      </c>
      <c r="B51" s="0" t="s">
        <v>1530</v>
      </c>
      <c r="C51" s="0" t="s">
        <v>104</v>
      </c>
      <c r="D51" s="0" t="s">
        <v>136</v>
      </c>
      <c r="E51" s="0" t="s">
        <v>1491</v>
      </c>
      <c r="F51" s="0" t="s">
        <v>95</v>
      </c>
      <c r="G51" s="37" t="n">
        <v>45660</v>
      </c>
    </row>
    <row r="52" customFormat="false" ht="15" hidden="false" customHeight="false" outlineLevel="0" collapsed="false">
      <c r="A52" s="0" t="s">
        <v>371</v>
      </c>
      <c r="B52" s="0" t="s">
        <v>1531</v>
      </c>
      <c r="C52" s="0" t="s">
        <v>104</v>
      </c>
      <c r="D52" s="0" t="s">
        <v>132</v>
      </c>
      <c r="E52" s="0" t="s">
        <v>1516</v>
      </c>
      <c r="F52" s="0" t="s">
        <v>96</v>
      </c>
      <c r="G52" s="37" t="n">
        <v>45132</v>
      </c>
    </row>
    <row r="53" customFormat="false" ht="15" hidden="false" customHeight="false" outlineLevel="0" collapsed="false">
      <c r="A53" s="0" t="s">
        <v>251</v>
      </c>
      <c r="B53" s="0" t="s">
        <v>1532</v>
      </c>
      <c r="C53" s="0" t="s">
        <v>106</v>
      </c>
      <c r="D53" s="0" t="s">
        <v>132</v>
      </c>
      <c r="E53" s="0" t="s">
        <v>1516</v>
      </c>
      <c r="F53" s="0" t="s">
        <v>96</v>
      </c>
      <c r="G53" s="37" t="n">
        <v>45689</v>
      </c>
    </row>
    <row r="54" customFormat="false" ht="15" hidden="false" customHeight="false" outlineLevel="0" collapsed="false">
      <c r="A54" s="0" t="s">
        <v>198</v>
      </c>
      <c r="B54" s="0" t="s">
        <v>1533</v>
      </c>
      <c r="C54" s="0" t="s">
        <v>104</v>
      </c>
      <c r="D54" s="0" t="s">
        <v>136</v>
      </c>
      <c r="E54" s="0" t="s">
        <v>1491</v>
      </c>
      <c r="F54" s="0" t="s">
        <v>95</v>
      </c>
      <c r="G54" s="37" t="n">
        <v>45046</v>
      </c>
    </row>
    <row r="55" customFormat="false" ht="15" hidden="false" customHeight="false" outlineLevel="0" collapsed="false">
      <c r="A55" s="0" t="s">
        <v>364</v>
      </c>
      <c r="B55" s="0" t="s">
        <v>1534</v>
      </c>
      <c r="C55" s="0" t="s">
        <v>106</v>
      </c>
      <c r="D55" s="0" t="s">
        <v>138</v>
      </c>
      <c r="E55" s="0" t="s">
        <v>1501</v>
      </c>
      <c r="F55" s="0" t="s">
        <v>95</v>
      </c>
      <c r="G55" s="37" t="n">
        <v>44999</v>
      </c>
    </row>
    <row r="56" customFormat="false" ht="15" hidden="false" customHeight="false" outlineLevel="0" collapsed="false">
      <c r="A56" s="0" t="s">
        <v>367</v>
      </c>
      <c r="B56" s="0" t="s">
        <v>1535</v>
      </c>
      <c r="C56" s="0" t="s">
        <v>106</v>
      </c>
      <c r="D56" s="0" t="s">
        <v>131</v>
      </c>
      <c r="E56" s="0" t="s">
        <v>1536</v>
      </c>
      <c r="F56" s="0" t="s">
        <v>98</v>
      </c>
      <c r="G56" s="37" t="n">
        <v>44566</v>
      </c>
    </row>
    <row r="57" customFormat="false" ht="15" hidden="false" customHeight="false" outlineLevel="0" collapsed="false">
      <c r="A57" s="0" t="s">
        <v>272</v>
      </c>
      <c r="B57" s="0" t="s">
        <v>1537</v>
      </c>
      <c r="C57" s="0" t="s">
        <v>106</v>
      </c>
      <c r="D57" s="0" t="s">
        <v>131</v>
      </c>
      <c r="E57" s="0" t="s">
        <v>1536</v>
      </c>
      <c r="F57" s="0" t="s">
        <v>98</v>
      </c>
      <c r="G57" s="37" t="n">
        <v>45428</v>
      </c>
    </row>
    <row r="58" customFormat="false" ht="15" hidden="false" customHeight="false" outlineLevel="0" collapsed="false">
      <c r="A58" s="0" t="s">
        <v>172</v>
      </c>
      <c r="B58" s="0" t="s">
        <v>1538</v>
      </c>
      <c r="C58" s="0" t="s">
        <v>104</v>
      </c>
      <c r="D58" s="0" t="s">
        <v>133</v>
      </c>
      <c r="E58" s="0" t="s">
        <v>1485</v>
      </c>
      <c r="F58" s="0" t="s">
        <v>97</v>
      </c>
      <c r="G58" s="37" t="n">
        <v>44950</v>
      </c>
    </row>
    <row r="59" customFormat="false" ht="15" hidden="false" customHeight="false" outlineLevel="0" collapsed="false">
      <c r="A59" s="0" t="s">
        <v>260</v>
      </c>
      <c r="B59" s="0" t="s">
        <v>1539</v>
      </c>
      <c r="C59" s="0" t="s">
        <v>105</v>
      </c>
      <c r="D59" s="0" t="s">
        <v>141</v>
      </c>
      <c r="E59" s="0" t="s">
        <v>1489</v>
      </c>
      <c r="F59" s="0" t="s">
        <v>98</v>
      </c>
      <c r="G59" s="37" t="n">
        <v>45672</v>
      </c>
    </row>
    <row r="60" customFormat="false" ht="15" hidden="false" customHeight="false" outlineLevel="0" collapsed="false">
      <c r="A60" s="0" t="s">
        <v>227</v>
      </c>
      <c r="B60" s="0" t="s">
        <v>1540</v>
      </c>
      <c r="C60" s="0" t="s">
        <v>104</v>
      </c>
      <c r="D60" s="0" t="s">
        <v>135</v>
      </c>
      <c r="E60" s="0" t="s">
        <v>135</v>
      </c>
      <c r="F60" s="0" t="s">
        <v>95</v>
      </c>
      <c r="G60" s="37" t="n">
        <v>45758</v>
      </c>
    </row>
    <row r="61" customFormat="false" ht="15" hidden="false" customHeight="false" outlineLevel="0" collapsed="false">
      <c r="A61" s="0" t="s">
        <v>187</v>
      </c>
      <c r="B61" s="0" t="s">
        <v>1541</v>
      </c>
      <c r="C61" s="0" t="s">
        <v>104</v>
      </c>
      <c r="D61" s="0" t="s">
        <v>132</v>
      </c>
      <c r="E61" s="0" t="s">
        <v>1516</v>
      </c>
      <c r="F61" s="0" t="s">
        <v>96</v>
      </c>
      <c r="G61" s="37" t="n">
        <v>45602</v>
      </c>
    </row>
    <row r="62" customFormat="false" ht="15" hidden="false" customHeight="false" outlineLevel="0" collapsed="false">
      <c r="A62" s="0" t="s">
        <v>213</v>
      </c>
      <c r="B62" s="0" t="s">
        <v>1542</v>
      </c>
      <c r="C62" s="0" t="s">
        <v>105</v>
      </c>
      <c r="D62" s="0" t="s">
        <v>136</v>
      </c>
      <c r="E62" s="0" t="s">
        <v>1491</v>
      </c>
      <c r="F62" s="0" t="s">
        <v>95</v>
      </c>
      <c r="G62" s="37" t="n">
        <v>44701</v>
      </c>
    </row>
    <row r="63" customFormat="false" ht="15" hidden="false" customHeight="false" outlineLevel="0" collapsed="false">
      <c r="A63" s="0" t="s">
        <v>249</v>
      </c>
      <c r="B63" s="0" t="s">
        <v>1543</v>
      </c>
      <c r="C63" s="0" t="s">
        <v>104</v>
      </c>
      <c r="D63" s="0" t="s">
        <v>139</v>
      </c>
      <c r="E63" s="0" t="s">
        <v>1477</v>
      </c>
      <c r="F63" s="0" t="s">
        <v>97</v>
      </c>
      <c r="G63" s="37" t="n">
        <v>45728</v>
      </c>
    </row>
    <row r="64" customFormat="false" ht="15" hidden="false" customHeight="false" outlineLevel="0" collapsed="false">
      <c r="A64" s="0" t="s">
        <v>238</v>
      </c>
      <c r="B64" s="0" t="s">
        <v>1544</v>
      </c>
      <c r="C64" s="0" t="s">
        <v>105</v>
      </c>
      <c r="D64" s="0" t="s">
        <v>140</v>
      </c>
      <c r="E64" s="0" t="s">
        <v>1479</v>
      </c>
      <c r="F64" s="0" t="s">
        <v>95</v>
      </c>
      <c r="G64" s="37" t="n">
        <v>44729</v>
      </c>
    </row>
    <row r="65" customFormat="false" ht="15" hidden="false" customHeight="false" outlineLevel="0" collapsed="false">
      <c r="A65" s="0" t="s">
        <v>467</v>
      </c>
      <c r="B65" s="0" t="s">
        <v>1545</v>
      </c>
      <c r="C65" s="0" t="s">
        <v>106</v>
      </c>
      <c r="D65" s="0" t="s">
        <v>131</v>
      </c>
      <c r="E65" s="0" t="s">
        <v>1536</v>
      </c>
      <c r="F65" s="0" t="s">
        <v>98</v>
      </c>
      <c r="G65" s="37" t="n">
        <v>44980</v>
      </c>
    </row>
    <row r="66" customFormat="false" ht="15" hidden="false" customHeight="false" outlineLevel="0" collapsed="false">
      <c r="A66" s="0" t="s">
        <v>190</v>
      </c>
      <c r="B66" s="0" t="s">
        <v>1546</v>
      </c>
      <c r="C66" s="0" t="s">
        <v>106</v>
      </c>
      <c r="D66" s="0" t="s">
        <v>139</v>
      </c>
      <c r="E66" s="0" t="s">
        <v>1477</v>
      </c>
      <c r="F66" s="0" t="s">
        <v>97</v>
      </c>
      <c r="G66" s="37" t="n">
        <v>45372</v>
      </c>
    </row>
    <row r="67" customFormat="false" ht="15" hidden="false" customHeight="false" outlineLevel="0" collapsed="false">
      <c r="A67" s="0" t="s">
        <v>447</v>
      </c>
      <c r="B67" s="0" t="s">
        <v>1547</v>
      </c>
      <c r="C67" s="0" t="s">
        <v>106</v>
      </c>
      <c r="D67" s="0" t="s">
        <v>138</v>
      </c>
      <c r="E67" s="0" t="s">
        <v>1501</v>
      </c>
      <c r="F67" s="0" t="s">
        <v>95</v>
      </c>
      <c r="G67" s="37" t="n">
        <v>44710</v>
      </c>
    </row>
    <row r="68" customFormat="false" ht="15" hidden="false" customHeight="false" outlineLevel="0" collapsed="false">
      <c r="A68" s="0" t="s">
        <v>433</v>
      </c>
      <c r="B68" s="0" t="s">
        <v>1548</v>
      </c>
      <c r="C68" s="0" t="s">
        <v>104</v>
      </c>
      <c r="D68" s="0" t="s">
        <v>135</v>
      </c>
      <c r="E68" s="0" t="s">
        <v>135</v>
      </c>
      <c r="F68" s="0" t="s">
        <v>95</v>
      </c>
      <c r="G68" s="37" t="n">
        <v>45663</v>
      </c>
    </row>
    <row r="69" customFormat="false" ht="15" hidden="false" customHeight="false" outlineLevel="0" collapsed="false">
      <c r="A69" s="0" t="s">
        <v>379</v>
      </c>
      <c r="B69" s="0" t="s">
        <v>1549</v>
      </c>
      <c r="C69" s="0" t="s">
        <v>104</v>
      </c>
      <c r="D69" s="0" t="s">
        <v>140</v>
      </c>
      <c r="E69" s="0" t="s">
        <v>1479</v>
      </c>
      <c r="F69" s="0" t="s">
        <v>95</v>
      </c>
      <c r="G69" s="37" t="n">
        <v>45276</v>
      </c>
    </row>
    <row r="70" customFormat="false" ht="15" hidden="false" customHeight="false" outlineLevel="0" collapsed="false">
      <c r="A70" s="0" t="s">
        <v>208</v>
      </c>
      <c r="B70" s="0" t="s">
        <v>1550</v>
      </c>
      <c r="C70" s="0" t="s">
        <v>106</v>
      </c>
      <c r="D70" s="0" t="s">
        <v>136</v>
      </c>
      <c r="E70" s="0" t="s">
        <v>1491</v>
      </c>
      <c r="F70" s="0" t="s">
        <v>95</v>
      </c>
      <c r="G70" s="37" t="n">
        <v>44885</v>
      </c>
    </row>
    <row r="71" customFormat="false" ht="15" hidden="false" customHeight="false" outlineLevel="0" collapsed="false">
      <c r="A71" s="0" t="s">
        <v>204</v>
      </c>
      <c r="B71" s="0" t="s">
        <v>1551</v>
      </c>
      <c r="C71" s="0" t="s">
        <v>105</v>
      </c>
      <c r="D71" s="0" t="s">
        <v>132</v>
      </c>
      <c r="E71" s="0" t="s">
        <v>1516</v>
      </c>
      <c r="F71" s="0" t="s">
        <v>96</v>
      </c>
      <c r="G71" s="37" t="n">
        <v>45901</v>
      </c>
    </row>
    <row r="72" customFormat="false" ht="15" hidden="false" customHeight="false" outlineLevel="0" collapsed="false">
      <c r="A72" s="0" t="s">
        <v>287</v>
      </c>
      <c r="B72" s="0" t="s">
        <v>1552</v>
      </c>
      <c r="C72" s="0" t="s">
        <v>105</v>
      </c>
      <c r="D72" s="0" t="s">
        <v>134</v>
      </c>
      <c r="E72" s="0" t="s">
        <v>1483</v>
      </c>
      <c r="F72" s="0" t="s">
        <v>96</v>
      </c>
      <c r="G72" s="37" t="n">
        <v>44774</v>
      </c>
    </row>
    <row r="73" customFormat="false" ht="15" hidden="false" customHeight="false" outlineLevel="0" collapsed="false">
      <c r="A73" s="0" t="s">
        <v>322</v>
      </c>
      <c r="B73" s="0" t="s">
        <v>1553</v>
      </c>
      <c r="C73" s="0" t="s">
        <v>104</v>
      </c>
      <c r="D73" s="0" t="s">
        <v>138</v>
      </c>
      <c r="E73" s="0" t="s">
        <v>1501</v>
      </c>
      <c r="F73" s="0" t="s">
        <v>95</v>
      </c>
      <c r="G73" s="37" t="n">
        <v>45695</v>
      </c>
    </row>
    <row r="74" customFormat="false" ht="15" hidden="false" customHeight="false" outlineLevel="0" collapsed="false">
      <c r="A74" s="0" t="s">
        <v>224</v>
      </c>
      <c r="B74" s="0" t="s">
        <v>1554</v>
      </c>
      <c r="C74" s="0" t="s">
        <v>105</v>
      </c>
      <c r="D74" s="0" t="s">
        <v>138</v>
      </c>
      <c r="E74" s="0" t="s">
        <v>1501</v>
      </c>
      <c r="F74" s="0" t="s">
        <v>95</v>
      </c>
      <c r="G74" s="37" t="n">
        <v>44993</v>
      </c>
    </row>
    <row r="75" customFormat="false" ht="15" hidden="false" customHeight="false" outlineLevel="0" collapsed="false">
      <c r="A75" s="0" t="s">
        <v>409</v>
      </c>
      <c r="B75" s="0" t="s">
        <v>1555</v>
      </c>
      <c r="C75" s="0" t="s">
        <v>105</v>
      </c>
      <c r="D75" s="0" t="s">
        <v>133</v>
      </c>
      <c r="E75" s="0" t="s">
        <v>1485</v>
      </c>
      <c r="F75" s="0" t="s">
        <v>97</v>
      </c>
      <c r="G75" s="37" t="n">
        <v>45860</v>
      </c>
    </row>
    <row r="76" customFormat="false" ht="15" hidden="false" customHeight="false" outlineLevel="0" collapsed="false">
      <c r="A76" s="0" t="s">
        <v>200</v>
      </c>
      <c r="B76" s="0" t="s">
        <v>1556</v>
      </c>
      <c r="C76" s="0" t="s">
        <v>106</v>
      </c>
      <c r="D76" s="0" t="s">
        <v>141</v>
      </c>
      <c r="E76" s="0" t="s">
        <v>1489</v>
      </c>
      <c r="F76" s="0" t="s">
        <v>98</v>
      </c>
      <c r="G76" s="37" t="n">
        <v>44666</v>
      </c>
    </row>
    <row r="77" customFormat="false" ht="15" hidden="false" customHeight="false" outlineLevel="0" collapsed="false">
      <c r="A77" s="0" t="s">
        <v>244</v>
      </c>
      <c r="B77" s="0" t="s">
        <v>1557</v>
      </c>
      <c r="C77" s="0" t="s">
        <v>104</v>
      </c>
      <c r="D77" s="0" t="s">
        <v>136</v>
      </c>
      <c r="E77" s="0" t="s">
        <v>1491</v>
      </c>
      <c r="F77" s="0" t="s">
        <v>95</v>
      </c>
      <c r="G77" s="37" t="n">
        <v>44569</v>
      </c>
    </row>
    <row r="78" customFormat="false" ht="15" hidden="false" customHeight="false" outlineLevel="0" collapsed="false">
      <c r="A78" s="0" t="s">
        <v>266</v>
      </c>
      <c r="B78" s="0" t="s">
        <v>1558</v>
      </c>
      <c r="C78" s="0" t="s">
        <v>104</v>
      </c>
      <c r="D78" s="0" t="s">
        <v>142</v>
      </c>
      <c r="E78" s="0" t="s">
        <v>1489</v>
      </c>
      <c r="F78" s="0" t="s">
        <v>98</v>
      </c>
      <c r="G78" s="37" t="n">
        <v>45466</v>
      </c>
    </row>
    <row r="79" customFormat="false" ht="15" hidden="false" customHeight="false" outlineLevel="0" collapsed="false">
      <c r="A79" s="0" t="s">
        <v>350</v>
      </c>
      <c r="B79" s="0" t="s">
        <v>1559</v>
      </c>
      <c r="C79" s="0" t="s">
        <v>104</v>
      </c>
      <c r="D79" s="0" t="s">
        <v>134</v>
      </c>
      <c r="E79" s="0" t="s">
        <v>1483</v>
      </c>
      <c r="F79" s="0" t="s">
        <v>96</v>
      </c>
      <c r="G79" s="37" t="n">
        <v>44716</v>
      </c>
    </row>
    <row r="80" customFormat="false" ht="15" hidden="false" customHeight="false" outlineLevel="0" collapsed="false">
      <c r="A80" s="0" t="s">
        <v>621</v>
      </c>
      <c r="B80" s="0" t="s">
        <v>1560</v>
      </c>
      <c r="C80" s="0" t="s">
        <v>106</v>
      </c>
      <c r="D80" s="0" t="s">
        <v>133</v>
      </c>
      <c r="E80" s="0" t="s">
        <v>1485</v>
      </c>
      <c r="F80" s="0" t="s">
        <v>97</v>
      </c>
      <c r="G80" s="37" t="n">
        <v>45754</v>
      </c>
    </row>
    <row r="81" customFormat="false" ht="15" hidden="false" customHeight="false" outlineLevel="0" collapsed="false">
      <c r="A81" s="0" t="s">
        <v>305</v>
      </c>
      <c r="B81" s="0" t="s">
        <v>1531</v>
      </c>
      <c r="C81" s="0" t="s">
        <v>104</v>
      </c>
      <c r="D81" s="0" t="s">
        <v>134</v>
      </c>
      <c r="E81" s="0" t="s">
        <v>1483</v>
      </c>
      <c r="F81" s="0" t="s">
        <v>96</v>
      </c>
      <c r="G81" s="37" t="n">
        <v>44647</v>
      </c>
    </row>
    <row r="82" customFormat="false" ht="15" hidden="false" customHeight="false" outlineLevel="0" collapsed="false">
      <c r="A82" s="0" t="s">
        <v>180</v>
      </c>
      <c r="B82" s="0" t="s">
        <v>1561</v>
      </c>
      <c r="C82" s="0" t="s">
        <v>106</v>
      </c>
      <c r="D82" s="0" t="s">
        <v>141</v>
      </c>
      <c r="E82" s="0" t="s">
        <v>1489</v>
      </c>
      <c r="F82" s="0" t="s">
        <v>98</v>
      </c>
      <c r="G82" s="37" t="n">
        <v>44992</v>
      </c>
    </row>
    <row r="83" customFormat="false" ht="15" hidden="false" customHeight="false" outlineLevel="0" collapsed="false">
      <c r="A83" s="0" t="s">
        <v>348</v>
      </c>
      <c r="B83" s="0" t="s">
        <v>1562</v>
      </c>
      <c r="C83" s="0" t="s">
        <v>106</v>
      </c>
      <c r="D83" s="0" t="s">
        <v>139</v>
      </c>
      <c r="E83" s="0" t="s">
        <v>1477</v>
      </c>
      <c r="F83" s="0" t="s">
        <v>97</v>
      </c>
      <c r="G83" s="37" t="n">
        <v>45708</v>
      </c>
    </row>
    <row r="84" customFormat="false" ht="15" hidden="false" customHeight="false" outlineLevel="0" collapsed="false">
      <c r="A84" s="0" t="s">
        <v>345</v>
      </c>
      <c r="B84" s="0" t="s">
        <v>1563</v>
      </c>
      <c r="C84" s="0" t="s">
        <v>104</v>
      </c>
      <c r="D84" s="0" t="s">
        <v>131</v>
      </c>
      <c r="E84" s="0" t="s">
        <v>1536</v>
      </c>
      <c r="F84" s="0" t="s">
        <v>98</v>
      </c>
      <c r="G84" s="37" t="n">
        <v>44894</v>
      </c>
    </row>
    <row r="85" customFormat="false" ht="15" hidden="false" customHeight="false" outlineLevel="0" collapsed="false">
      <c r="A85" s="0" t="s">
        <v>215</v>
      </c>
      <c r="B85" s="0" t="s">
        <v>1559</v>
      </c>
      <c r="C85" s="0" t="s">
        <v>104</v>
      </c>
      <c r="D85" s="0" t="s">
        <v>138</v>
      </c>
      <c r="E85" s="0" t="s">
        <v>1501</v>
      </c>
      <c r="F85" s="0" t="s">
        <v>95</v>
      </c>
      <c r="G85" s="37" t="n">
        <v>45242</v>
      </c>
    </row>
    <row r="86" customFormat="false" ht="15" hidden="false" customHeight="false" outlineLevel="0" collapsed="false">
      <c r="A86" s="0" t="s">
        <v>522</v>
      </c>
      <c r="B86" s="0" t="s">
        <v>1564</v>
      </c>
      <c r="C86" s="0" t="s">
        <v>104</v>
      </c>
      <c r="D86" s="0" t="s">
        <v>131</v>
      </c>
      <c r="E86" s="0" t="s">
        <v>1536</v>
      </c>
      <c r="F86" s="0" t="s">
        <v>98</v>
      </c>
      <c r="G86" s="37" t="n">
        <v>44783</v>
      </c>
    </row>
    <row r="87" customFormat="false" ht="15" hidden="false" customHeight="false" outlineLevel="0" collapsed="false">
      <c r="A87" s="0" t="s">
        <v>232</v>
      </c>
      <c r="B87" s="0" t="s">
        <v>1565</v>
      </c>
      <c r="C87" s="0" t="s">
        <v>104</v>
      </c>
      <c r="D87" s="0" t="s">
        <v>131</v>
      </c>
      <c r="E87" s="0" t="s">
        <v>1536</v>
      </c>
      <c r="F87" s="0" t="s">
        <v>98</v>
      </c>
      <c r="G87" s="37" t="n">
        <v>44970</v>
      </c>
    </row>
    <row r="88" customFormat="false" ht="15" hidden="false" customHeight="false" outlineLevel="0" collapsed="false">
      <c r="A88" s="0" t="s">
        <v>268</v>
      </c>
      <c r="B88" s="0" t="s">
        <v>1566</v>
      </c>
      <c r="C88" s="0" t="s">
        <v>104</v>
      </c>
      <c r="D88" s="0" t="s">
        <v>132</v>
      </c>
      <c r="E88" s="0" t="s">
        <v>1516</v>
      </c>
      <c r="F88" s="0" t="s">
        <v>96</v>
      </c>
      <c r="G88" s="37" t="n">
        <v>45018</v>
      </c>
    </row>
    <row r="89" customFormat="false" ht="15" hidden="false" customHeight="false" outlineLevel="0" collapsed="false">
      <c r="A89" s="0" t="s">
        <v>312</v>
      </c>
      <c r="B89" s="0" t="s">
        <v>1567</v>
      </c>
      <c r="C89" s="0" t="s">
        <v>106</v>
      </c>
      <c r="D89" s="0" t="s">
        <v>135</v>
      </c>
      <c r="E89" s="0" t="s">
        <v>135</v>
      </c>
      <c r="F89" s="0" t="s">
        <v>95</v>
      </c>
      <c r="G89" s="37" t="n">
        <v>45132</v>
      </c>
    </row>
    <row r="90" customFormat="false" ht="15" hidden="false" customHeight="false" outlineLevel="0" collapsed="false">
      <c r="A90" s="0" t="s">
        <v>182</v>
      </c>
      <c r="B90" s="0" t="s">
        <v>1568</v>
      </c>
      <c r="C90" s="0" t="s">
        <v>105</v>
      </c>
      <c r="D90" s="0" t="s">
        <v>136</v>
      </c>
      <c r="E90" s="0" t="s">
        <v>1491</v>
      </c>
      <c r="F90" s="0" t="s">
        <v>95</v>
      </c>
      <c r="G90" s="37" t="n">
        <v>45605</v>
      </c>
    </row>
    <row r="91" customFormat="false" ht="15" hidden="false" customHeight="false" outlineLevel="0" collapsed="false">
      <c r="A91" s="0" t="s">
        <v>184</v>
      </c>
      <c r="B91" s="0" t="s">
        <v>1569</v>
      </c>
      <c r="C91" s="0" t="s">
        <v>104</v>
      </c>
      <c r="D91" s="0" t="s">
        <v>131</v>
      </c>
      <c r="E91" s="0" t="s">
        <v>1536</v>
      </c>
      <c r="F91" s="0" t="s">
        <v>98</v>
      </c>
      <c r="G91" s="37" t="n">
        <v>44798</v>
      </c>
    </row>
    <row r="92" customFormat="false" ht="15" hidden="false" customHeight="false" outlineLevel="0" collapsed="false">
      <c r="A92" s="0" t="s">
        <v>397</v>
      </c>
      <c r="B92" s="0" t="s">
        <v>1570</v>
      </c>
      <c r="C92" s="0" t="s">
        <v>104</v>
      </c>
      <c r="D92" s="0" t="s">
        <v>141</v>
      </c>
      <c r="E92" s="0" t="s">
        <v>1489</v>
      </c>
      <c r="F92" s="0" t="s">
        <v>98</v>
      </c>
      <c r="G92" s="37" t="n">
        <v>44784</v>
      </c>
    </row>
    <row r="93" customFormat="false" ht="15" hidden="false" customHeight="false" outlineLevel="0" collapsed="false">
      <c r="A93" s="0" t="s">
        <v>285</v>
      </c>
      <c r="B93" s="0" t="s">
        <v>1571</v>
      </c>
      <c r="C93" s="0" t="s">
        <v>105</v>
      </c>
      <c r="D93" s="0" t="s">
        <v>137</v>
      </c>
      <c r="E93" s="0" t="s">
        <v>1487</v>
      </c>
      <c r="F93" s="0" t="s">
        <v>96</v>
      </c>
      <c r="G93" s="37" t="n">
        <v>45204</v>
      </c>
    </row>
    <row r="94" customFormat="false" ht="15" hidden="false" customHeight="false" outlineLevel="0" collapsed="false">
      <c r="A94" s="0" t="s">
        <v>316</v>
      </c>
      <c r="B94" s="0" t="s">
        <v>1572</v>
      </c>
      <c r="C94" s="0" t="s">
        <v>106</v>
      </c>
      <c r="D94" s="0" t="s">
        <v>131</v>
      </c>
      <c r="E94" s="0" t="s">
        <v>1536</v>
      </c>
      <c r="F94" s="0" t="s">
        <v>98</v>
      </c>
      <c r="G94" s="37" t="n">
        <v>45742</v>
      </c>
    </row>
    <row r="95" customFormat="false" ht="15" hidden="false" customHeight="false" outlineLevel="0" collapsed="false">
      <c r="A95" s="0" t="s">
        <v>425</v>
      </c>
      <c r="B95" s="0" t="s">
        <v>1573</v>
      </c>
      <c r="C95" s="0" t="s">
        <v>105</v>
      </c>
      <c r="D95" s="0" t="s">
        <v>140</v>
      </c>
      <c r="E95" s="0" t="s">
        <v>1479</v>
      </c>
      <c r="F95" s="0" t="s">
        <v>95</v>
      </c>
      <c r="G95" s="37" t="n">
        <v>45455</v>
      </c>
    </row>
    <row r="96" customFormat="false" ht="15" hidden="false" customHeight="false" outlineLevel="0" collapsed="false">
      <c r="A96" s="0" t="s">
        <v>341</v>
      </c>
      <c r="B96" s="0" t="s">
        <v>1574</v>
      </c>
      <c r="C96" s="0" t="s">
        <v>106</v>
      </c>
      <c r="D96" s="0" t="s">
        <v>135</v>
      </c>
      <c r="E96" s="0" t="s">
        <v>135</v>
      </c>
      <c r="F96" s="0" t="s">
        <v>95</v>
      </c>
      <c r="G96" s="37" t="n">
        <v>45445</v>
      </c>
    </row>
    <row r="97" customFormat="false" ht="15" hidden="false" customHeight="false" outlineLevel="0" collapsed="false">
      <c r="A97" s="0" t="s">
        <v>242</v>
      </c>
      <c r="B97" s="0" t="s">
        <v>1575</v>
      </c>
      <c r="C97" s="0" t="s">
        <v>105</v>
      </c>
      <c r="D97" s="0" t="s">
        <v>136</v>
      </c>
      <c r="E97" s="0" t="s">
        <v>1491</v>
      </c>
      <c r="F97" s="0" t="s">
        <v>95</v>
      </c>
      <c r="G97" s="37" t="n">
        <v>44817</v>
      </c>
    </row>
    <row r="98" customFormat="false" ht="15" hidden="false" customHeight="false" outlineLevel="0" collapsed="false">
      <c r="A98" s="0" t="s">
        <v>192</v>
      </c>
      <c r="B98" s="0" t="s">
        <v>1576</v>
      </c>
      <c r="C98" s="0" t="s">
        <v>105</v>
      </c>
      <c r="D98" s="0" t="s">
        <v>133</v>
      </c>
      <c r="E98" s="0" t="s">
        <v>1485</v>
      </c>
      <c r="F98" s="0" t="s">
        <v>97</v>
      </c>
      <c r="G98" s="37" t="n">
        <v>45398</v>
      </c>
    </row>
    <row r="99" customFormat="false" ht="15" hidden="false" customHeight="false" outlineLevel="0" collapsed="false">
      <c r="A99" s="0" t="s">
        <v>270</v>
      </c>
      <c r="B99" s="0" t="s">
        <v>1577</v>
      </c>
      <c r="C99" s="0" t="s">
        <v>105</v>
      </c>
      <c r="D99" s="0" t="s">
        <v>142</v>
      </c>
      <c r="E99" s="0" t="s">
        <v>1489</v>
      </c>
      <c r="F99" s="0" t="s">
        <v>98</v>
      </c>
      <c r="G99" s="37" t="n">
        <v>44822</v>
      </c>
    </row>
    <row r="100" customFormat="false" ht="15" hidden="false" customHeight="false" outlineLevel="0" collapsed="false">
      <c r="A100" s="0" t="s">
        <v>276</v>
      </c>
      <c r="B100" s="0" t="s">
        <v>1578</v>
      </c>
      <c r="C100" s="0" t="s">
        <v>105</v>
      </c>
      <c r="D100" s="0" t="s">
        <v>140</v>
      </c>
      <c r="E100" s="0" t="s">
        <v>1479</v>
      </c>
      <c r="F100" s="0" t="s">
        <v>95</v>
      </c>
      <c r="G100" s="37" t="n">
        <v>44918</v>
      </c>
    </row>
    <row r="101" customFormat="false" ht="15" hidden="false" customHeight="false" outlineLevel="0" collapsed="false">
      <c r="A101" s="0" t="s">
        <v>452</v>
      </c>
      <c r="B101" s="0" t="s">
        <v>1579</v>
      </c>
      <c r="C101" s="0" t="s">
        <v>106</v>
      </c>
      <c r="D101" s="0" t="s">
        <v>137</v>
      </c>
      <c r="E101" s="0" t="s">
        <v>1487</v>
      </c>
      <c r="F101" s="0" t="s">
        <v>96</v>
      </c>
      <c r="G101" s="37" t="n">
        <v>45684</v>
      </c>
    </row>
  </sheetData>
  <autoFilter ref="A1:G10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6"/>
    <col collapsed="false" customWidth="true" hidden="false" outlineLevel="0" max="3" min="3" style="0" width="17"/>
    <col collapsed="false" customWidth="true" hidden="false" outlineLevel="0" max="4" min="4" style="0" width="16"/>
    <col collapsed="false" customWidth="true" hidden="false" outlineLevel="0" max="5" min="5" style="0" width="15"/>
  </cols>
  <sheetData>
    <row r="1" customFormat="false" ht="15" hidden="false" customHeight="false" outlineLevel="0" collapsed="false">
      <c r="A1" s="35" t="s">
        <v>152</v>
      </c>
      <c r="B1" s="35" t="s">
        <v>1580</v>
      </c>
      <c r="C1" s="35" t="s">
        <v>164</v>
      </c>
      <c r="D1" s="35" t="s">
        <v>1581</v>
      </c>
      <c r="E1" s="35" t="s">
        <v>1582</v>
      </c>
    </row>
    <row r="2" customFormat="false" ht="15" hidden="false" customHeight="false" outlineLevel="0" collapsed="false">
      <c r="A2" s="0" t="s">
        <v>113</v>
      </c>
      <c r="B2" s="0" t="s">
        <v>1583</v>
      </c>
      <c r="C2" s="0" t="s">
        <v>91</v>
      </c>
      <c r="D2" s="39" t="n">
        <v>45000</v>
      </c>
      <c r="E2" s="39" t="n">
        <v>36000</v>
      </c>
    </row>
    <row r="3" customFormat="false" ht="15" hidden="false" customHeight="false" outlineLevel="0" collapsed="false">
      <c r="A3" s="0" t="s">
        <v>114</v>
      </c>
      <c r="B3" s="0" t="s">
        <v>1584</v>
      </c>
      <c r="C3" s="0" t="s">
        <v>91</v>
      </c>
      <c r="D3" s="39" t="n">
        <v>800</v>
      </c>
      <c r="E3" s="39" t="n">
        <v>420</v>
      </c>
    </row>
    <row r="4" customFormat="false" ht="15" hidden="false" customHeight="false" outlineLevel="0" collapsed="false">
      <c r="A4" s="0" t="s">
        <v>115</v>
      </c>
      <c r="B4" s="0" t="s">
        <v>1585</v>
      </c>
      <c r="C4" s="0" t="s">
        <v>91</v>
      </c>
      <c r="D4" s="39" t="n">
        <v>1500</v>
      </c>
      <c r="E4" s="39" t="n">
        <v>850</v>
      </c>
    </row>
    <row r="5" customFormat="false" ht="15" hidden="false" customHeight="false" outlineLevel="0" collapsed="false">
      <c r="A5" s="0" t="s">
        <v>116</v>
      </c>
      <c r="B5" s="0" t="s">
        <v>1586</v>
      </c>
      <c r="C5" s="0" t="s">
        <v>91</v>
      </c>
      <c r="D5" s="39" t="n">
        <v>12000</v>
      </c>
      <c r="E5" s="39" t="n">
        <v>9000</v>
      </c>
    </row>
    <row r="6" customFormat="false" ht="15" hidden="false" customHeight="false" outlineLevel="0" collapsed="false">
      <c r="A6" s="0" t="s">
        <v>117</v>
      </c>
      <c r="B6" s="0" t="s">
        <v>1587</v>
      </c>
      <c r="C6" s="0" t="s">
        <v>92</v>
      </c>
      <c r="D6" s="39" t="n">
        <v>6500</v>
      </c>
      <c r="E6" s="39" t="n">
        <v>4200</v>
      </c>
    </row>
    <row r="7" customFormat="false" ht="15" hidden="false" customHeight="false" outlineLevel="0" collapsed="false">
      <c r="A7" s="0" t="s">
        <v>118</v>
      </c>
      <c r="B7" s="0" t="s">
        <v>1588</v>
      </c>
      <c r="C7" s="0" t="s">
        <v>92</v>
      </c>
      <c r="D7" s="39" t="n">
        <v>9000</v>
      </c>
      <c r="E7" s="39" t="n">
        <v>6500</v>
      </c>
    </row>
    <row r="8" customFormat="false" ht="15" hidden="false" customHeight="false" outlineLevel="0" collapsed="false">
      <c r="A8" s="0" t="s">
        <v>119</v>
      </c>
      <c r="B8" s="0" t="s">
        <v>1589</v>
      </c>
      <c r="C8" s="0" t="s">
        <v>93</v>
      </c>
      <c r="D8" s="39" t="n">
        <v>250</v>
      </c>
      <c r="E8" s="39" t="n">
        <v>120</v>
      </c>
    </row>
    <row r="9" customFormat="false" ht="15" hidden="false" customHeight="false" outlineLevel="0" collapsed="false">
      <c r="A9" s="0" t="s">
        <v>120</v>
      </c>
      <c r="B9" s="0" t="s">
        <v>1590</v>
      </c>
      <c r="C9" s="0" t="s">
        <v>93</v>
      </c>
      <c r="D9" s="39" t="n">
        <v>400</v>
      </c>
      <c r="E9" s="39" t="n">
        <v>260</v>
      </c>
    </row>
    <row r="10" customFormat="false" ht="15" hidden="false" customHeight="false" outlineLevel="0" collapsed="false">
      <c r="A10" s="0" t="s">
        <v>121</v>
      </c>
      <c r="B10" s="0" t="s">
        <v>1591</v>
      </c>
      <c r="C10" s="0" t="s">
        <v>93</v>
      </c>
      <c r="D10" s="39" t="n">
        <v>180</v>
      </c>
      <c r="E10" s="39" t="n">
        <v>70</v>
      </c>
    </row>
    <row r="11" customFormat="false" ht="15" hidden="false" customHeight="false" outlineLevel="0" collapsed="false">
      <c r="A11" s="0" t="s">
        <v>122</v>
      </c>
      <c r="B11" s="0" t="s">
        <v>1592</v>
      </c>
      <c r="C11" s="0" t="s">
        <v>92</v>
      </c>
      <c r="D11" s="39" t="n">
        <v>5500</v>
      </c>
      <c r="E11" s="39" t="n">
        <v>3700</v>
      </c>
    </row>
    <row r="12" customFormat="false" ht="15" hidden="false" customHeight="false" outlineLevel="0" collapsed="false">
      <c r="A12" s="0" t="s">
        <v>123</v>
      </c>
      <c r="B12" s="0" t="s">
        <v>1593</v>
      </c>
      <c r="C12" s="0" t="s">
        <v>91</v>
      </c>
      <c r="D12" s="39" t="n">
        <v>2200</v>
      </c>
      <c r="E12" s="39" t="n">
        <v>1300</v>
      </c>
    </row>
    <row r="13" customFormat="false" ht="15" hidden="false" customHeight="false" outlineLevel="0" collapsed="false">
      <c r="A13" s="0" t="s">
        <v>124</v>
      </c>
      <c r="B13" s="0" t="s">
        <v>1594</v>
      </c>
      <c r="C13" s="0" t="s">
        <v>91</v>
      </c>
      <c r="D13" s="39" t="n">
        <v>3000</v>
      </c>
      <c r="E13" s="39" t="n">
        <v>1900</v>
      </c>
    </row>
    <row r="14" customFormat="false" ht="15" hidden="false" customHeight="false" outlineLevel="0" collapsed="false">
      <c r="A14" s="0" t="s">
        <v>125</v>
      </c>
      <c r="B14" s="0" t="s">
        <v>1595</v>
      </c>
      <c r="C14" s="0" t="s">
        <v>93</v>
      </c>
      <c r="D14" s="39" t="n">
        <v>600</v>
      </c>
      <c r="E14" s="39" t="n">
        <v>350</v>
      </c>
    </row>
    <row r="15" customFormat="false" ht="15" hidden="false" customHeight="false" outlineLevel="0" collapsed="false">
      <c r="A15" s="0" t="s">
        <v>126</v>
      </c>
      <c r="B15" s="0" t="s">
        <v>1596</v>
      </c>
      <c r="C15" s="0" t="s">
        <v>92</v>
      </c>
      <c r="D15" s="39" t="n">
        <v>1200</v>
      </c>
      <c r="E15" s="39" t="n">
        <v>700</v>
      </c>
    </row>
    <row r="16" customFormat="false" ht="15" hidden="false" customHeight="false" outlineLevel="0" collapsed="false">
      <c r="A16" s="0" t="s">
        <v>127</v>
      </c>
      <c r="B16" s="0" t="s">
        <v>1597</v>
      </c>
      <c r="C16" s="0" t="s">
        <v>91</v>
      </c>
      <c r="D16" s="39" t="n">
        <v>18000</v>
      </c>
      <c r="E16" s="39" t="n">
        <v>14000</v>
      </c>
    </row>
  </sheetData>
  <autoFilter ref="A1:E1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8"/>
    <col collapsed="false" customWidth="true" hidden="false" outlineLevel="0" max="3" min="3" style="0" width="22"/>
  </cols>
  <sheetData>
    <row r="1" customFormat="false" ht="15" hidden="false" customHeight="false" outlineLevel="0" collapsed="false">
      <c r="A1" s="35" t="s">
        <v>1598</v>
      </c>
      <c r="B1" s="35" t="s">
        <v>1599</v>
      </c>
      <c r="C1" s="35" t="s">
        <v>1600</v>
      </c>
    </row>
    <row r="2" customFormat="false" ht="15" hidden="false" customHeight="false" outlineLevel="0" collapsed="false">
      <c r="A2" s="0" t="s">
        <v>148</v>
      </c>
      <c r="B2" s="0" t="s">
        <v>1601</v>
      </c>
      <c r="C2" s="0" t="s">
        <v>145</v>
      </c>
    </row>
    <row r="3" customFormat="false" ht="15" hidden="false" customHeight="false" outlineLevel="0" collapsed="false">
      <c r="A3" s="0" t="s">
        <v>151</v>
      </c>
      <c r="B3" s="0" t="s">
        <v>1602</v>
      </c>
      <c r="C3" s="0" t="s">
        <v>1603</v>
      </c>
    </row>
    <row r="4" customFormat="false" ht="15" hidden="false" customHeight="false" outlineLevel="0" collapsed="false">
      <c r="A4" s="0" t="s">
        <v>152</v>
      </c>
      <c r="B4" s="0" t="s">
        <v>1604</v>
      </c>
      <c r="C4" s="0" t="s">
        <v>1605</v>
      </c>
    </row>
    <row r="5" customFormat="false" ht="15" hidden="false" customHeight="false" outlineLevel="0" collapsed="false">
      <c r="A5" s="0" t="s">
        <v>158</v>
      </c>
      <c r="B5" s="0" t="s">
        <v>1606</v>
      </c>
      <c r="C5" s="0" t="s">
        <v>145</v>
      </c>
    </row>
    <row r="6" customFormat="false" ht="15" hidden="false" customHeight="false" outlineLevel="0" collapsed="false">
      <c r="A6" s="0" t="s">
        <v>159</v>
      </c>
      <c r="B6" s="0" t="s">
        <v>1607</v>
      </c>
      <c r="C6" s="0" t="s">
        <v>145</v>
      </c>
    </row>
    <row r="7" customFormat="false" ht="15" hidden="false" customHeight="false" outlineLevel="0" collapsed="false">
      <c r="A7" s="0" t="s">
        <v>160</v>
      </c>
      <c r="B7" s="0" t="s">
        <v>1608</v>
      </c>
      <c r="C7" s="0" t="s">
        <v>145</v>
      </c>
    </row>
    <row r="8" customFormat="false" ht="15" hidden="false" customHeight="false" outlineLevel="0" collapsed="false">
      <c r="A8" s="0" t="s">
        <v>157</v>
      </c>
      <c r="B8" s="0" t="s">
        <v>1609</v>
      </c>
      <c r="C8" s="0" t="s">
        <v>145</v>
      </c>
    </row>
    <row r="9" customFormat="false" ht="15" hidden="false" customHeight="false" outlineLevel="0" collapsed="false">
      <c r="A9" s="0" t="s">
        <v>166</v>
      </c>
      <c r="B9" s="0" t="s">
        <v>1610</v>
      </c>
      <c r="C9" s="0" t="s">
        <v>1611</v>
      </c>
    </row>
    <row r="10" customFormat="false" ht="15" hidden="false" customHeight="false" outlineLevel="0" collapsed="false">
      <c r="A10" s="0" t="s">
        <v>165</v>
      </c>
      <c r="B10" s="0" t="s">
        <v>1612</v>
      </c>
      <c r="C10" s="0" t="s">
        <v>1611</v>
      </c>
    </row>
    <row r="11" customFormat="false" ht="15" hidden="false" customHeight="false" outlineLevel="0" collapsed="false">
      <c r="A11" s="0" t="s">
        <v>164</v>
      </c>
      <c r="B11" s="0" t="s">
        <v>1613</v>
      </c>
      <c r="C11" s="0" t="s">
        <v>1614</v>
      </c>
    </row>
  </sheetData>
  <autoFilter ref="A1:C1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2026-10-10T17:44:38Z</dcterms:created>
  <dc:creator>openpyxl</dc:creator>
  <dc:description/>
  <dc:language>en-US</dc:language>
  <cp:lastModifiedBy/>
  <dcterms:modified xsi:type="dcterms:W3CDTF">2026-10-10T18:20:18Z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